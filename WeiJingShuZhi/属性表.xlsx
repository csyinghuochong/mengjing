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MengJing\WeiJingShuZhi\"/>
    </mc:Choice>
  </mc:AlternateContent>
  <xr:revisionPtr revIDLastSave="0" documentId="13_ncr:1_{7E4BC27F-E0BD-4028-8EC9-B3954D75D47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总表" sheetId="1" r:id="rId1"/>
    <sheet name="属性介绍" sheetId="24" r:id="rId2"/>
    <sheet name="等级属性" sheetId="2" r:id="rId3"/>
    <sheet name="活力属性" sheetId="3" r:id="rId4"/>
    <sheet name="技能" sheetId="4" r:id="rId5"/>
    <sheet name="赛季" sheetId="5" r:id="rId6"/>
    <sheet name="装备洗练" sheetId="6" r:id="rId7"/>
    <sheet name="装备属性" sheetId="7" r:id="rId8"/>
    <sheet name="特殊装备" sheetId="8" r:id="rId9"/>
    <sheet name="觉醒" sheetId="9" r:id="rId10"/>
    <sheet name="增幅属性" sheetId="10" r:id="rId11"/>
    <sheet name="收集" sheetId="11" r:id="rId12"/>
    <sheet name="精灵" sheetId="12" r:id="rId13"/>
    <sheet name="属性列表" sheetId="13" r:id="rId14"/>
    <sheet name="宝石" sheetId="14" r:id="rId15"/>
    <sheet name="宠物" sheetId="15" r:id="rId16"/>
    <sheet name="宠物属性" sheetId="16" r:id="rId17"/>
    <sheet name="宠物爬塔" sheetId="17" r:id="rId18"/>
    <sheet name="宠物之核" sheetId="18" r:id="rId19"/>
    <sheet name="装备" sheetId="19" r:id="rId20"/>
    <sheet name="怪物属性" sheetId="20" r:id="rId21"/>
    <sheet name="boss技能" sheetId="21" r:id="rId22"/>
    <sheet name="称号" sheetId="22" r:id="rId23"/>
    <sheet name="生命之盾" sheetId="23" r:id="rId24"/>
  </sheets>
  <externalReferences>
    <externalReference r:id="rId25"/>
    <externalReference r:id="rId26"/>
  </externalReferences>
  <calcPr calcId="191029"/>
</workbook>
</file>

<file path=xl/calcChain.xml><?xml version="1.0" encoding="utf-8"?>
<calcChain xmlns="http://schemas.openxmlformats.org/spreadsheetml/2006/main">
  <c r="H18" i="24" l="1"/>
  <c r="AD182" i="20"/>
  <c r="AC182" i="20"/>
  <c r="AB182" i="20"/>
  <c r="AA182" i="20"/>
  <c r="AD181" i="20"/>
  <c r="AC181" i="20"/>
  <c r="AB181" i="20"/>
  <c r="AA181" i="20"/>
  <c r="AD180" i="20"/>
  <c r="AC180" i="20"/>
  <c r="AB180" i="20"/>
  <c r="AA180" i="20"/>
  <c r="AD179" i="20"/>
  <c r="AC179" i="20"/>
  <c r="AB179" i="20"/>
  <c r="AA179" i="20"/>
  <c r="AD178" i="20"/>
  <c r="AC178" i="20"/>
  <c r="AB178" i="20"/>
  <c r="AA178" i="20"/>
  <c r="AD177" i="20"/>
  <c r="AC177" i="20"/>
  <c r="AB177" i="20"/>
  <c r="AA177" i="20"/>
  <c r="AD176" i="20"/>
  <c r="AC176" i="20"/>
  <c r="AB176" i="20"/>
  <c r="AA176" i="20"/>
  <c r="AD175" i="20"/>
  <c r="AC175" i="20"/>
  <c r="AB175" i="20"/>
  <c r="AA175" i="20"/>
  <c r="AD174" i="20"/>
  <c r="AC174" i="20"/>
  <c r="AB174" i="20"/>
  <c r="AA174" i="20"/>
  <c r="AD172" i="20"/>
  <c r="AC172" i="20"/>
  <c r="AB172" i="20"/>
  <c r="AA172" i="20"/>
  <c r="AD171" i="20"/>
  <c r="AC171" i="20"/>
  <c r="AB171" i="20"/>
  <c r="AA171" i="20"/>
  <c r="AD170" i="20"/>
  <c r="AC170" i="20"/>
  <c r="AB170" i="20"/>
  <c r="AA170" i="20"/>
  <c r="AD169" i="20"/>
  <c r="AC169" i="20"/>
  <c r="AB169" i="20"/>
  <c r="AA169" i="20"/>
  <c r="AD168" i="20"/>
  <c r="AC168" i="20"/>
  <c r="AB168" i="20"/>
  <c r="AA168" i="20"/>
  <c r="AD167" i="20"/>
  <c r="AC167" i="20"/>
  <c r="AB167" i="20"/>
  <c r="AA167" i="20"/>
  <c r="AD166" i="20"/>
  <c r="AC166" i="20"/>
  <c r="AB166" i="20"/>
  <c r="AA166" i="20"/>
  <c r="AD165" i="20"/>
  <c r="AC165" i="20"/>
  <c r="AB165" i="20"/>
  <c r="AA165" i="20"/>
  <c r="AD164" i="20"/>
  <c r="AC164" i="20"/>
  <c r="AB164" i="20"/>
  <c r="AA164" i="20"/>
  <c r="AB135" i="20"/>
  <c r="AB136" i="20"/>
  <c r="AB137" i="20"/>
  <c r="AB138" i="20"/>
  <c r="AB139" i="20"/>
  <c r="AB140" i="20"/>
  <c r="AB141" i="20"/>
  <c r="AB142" i="20"/>
  <c r="AB134" i="20"/>
  <c r="Q182" i="20"/>
  <c r="Q181" i="20"/>
  <c r="Q180" i="20"/>
  <c r="Q179" i="20"/>
  <c r="Q178" i="20"/>
  <c r="Q177" i="20"/>
  <c r="Q176" i="20"/>
  <c r="Q175" i="20"/>
  <c r="Q174" i="20"/>
  <c r="Q172" i="20"/>
  <c r="Q171" i="20"/>
  <c r="Q170" i="20"/>
  <c r="Q169" i="20"/>
  <c r="Q168" i="20"/>
  <c r="Q167" i="20"/>
  <c r="Q166" i="20"/>
  <c r="Q165" i="20"/>
  <c r="Q164" i="20"/>
  <c r="Q162" i="20"/>
  <c r="Q161" i="20"/>
  <c r="Q160" i="20"/>
  <c r="Q159" i="20"/>
  <c r="Q158" i="20"/>
  <c r="Q157" i="20"/>
  <c r="Q156" i="20"/>
  <c r="Q155" i="20"/>
  <c r="Q154" i="20"/>
  <c r="Q152" i="20"/>
  <c r="Q151" i="20"/>
  <c r="Q150" i="20"/>
  <c r="Q149" i="20"/>
  <c r="Q148" i="20"/>
  <c r="Q147" i="20"/>
  <c r="Q146" i="20"/>
  <c r="Q145" i="20"/>
  <c r="Q144" i="20"/>
  <c r="Q135" i="20"/>
  <c r="Q136" i="20"/>
  <c r="Q137" i="20"/>
  <c r="Q138" i="20"/>
  <c r="Q139" i="20"/>
  <c r="Q140" i="20"/>
  <c r="Q141" i="20"/>
  <c r="Q142" i="20"/>
  <c r="Q134" i="20"/>
  <c r="Q61" i="20"/>
  <c r="AV22" i="17"/>
  <c r="AV21" i="17"/>
  <c r="AV20" i="17"/>
  <c r="AV19" i="17"/>
  <c r="AH20" i="17" l="1"/>
  <c r="AH21" i="17"/>
  <c r="AH22" i="17"/>
  <c r="AH19" i="17"/>
  <c r="AE22" i="17" l="1"/>
  <c r="AF22" i="17" s="1"/>
  <c r="AE21" i="17"/>
  <c r="AE20" i="17"/>
  <c r="AE19" i="17"/>
  <c r="AG19" i="17" s="1"/>
  <c r="AE18" i="17"/>
  <c r="AF21" i="17" l="1"/>
  <c r="AG22" i="17"/>
  <c r="AF19" i="17"/>
  <c r="AF20" i="17"/>
  <c r="AG21" i="17"/>
  <c r="AG20" i="17"/>
  <c r="AE10" i="17" l="1"/>
  <c r="AF10" i="17" s="1"/>
  <c r="AE9" i="17"/>
  <c r="AF9" i="17" s="1"/>
  <c r="AF4" i="17"/>
  <c r="AF3" i="17"/>
  <c r="AE4" i="17"/>
  <c r="AE5" i="17"/>
  <c r="AF5" i="17" s="1"/>
  <c r="AE6" i="17"/>
  <c r="AF6" i="17" s="1"/>
  <c r="AE7" i="17"/>
  <c r="AF7" i="17" s="1"/>
  <c r="AE8" i="17"/>
  <c r="AF8" i="17" s="1"/>
  <c r="AE3" i="17"/>
  <c r="AE2" i="17"/>
  <c r="B77" i="17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C77" i="17"/>
  <c r="C78" i="17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76" i="17"/>
  <c r="B76" i="17"/>
  <c r="B67" i="17"/>
  <c r="B68" i="17" s="1"/>
  <c r="B69" i="17" s="1"/>
  <c r="B70" i="17" s="1"/>
  <c r="B71" i="17" s="1"/>
  <c r="B72" i="17" s="1"/>
  <c r="B73" i="17" s="1"/>
  <c r="B74" i="17" s="1"/>
  <c r="B75" i="17" s="1"/>
  <c r="C67" i="17"/>
  <c r="C68" i="17"/>
  <c r="C69" i="17" s="1"/>
  <c r="C70" i="17" s="1"/>
  <c r="C71" i="17" s="1"/>
  <c r="C72" i="17" s="1"/>
  <c r="C73" i="17" s="1"/>
  <c r="C74" i="17" s="1"/>
  <c r="C75" i="17" s="1"/>
  <c r="C66" i="17"/>
  <c r="B66" i="17"/>
  <c r="D72" i="17" l="1"/>
  <c r="X133" i="17" s="1"/>
  <c r="T119" i="17"/>
  <c r="T122" i="17" s="1"/>
  <c r="T125" i="17" s="1"/>
  <c r="T128" i="17" s="1"/>
  <c r="T131" i="17" s="1"/>
  <c r="T134" i="17" s="1"/>
  <c r="T137" i="17" s="1"/>
  <c r="T140" i="17" s="1"/>
  <c r="T143" i="17" s="1"/>
  <c r="T146" i="17" s="1"/>
  <c r="T149" i="17" s="1"/>
  <c r="T152" i="17" s="1"/>
  <c r="T155" i="17" s="1"/>
  <c r="T158" i="17" s="1"/>
  <c r="T161" i="17" s="1"/>
  <c r="T164" i="17" s="1"/>
  <c r="T167" i="17" s="1"/>
  <c r="T170" i="17" s="1"/>
  <c r="T173" i="17" s="1"/>
  <c r="T176" i="17" s="1"/>
  <c r="T120" i="17"/>
  <c r="T121" i="17"/>
  <c r="T124" i="17" s="1"/>
  <c r="T127" i="17" s="1"/>
  <c r="T130" i="17" s="1"/>
  <c r="T133" i="17" s="1"/>
  <c r="T136" i="17" s="1"/>
  <c r="T139" i="17" s="1"/>
  <c r="T142" i="17" s="1"/>
  <c r="T145" i="17" s="1"/>
  <c r="T148" i="17" s="1"/>
  <c r="T151" i="17" s="1"/>
  <c r="T154" i="17" s="1"/>
  <c r="T157" i="17" s="1"/>
  <c r="T160" i="17" s="1"/>
  <c r="T163" i="17" s="1"/>
  <c r="T166" i="17" s="1"/>
  <c r="T169" i="17" s="1"/>
  <c r="T172" i="17" s="1"/>
  <c r="T175" i="17" s="1"/>
  <c r="T123" i="17"/>
  <c r="T126" i="17" s="1"/>
  <c r="T129" i="17" s="1"/>
  <c r="T132" i="17" s="1"/>
  <c r="T135" i="17" s="1"/>
  <c r="T138" i="17" s="1"/>
  <c r="T141" i="17" s="1"/>
  <c r="T144" i="17" s="1"/>
  <c r="T147" i="17" s="1"/>
  <c r="T150" i="17" s="1"/>
  <c r="T153" i="17" s="1"/>
  <c r="T156" i="17" s="1"/>
  <c r="T159" i="17" s="1"/>
  <c r="T162" i="17" s="1"/>
  <c r="T165" i="17" s="1"/>
  <c r="T168" i="17" s="1"/>
  <c r="T171" i="17" s="1"/>
  <c r="T174" i="17" s="1"/>
  <c r="T177" i="17" s="1"/>
  <c r="T118" i="17"/>
  <c r="R177" i="17"/>
  <c r="R176" i="17"/>
  <c r="R175" i="17"/>
  <c r="R174" i="17"/>
  <c r="R173" i="17"/>
  <c r="R172" i="17"/>
  <c r="R171" i="17"/>
  <c r="R170" i="17"/>
  <c r="R169" i="17"/>
  <c r="R168" i="17"/>
  <c r="R167" i="17"/>
  <c r="R166" i="17"/>
  <c r="R165" i="17"/>
  <c r="R164" i="17"/>
  <c r="R163" i="17"/>
  <c r="R162" i="17"/>
  <c r="R161" i="17"/>
  <c r="R160" i="17"/>
  <c r="R159" i="17"/>
  <c r="R158" i="17"/>
  <c r="R157" i="17"/>
  <c r="R156" i="17"/>
  <c r="R155" i="17"/>
  <c r="R154" i="17"/>
  <c r="R153" i="17"/>
  <c r="R152" i="17"/>
  <c r="R151" i="17"/>
  <c r="R150" i="17"/>
  <c r="R149" i="17"/>
  <c r="R148" i="17"/>
  <c r="R147" i="17"/>
  <c r="R146" i="17"/>
  <c r="R145" i="17"/>
  <c r="R144" i="17"/>
  <c r="R143" i="17"/>
  <c r="R142" i="17"/>
  <c r="R122" i="17"/>
  <c r="R125" i="17" s="1"/>
  <c r="R128" i="17" s="1"/>
  <c r="R131" i="17" s="1"/>
  <c r="R134" i="17" s="1"/>
  <c r="R137" i="17" s="1"/>
  <c r="R140" i="17" s="1"/>
  <c r="R123" i="17"/>
  <c r="R126" i="17" s="1"/>
  <c r="R129" i="17" s="1"/>
  <c r="R132" i="17" s="1"/>
  <c r="R135" i="17" s="1"/>
  <c r="R138" i="17" s="1"/>
  <c r="R141" i="17" s="1"/>
  <c r="R124" i="17"/>
  <c r="R127" i="17" s="1"/>
  <c r="R130" i="17" s="1"/>
  <c r="R133" i="17" s="1"/>
  <c r="R136" i="17" s="1"/>
  <c r="R139" i="17" s="1"/>
  <c r="R121" i="17"/>
  <c r="C4" i="17"/>
  <c r="C5" i="17" s="1"/>
  <c r="C6" i="17" s="1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F72" i="17" s="1"/>
  <c r="C3" i="17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J33" i="5"/>
  <c r="BJ34" i="5"/>
  <c r="BJ32" i="5"/>
  <c r="B41" i="18"/>
  <c r="B40" i="18"/>
  <c r="B39" i="18"/>
  <c r="B43" i="18"/>
  <c r="B44" i="18"/>
  <c r="B45" i="18"/>
  <c r="B46" i="18"/>
  <c r="B47" i="18"/>
  <c r="B48" i="18"/>
  <c r="B42" i="18"/>
  <c r="E40" i="18"/>
  <c r="E41" i="18"/>
  <c r="E42" i="18"/>
  <c r="E43" i="18"/>
  <c r="E44" i="18"/>
  <c r="E45" i="18"/>
  <c r="E46" i="18"/>
  <c r="E47" i="18"/>
  <c r="E48" i="18"/>
  <c r="E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39" i="18"/>
  <c r="Z133" i="17" l="1"/>
  <c r="Z134" i="17"/>
  <c r="Z135" i="17"/>
  <c r="X135" i="17"/>
  <c r="X134" i="17"/>
  <c r="G72" i="17"/>
  <c r="E72" i="17"/>
  <c r="D3" i="18"/>
  <c r="D4" i="18"/>
  <c r="D5" i="18"/>
  <c r="D6" i="18"/>
  <c r="D7" i="18"/>
  <c r="D8" i="18"/>
  <c r="D9" i="18"/>
  <c r="D10" i="18"/>
  <c r="D11" i="18"/>
  <c r="D2" i="18"/>
  <c r="E2" i="18"/>
  <c r="Y133" i="17" l="1"/>
  <c r="Y134" i="17"/>
  <c r="Y135" i="17"/>
  <c r="AA133" i="17"/>
  <c r="AA135" i="17"/>
  <c r="AA134" i="17"/>
  <c r="F73" i="17"/>
  <c r="E73" i="17"/>
  <c r="G73" i="17"/>
  <c r="D73" i="17"/>
  <c r="AA87" i="15"/>
  <c r="AA88" i="15"/>
  <c r="Z136" i="17" l="1"/>
  <c r="Z137" i="17"/>
  <c r="Z138" i="17"/>
  <c r="Y137" i="17"/>
  <c r="Y138" i="17"/>
  <c r="Y136" i="17"/>
  <c r="AA136" i="17"/>
  <c r="AA137" i="17"/>
  <c r="AA138" i="17"/>
  <c r="X137" i="17"/>
  <c r="X138" i="17"/>
  <c r="X136" i="17"/>
  <c r="D74" i="17"/>
  <c r="F74" i="17"/>
  <c r="E74" i="17"/>
  <c r="G74" i="17"/>
  <c r="Z67" i="15"/>
  <c r="Z68" i="15"/>
  <c r="Z69" i="15"/>
  <c r="Z70" i="15"/>
  <c r="Z71" i="15"/>
  <c r="Z72" i="15"/>
  <c r="Z73" i="15"/>
  <c r="Z74" i="15"/>
  <c r="Z75" i="15"/>
  <c r="Z76" i="15"/>
  <c r="Z77" i="15"/>
  <c r="Z78" i="15"/>
  <c r="Z79" i="15"/>
  <c r="Z80" i="15"/>
  <c r="Z81" i="15"/>
  <c r="Z82" i="15"/>
  <c r="Z66" i="15"/>
  <c r="X80" i="15"/>
  <c r="X81" i="15"/>
  <c r="X82" i="15"/>
  <c r="AE67" i="15"/>
  <c r="AE68" i="15"/>
  <c r="AE69" i="15"/>
  <c r="AE70" i="15"/>
  <c r="AE71" i="15"/>
  <c r="AE72" i="15"/>
  <c r="AE73" i="15"/>
  <c r="AE74" i="15"/>
  <c r="AE75" i="15"/>
  <c r="AE76" i="15"/>
  <c r="AE77" i="15"/>
  <c r="AE78" i="15"/>
  <c r="AE79" i="15"/>
  <c r="AE80" i="15"/>
  <c r="AE81" i="15"/>
  <c r="AE82" i="15"/>
  <c r="AE83" i="15"/>
  <c r="AE84" i="15"/>
  <c r="AE85" i="15"/>
  <c r="AE86" i="15"/>
  <c r="AE87" i="15"/>
  <c r="AE88" i="15"/>
  <c r="AE89" i="15"/>
  <c r="AE90" i="15"/>
  <c r="AE91" i="15"/>
  <c r="AE92" i="15"/>
  <c r="AE93" i="15"/>
  <c r="AE94" i="15"/>
  <c r="AE95" i="15"/>
  <c r="AE96" i="15"/>
  <c r="AE97" i="15"/>
  <c r="AE98" i="15"/>
  <c r="AE99" i="15"/>
  <c r="AE100" i="15"/>
  <c r="AE101" i="15"/>
  <c r="AE102" i="15"/>
  <c r="AE103" i="15"/>
  <c r="AE104" i="15"/>
  <c r="AE105" i="15"/>
  <c r="AE106" i="15"/>
  <c r="AE107" i="15"/>
  <c r="AE108" i="15"/>
  <c r="AE109" i="15"/>
  <c r="AE110" i="15"/>
  <c r="AE111" i="15"/>
  <c r="AE112" i="15"/>
  <c r="AE113" i="15"/>
  <c r="AE114" i="15"/>
  <c r="AE115" i="15"/>
  <c r="AE116" i="15"/>
  <c r="AE117" i="15"/>
  <c r="AE118" i="15"/>
  <c r="AE119" i="15"/>
  <c r="AE120" i="15"/>
  <c r="AE121" i="15"/>
  <c r="AE66" i="15"/>
  <c r="AA140" i="17" l="1"/>
  <c r="AA141" i="17"/>
  <c r="AA139" i="17"/>
  <c r="Z140" i="17"/>
  <c r="Z141" i="17"/>
  <c r="Z139" i="17"/>
  <c r="Y141" i="17"/>
  <c r="Y139" i="17"/>
  <c r="Y140" i="17"/>
  <c r="X140" i="17"/>
  <c r="X141" i="17"/>
  <c r="X139" i="17"/>
  <c r="E75" i="17"/>
  <c r="F75" i="17"/>
  <c r="G75" i="17"/>
  <c r="D75" i="17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Z34" i="5"/>
  <c r="Z35" i="5"/>
  <c r="Z36" i="5"/>
  <c r="Z37" i="5"/>
  <c r="Z38" i="5"/>
  <c r="Z39" i="5"/>
  <c r="Z40" i="5"/>
  <c r="Z41" i="5"/>
  <c r="Z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V33" i="5"/>
  <c r="AT33" i="5"/>
  <c r="AA144" i="17" l="1"/>
  <c r="AA143" i="17"/>
  <c r="AA142" i="17"/>
  <c r="Z144" i="17"/>
  <c r="Z142" i="17"/>
  <c r="Z143" i="17"/>
  <c r="Y142" i="17"/>
  <c r="Y143" i="17"/>
  <c r="Y144" i="17"/>
  <c r="X142" i="17"/>
  <c r="X143" i="17"/>
  <c r="X144" i="17"/>
  <c r="F76" i="17"/>
  <c r="E76" i="17"/>
  <c r="G76" i="17"/>
  <c r="D76" i="17"/>
  <c r="D39" i="5"/>
  <c r="D40" i="5"/>
  <c r="D41" i="5"/>
  <c r="D42" i="5"/>
  <c r="D43" i="5"/>
  <c r="D38" i="5"/>
  <c r="D32" i="5"/>
  <c r="D33" i="5"/>
  <c r="D34" i="5"/>
  <c r="D35" i="5"/>
  <c r="D31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12" i="5"/>
  <c r="D8" i="5"/>
  <c r="D9" i="5"/>
  <c r="D7" i="5"/>
  <c r="Y145" i="17" l="1"/>
  <c r="Y146" i="17"/>
  <c r="Y147" i="17"/>
  <c r="AA147" i="17"/>
  <c r="AA145" i="17"/>
  <c r="AA146" i="17"/>
  <c r="Z145" i="17"/>
  <c r="Z146" i="17"/>
  <c r="Z147" i="17"/>
  <c r="X146" i="17"/>
  <c r="X147" i="17"/>
  <c r="X145" i="17"/>
  <c r="D77" i="17"/>
  <c r="E77" i="17"/>
  <c r="F77" i="17"/>
  <c r="G77" i="17"/>
  <c r="D15" i="18"/>
  <c r="D16" i="18"/>
  <c r="D17" i="18"/>
  <c r="D18" i="18"/>
  <c r="D19" i="18"/>
  <c r="D20" i="18"/>
  <c r="D21" i="18"/>
  <c r="D22" i="18"/>
  <c r="D23" i="18"/>
  <c r="D24" i="18"/>
  <c r="Z148" i="17" l="1"/>
  <c r="Z149" i="17"/>
  <c r="Z150" i="17"/>
  <c r="AA148" i="17"/>
  <c r="AA149" i="17"/>
  <c r="AA150" i="17"/>
  <c r="Y149" i="17"/>
  <c r="Y150" i="17"/>
  <c r="Y148" i="17"/>
  <c r="X149" i="17"/>
  <c r="X150" i="17"/>
  <c r="X148" i="17"/>
  <c r="D78" i="17"/>
  <c r="F78" i="17"/>
  <c r="E78" i="17"/>
  <c r="G78" i="17"/>
  <c r="D27" i="18"/>
  <c r="D34" i="18"/>
  <c r="AA152" i="17" l="1"/>
  <c r="AA153" i="17"/>
  <c r="AA151" i="17"/>
  <c r="Y153" i="17"/>
  <c r="Y151" i="17"/>
  <c r="Y152" i="17"/>
  <c r="Z152" i="17"/>
  <c r="Z153" i="17"/>
  <c r="Z151" i="17"/>
  <c r="X151" i="17"/>
  <c r="X152" i="17"/>
  <c r="X153" i="17"/>
  <c r="F79" i="17"/>
  <c r="E79" i="17"/>
  <c r="G79" i="17"/>
  <c r="D79" i="17"/>
  <c r="D30" i="18"/>
  <c r="D29" i="18"/>
  <c r="D32" i="18"/>
  <c r="D28" i="18"/>
  <c r="D31" i="18"/>
  <c r="D36" i="18"/>
  <c r="D33" i="18"/>
  <c r="D35" i="18"/>
  <c r="Y154" i="17" l="1"/>
  <c r="Y155" i="17"/>
  <c r="Y156" i="17"/>
  <c r="AA156" i="17"/>
  <c r="AA155" i="17"/>
  <c r="AA154" i="17"/>
  <c r="Z156" i="17"/>
  <c r="Z154" i="17"/>
  <c r="Z155" i="17"/>
  <c r="X155" i="17"/>
  <c r="X156" i="17"/>
  <c r="X154" i="17"/>
  <c r="D80" i="17"/>
  <c r="F80" i="17"/>
  <c r="E80" i="17"/>
  <c r="G80" i="17"/>
  <c r="D13" i="23"/>
  <c r="D14" i="23" s="1"/>
  <c r="D11" i="23"/>
  <c r="D12" i="23" s="1"/>
  <c r="R8" i="23"/>
  <c r="E8" i="23"/>
  <c r="G7" i="23"/>
  <c r="F7" i="23"/>
  <c r="E7" i="23"/>
  <c r="J6" i="23"/>
  <c r="G6" i="23"/>
  <c r="F6" i="23"/>
  <c r="J29" i="22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Q129" i="20"/>
  <c r="A129" i="20"/>
  <c r="Q128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T116" i="20"/>
  <c r="T119" i="20" s="1"/>
  <c r="A116" i="20"/>
  <c r="A115" i="20"/>
  <c r="A114" i="20"/>
  <c r="Q113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T88" i="20"/>
  <c r="T91" i="20" s="1"/>
  <c r="Q88" i="20"/>
  <c r="A88" i="20"/>
  <c r="T87" i="20"/>
  <c r="T90" i="20" s="1"/>
  <c r="A87" i="20"/>
  <c r="A86" i="20"/>
  <c r="T85" i="20"/>
  <c r="Q85" i="20"/>
  <c r="A85" i="20"/>
  <c r="T84" i="20"/>
  <c r="Q84" i="20"/>
  <c r="A84" i="20"/>
  <c r="T83" i="20"/>
  <c r="T86" i="20" s="1"/>
  <c r="A83" i="20"/>
  <c r="Q82" i="20"/>
  <c r="A82" i="20"/>
  <c r="Q81" i="20"/>
  <c r="A81" i="20"/>
  <c r="Q80" i="20"/>
  <c r="A80" i="20"/>
  <c r="A79" i="20"/>
  <c r="A78" i="20"/>
  <c r="A77" i="20"/>
  <c r="A76" i="20"/>
  <c r="A75" i="20"/>
  <c r="A71" i="20"/>
  <c r="A70" i="20"/>
  <c r="A69" i="20"/>
  <c r="A68" i="20"/>
  <c r="A67" i="20"/>
  <c r="A66" i="20"/>
  <c r="A65" i="20"/>
  <c r="A64" i="20"/>
  <c r="A63" i="20"/>
  <c r="A62" i="20"/>
  <c r="A61" i="20"/>
  <c r="Q60" i="20"/>
  <c r="A60" i="20"/>
  <c r="Q59" i="20"/>
  <c r="A59" i="20"/>
  <c r="Q58" i="20"/>
  <c r="A58" i="20"/>
  <c r="Q57" i="20"/>
  <c r="A57" i="20"/>
  <c r="Q56" i="20"/>
  <c r="A56" i="20"/>
  <c r="Q55" i="20"/>
  <c r="A55" i="20"/>
  <c r="Q54" i="20"/>
  <c r="A54" i="20"/>
  <c r="Q53" i="20"/>
  <c r="A53" i="20"/>
  <c r="Q52" i="20"/>
  <c r="A52" i="20"/>
  <c r="Q51" i="20"/>
  <c r="A51" i="20"/>
  <c r="Q50" i="20"/>
  <c r="A50" i="20"/>
  <c r="Q49" i="20"/>
  <c r="A49" i="20"/>
  <c r="Q48" i="20"/>
  <c r="A48" i="20"/>
  <c r="Q47" i="20"/>
  <c r="A47" i="20"/>
  <c r="Q46" i="20"/>
  <c r="A46" i="20"/>
  <c r="Q45" i="20"/>
  <c r="A45" i="20"/>
  <c r="Q44" i="20"/>
  <c r="A44" i="20"/>
  <c r="Q43" i="20"/>
  <c r="A43" i="20"/>
  <c r="Q42" i="20"/>
  <c r="A42" i="20"/>
  <c r="Q41" i="20"/>
  <c r="A41" i="20"/>
  <c r="Q40" i="20"/>
  <c r="A40" i="20"/>
  <c r="Q39" i="20"/>
  <c r="A39" i="20"/>
  <c r="Q38" i="20"/>
  <c r="A38" i="20"/>
  <c r="Q37" i="20"/>
  <c r="A37" i="20"/>
  <c r="Q36" i="20"/>
  <c r="A36" i="20"/>
  <c r="Q35" i="20"/>
  <c r="A35" i="20"/>
  <c r="Q34" i="20"/>
  <c r="A34" i="20"/>
  <c r="Q33" i="20"/>
  <c r="A33" i="20"/>
  <c r="Q32" i="20"/>
  <c r="A32" i="20"/>
  <c r="AE31" i="20"/>
  <c r="Q31" i="20"/>
  <c r="A31" i="20"/>
  <c r="AE30" i="20"/>
  <c r="Q30" i="20"/>
  <c r="A30" i="20"/>
  <c r="AE29" i="20"/>
  <c r="Q29" i="20"/>
  <c r="A29" i="20"/>
  <c r="AE28" i="20"/>
  <c r="Q28" i="20"/>
  <c r="A28" i="20"/>
  <c r="AE27" i="20"/>
  <c r="Q27" i="20"/>
  <c r="A27" i="20"/>
  <c r="AE26" i="20"/>
  <c r="Q26" i="20"/>
  <c r="A26" i="20"/>
  <c r="AE25" i="20"/>
  <c r="Q25" i="20"/>
  <c r="A25" i="20"/>
  <c r="AE24" i="20"/>
  <c r="Q24" i="20"/>
  <c r="A24" i="20"/>
  <c r="AE23" i="20"/>
  <c r="Q23" i="20"/>
  <c r="A23" i="20"/>
  <c r="AE22" i="20"/>
  <c r="Q22" i="20"/>
  <c r="A22" i="20"/>
  <c r="AE21" i="20"/>
  <c r="Q21" i="20"/>
  <c r="A21" i="20"/>
  <c r="AE20" i="20"/>
  <c r="Q20" i="20"/>
  <c r="A20" i="20"/>
  <c r="AE19" i="20"/>
  <c r="Q19" i="20"/>
  <c r="A19" i="20"/>
  <c r="AE18" i="20"/>
  <c r="Q18" i="20"/>
  <c r="A18" i="20"/>
  <c r="AE17" i="20"/>
  <c r="Q17" i="20"/>
  <c r="A17" i="20"/>
  <c r="AE16" i="20"/>
  <c r="Q16" i="20"/>
  <c r="A16" i="20"/>
  <c r="AE15" i="20"/>
  <c r="Q15" i="20"/>
  <c r="A15" i="20"/>
  <c r="AE14" i="20"/>
  <c r="Q14" i="20"/>
  <c r="A14" i="20"/>
  <c r="AE13" i="20"/>
  <c r="Q13" i="20"/>
  <c r="A13" i="20"/>
  <c r="AE12" i="20"/>
  <c r="Q12" i="20"/>
  <c r="A12" i="20"/>
  <c r="AE11" i="20"/>
  <c r="Q11" i="20"/>
  <c r="A11" i="20"/>
  <c r="AE10" i="20"/>
  <c r="Q10" i="20"/>
  <c r="A10" i="20"/>
  <c r="AE9" i="20"/>
  <c r="Q9" i="20"/>
  <c r="A9" i="20"/>
  <c r="AE8" i="20"/>
  <c r="Q8" i="20"/>
  <c r="A8" i="20"/>
  <c r="AE7" i="20"/>
  <c r="Q7" i="20"/>
  <c r="A7" i="20"/>
  <c r="AE6" i="20"/>
  <c r="Q6" i="20"/>
  <c r="A6" i="20"/>
  <c r="AE5" i="20"/>
  <c r="Q5" i="20"/>
  <c r="A5" i="20"/>
  <c r="AE4" i="20"/>
  <c r="Q4" i="20"/>
  <c r="A4" i="20"/>
  <c r="AE3" i="20"/>
  <c r="Q3" i="20"/>
  <c r="D3" i="20"/>
  <c r="A3" i="20"/>
  <c r="AE2" i="20"/>
  <c r="Q2" i="20"/>
  <c r="E2" i="20"/>
  <c r="G2" i="20" s="1"/>
  <c r="G75" i="20" s="1"/>
  <c r="A2" i="20"/>
  <c r="P16" i="19"/>
  <c r="P15" i="19"/>
  <c r="T12" i="18"/>
  <c r="T11" i="18"/>
  <c r="E11" i="18"/>
  <c r="T10" i="18"/>
  <c r="E10" i="18"/>
  <c r="T9" i="18"/>
  <c r="E9" i="18"/>
  <c r="T8" i="18"/>
  <c r="E8" i="18"/>
  <c r="T7" i="18"/>
  <c r="E7" i="18"/>
  <c r="T6" i="18"/>
  <c r="E6" i="18"/>
  <c r="T5" i="18"/>
  <c r="E5" i="18"/>
  <c r="T4" i="18"/>
  <c r="E4" i="18"/>
  <c r="T3" i="18"/>
  <c r="E3" i="18"/>
  <c r="G2" i="18"/>
  <c r="G2" i="17"/>
  <c r="F2" i="17"/>
  <c r="E2" i="17"/>
  <c r="V16" i="16"/>
  <c r="W16" i="16" s="1"/>
  <c r="U16" i="16"/>
  <c r="W15" i="16"/>
  <c r="V15" i="16"/>
  <c r="U15" i="16"/>
  <c r="W14" i="16"/>
  <c r="U14" i="16"/>
  <c r="V14" i="16" s="1"/>
  <c r="W13" i="16"/>
  <c r="V13" i="16"/>
  <c r="U13" i="16"/>
  <c r="P8" i="16"/>
  <c r="J6" i="16"/>
  <c r="E5" i="16"/>
  <c r="C5" i="16"/>
  <c r="G5" i="16" s="1"/>
  <c r="F4" i="16"/>
  <c r="C4" i="16"/>
  <c r="K3" i="16"/>
  <c r="K6" i="16" s="1"/>
  <c r="J3" i="16"/>
  <c r="G3" i="16"/>
  <c r="F3" i="16"/>
  <c r="C3" i="16"/>
  <c r="E3" i="16" s="1"/>
  <c r="B3" i="16"/>
  <c r="B4" i="16" s="1"/>
  <c r="B5" i="16" s="1"/>
  <c r="G2" i="16"/>
  <c r="F2" i="16"/>
  <c r="E2" i="16"/>
  <c r="V101" i="15"/>
  <c r="X101" i="15" s="1"/>
  <c r="V100" i="15"/>
  <c r="W100" i="15" s="1"/>
  <c r="V99" i="15"/>
  <c r="W99" i="15" s="1"/>
  <c r="V98" i="15"/>
  <c r="V97" i="15"/>
  <c r="W97" i="15" s="1"/>
  <c r="V96" i="15"/>
  <c r="W96" i="15" s="1"/>
  <c r="V95" i="15"/>
  <c r="X95" i="15" s="1"/>
  <c r="V94" i="15"/>
  <c r="V93" i="15"/>
  <c r="X93" i="15" s="1"/>
  <c r="V92" i="15"/>
  <c r="W92" i="15" s="1"/>
  <c r="AA89" i="15"/>
  <c r="X79" i="15"/>
  <c r="X78" i="15"/>
  <c r="X77" i="15"/>
  <c r="X76" i="15"/>
  <c r="X75" i="15"/>
  <c r="X74" i="15"/>
  <c r="X73" i="15"/>
  <c r="X72" i="15"/>
  <c r="X71" i="15"/>
  <c r="X70" i="15"/>
  <c r="X69" i="15"/>
  <c r="X68" i="15"/>
  <c r="X67" i="15"/>
  <c r="X66" i="15"/>
  <c r="X21" i="15"/>
  <c r="X22" i="15" s="1"/>
  <c r="X23" i="15" s="1"/>
  <c r="X24" i="15" s="1"/>
  <c r="X25" i="15" s="1"/>
  <c r="X26" i="15" s="1"/>
  <c r="X27" i="15" s="1"/>
  <c r="X28" i="15" s="1"/>
  <c r="X20" i="15"/>
  <c r="X19" i="15"/>
  <c r="AA63" i="14"/>
  <c r="Y63" i="14"/>
  <c r="W63" i="14"/>
  <c r="AA62" i="14"/>
  <c r="W62" i="14" s="1"/>
  <c r="Y62" i="14"/>
  <c r="AA61" i="14"/>
  <c r="Y61" i="14" s="1"/>
  <c r="K61" i="14"/>
  <c r="J61" i="14"/>
  <c r="F61" i="14"/>
  <c r="E61" i="14"/>
  <c r="AA60" i="14"/>
  <c r="W60" i="14" s="1"/>
  <c r="Y60" i="14"/>
  <c r="F60" i="14"/>
  <c r="K60" i="14" s="1"/>
  <c r="E60" i="14"/>
  <c r="J60" i="14" s="1"/>
  <c r="AA59" i="14"/>
  <c r="Y59" i="14"/>
  <c r="W59" i="14"/>
  <c r="F59" i="14"/>
  <c r="K59" i="14" s="1"/>
  <c r="E59" i="14"/>
  <c r="J59" i="14" s="1"/>
  <c r="AA58" i="14"/>
  <c r="F58" i="14"/>
  <c r="K58" i="14" s="1"/>
  <c r="E58" i="14"/>
  <c r="J58" i="14" s="1"/>
  <c r="AA57" i="14"/>
  <c r="Y57" i="14" s="1"/>
  <c r="K57" i="14"/>
  <c r="J57" i="14"/>
  <c r="F57" i="14"/>
  <c r="E57" i="14"/>
  <c r="AA56" i="14"/>
  <c r="W56" i="14" s="1"/>
  <c r="Y56" i="14"/>
  <c r="F56" i="14"/>
  <c r="K56" i="14" s="1"/>
  <c r="E56" i="14"/>
  <c r="J56" i="14" s="1"/>
  <c r="AA55" i="14"/>
  <c r="Y55" i="14"/>
  <c r="W55" i="14"/>
  <c r="F55" i="14"/>
  <c r="K55" i="14" s="1"/>
  <c r="E55" i="14"/>
  <c r="J55" i="14" s="1"/>
  <c r="AA54" i="14"/>
  <c r="F54" i="14"/>
  <c r="K54" i="14" s="1"/>
  <c r="E54" i="14"/>
  <c r="J54" i="14" s="1"/>
  <c r="F53" i="14"/>
  <c r="K53" i="14" s="1"/>
  <c r="E53" i="14"/>
  <c r="J53" i="14" s="1"/>
  <c r="AA52" i="14"/>
  <c r="Y52" i="14"/>
  <c r="W52" i="14"/>
  <c r="F52" i="14"/>
  <c r="K52" i="14" s="1"/>
  <c r="E52" i="14"/>
  <c r="J52" i="14" s="1"/>
  <c r="AA51" i="14"/>
  <c r="P51" i="14"/>
  <c r="K51" i="14"/>
  <c r="Q10" i="14" s="1"/>
  <c r="Q18" i="14" s="1"/>
  <c r="F51" i="14"/>
  <c r="E51" i="14"/>
  <c r="J51" i="14" s="1"/>
  <c r="P10" i="14" s="1"/>
  <c r="P18" i="14" s="1"/>
  <c r="AA50" i="14"/>
  <c r="Y50" i="14"/>
  <c r="W50" i="14"/>
  <c r="P50" i="14"/>
  <c r="J50" i="14"/>
  <c r="F50" i="14"/>
  <c r="K50" i="14" s="1"/>
  <c r="E50" i="14"/>
  <c r="AA49" i="14"/>
  <c r="Y49" i="14" s="1"/>
  <c r="W49" i="14"/>
  <c r="Q49" i="14"/>
  <c r="P49" i="14"/>
  <c r="O49" i="14"/>
  <c r="J49" i="14"/>
  <c r="F49" i="14"/>
  <c r="K49" i="14" s="1"/>
  <c r="E49" i="14"/>
  <c r="AA48" i="14"/>
  <c r="Y48" i="14" s="1"/>
  <c r="W48" i="14"/>
  <c r="K48" i="14"/>
  <c r="F48" i="14"/>
  <c r="E48" i="14"/>
  <c r="J48" i="14" s="1"/>
  <c r="AA47" i="14"/>
  <c r="Y47" i="14" s="1"/>
  <c r="W47" i="14"/>
  <c r="J47" i="14"/>
  <c r="F47" i="14"/>
  <c r="K47" i="14" s="1"/>
  <c r="E47" i="14"/>
  <c r="AA46" i="14"/>
  <c r="W46" i="14" s="1"/>
  <c r="Y46" i="14"/>
  <c r="P46" i="14"/>
  <c r="O46" i="14"/>
  <c r="J46" i="14"/>
  <c r="F46" i="14"/>
  <c r="K46" i="14" s="1"/>
  <c r="E46" i="14"/>
  <c r="AA45" i="14"/>
  <c r="W45" i="14" s="1"/>
  <c r="Y45" i="14"/>
  <c r="P45" i="14"/>
  <c r="O45" i="14"/>
  <c r="J45" i="14"/>
  <c r="F45" i="14"/>
  <c r="K45" i="14" s="1"/>
  <c r="E45" i="14"/>
  <c r="AA44" i="14"/>
  <c r="W44" i="14" s="1"/>
  <c r="Y44" i="14"/>
  <c r="P44" i="14"/>
  <c r="O44" i="14"/>
  <c r="J44" i="14"/>
  <c r="F44" i="14"/>
  <c r="K44" i="14" s="1"/>
  <c r="E44" i="14"/>
  <c r="AA43" i="14"/>
  <c r="W43" i="14" s="1"/>
  <c r="Y43" i="14"/>
  <c r="F43" i="14"/>
  <c r="K43" i="14" s="1"/>
  <c r="E43" i="14"/>
  <c r="J43" i="14" s="1"/>
  <c r="Q42" i="14"/>
  <c r="P42" i="14"/>
  <c r="O42" i="14"/>
  <c r="J42" i="14"/>
  <c r="F42" i="14"/>
  <c r="K42" i="14" s="1"/>
  <c r="E42" i="14"/>
  <c r="AK41" i="14"/>
  <c r="AA41" i="14"/>
  <c r="Y41" i="14"/>
  <c r="W41" i="14"/>
  <c r="P41" i="14"/>
  <c r="O41" i="14"/>
  <c r="K41" i="14"/>
  <c r="F41" i="14"/>
  <c r="E41" i="14"/>
  <c r="J41" i="14" s="1"/>
  <c r="P9" i="14" s="1"/>
  <c r="P17" i="14" s="1"/>
  <c r="AK40" i="14"/>
  <c r="AA40" i="14"/>
  <c r="Y40" i="14"/>
  <c r="W40" i="14"/>
  <c r="P40" i="14"/>
  <c r="O40" i="14"/>
  <c r="F40" i="14"/>
  <c r="K40" i="14" s="1"/>
  <c r="E40" i="14"/>
  <c r="J40" i="14" s="1"/>
  <c r="AK39" i="14"/>
  <c r="AA39" i="14"/>
  <c r="Y39" i="14"/>
  <c r="W39" i="14"/>
  <c r="J39" i="14"/>
  <c r="F39" i="14"/>
  <c r="K39" i="14" s="1"/>
  <c r="E39" i="14"/>
  <c r="AK38" i="14"/>
  <c r="AA38" i="14"/>
  <c r="Y38" i="14"/>
  <c r="W38" i="14"/>
  <c r="P38" i="14"/>
  <c r="O38" i="14"/>
  <c r="K38" i="14"/>
  <c r="F38" i="14"/>
  <c r="E38" i="14"/>
  <c r="J38" i="14" s="1"/>
  <c r="AK37" i="14"/>
  <c r="AA37" i="14"/>
  <c r="Y37" i="14"/>
  <c r="W37" i="14"/>
  <c r="P37" i="14"/>
  <c r="O37" i="14"/>
  <c r="F37" i="14"/>
  <c r="K37" i="14" s="1"/>
  <c r="E37" i="14"/>
  <c r="J37" i="14" s="1"/>
  <c r="AK36" i="14"/>
  <c r="AA36" i="14"/>
  <c r="Y36" i="14"/>
  <c r="W36" i="14"/>
  <c r="P36" i="14"/>
  <c r="O36" i="14"/>
  <c r="F36" i="14"/>
  <c r="K36" i="14" s="1"/>
  <c r="E36" i="14"/>
  <c r="J36" i="14" s="1"/>
  <c r="AK35" i="14"/>
  <c r="AA35" i="14"/>
  <c r="Y35" i="14"/>
  <c r="W35" i="14"/>
  <c r="K35" i="14"/>
  <c r="F35" i="14"/>
  <c r="E35" i="14"/>
  <c r="J35" i="14" s="1"/>
  <c r="AK34" i="14"/>
  <c r="AA34" i="14"/>
  <c r="Y34" i="14"/>
  <c r="W34" i="14"/>
  <c r="P34" i="14"/>
  <c r="O34" i="14"/>
  <c r="F34" i="14"/>
  <c r="K34" i="14" s="1"/>
  <c r="E34" i="14"/>
  <c r="J34" i="14" s="1"/>
  <c r="AA33" i="14"/>
  <c r="Y33" i="14"/>
  <c r="W33" i="14"/>
  <c r="P33" i="14"/>
  <c r="O33" i="14"/>
  <c r="F33" i="14"/>
  <c r="K33" i="14" s="1"/>
  <c r="E33" i="14"/>
  <c r="J33" i="14" s="1"/>
  <c r="AA32" i="14"/>
  <c r="Y32" i="14"/>
  <c r="W32" i="14"/>
  <c r="P32" i="14"/>
  <c r="O32" i="14"/>
  <c r="F32" i="14"/>
  <c r="K32" i="14" s="1"/>
  <c r="E32" i="14"/>
  <c r="J32" i="14" s="1"/>
  <c r="K31" i="14"/>
  <c r="Q8" i="14" s="1"/>
  <c r="Q16" i="14" s="1"/>
  <c r="J31" i="14"/>
  <c r="P8" i="14" s="1"/>
  <c r="P16" i="14" s="1"/>
  <c r="F31" i="14"/>
  <c r="E31" i="14"/>
  <c r="F30" i="14"/>
  <c r="K30" i="14" s="1"/>
  <c r="E30" i="14"/>
  <c r="J30" i="14" s="1"/>
  <c r="AA29" i="14"/>
  <c r="Y29" i="14"/>
  <c r="W29" i="14"/>
  <c r="K29" i="14"/>
  <c r="F29" i="14"/>
  <c r="E29" i="14"/>
  <c r="J29" i="14" s="1"/>
  <c r="AC28" i="14"/>
  <c r="AA28" i="14"/>
  <c r="Y28" i="14"/>
  <c r="W28" i="14"/>
  <c r="K28" i="14"/>
  <c r="F28" i="14"/>
  <c r="E28" i="14"/>
  <c r="J28" i="14" s="1"/>
  <c r="AC27" i="14"/>
  <c r="AA27" i="14"/>
  <c r="Y27" i="14"/>
  <c r="W27" i="14"/>
  <c r="K27" i="14"/>
  <c r="J27" i="14"/>
  <c r="F27" i="14"/>
  <c r="E27" i="14"/>
  <c r="AC26" i="14"/>
  <c r="AA26" i="14"/>
  <c r="Y26" i="14"/>
  <c r="W26" i="14"/>
  <c r="F26" i="14"/>
  <c r="K26" i="14" s="1"/>
  <c r="E26" i="14"/>
  <c r="J26" i="14" s="1"/>
  <c r="AC25" i="14"/>
  <c r="AA25" i="14"/>
  <c r="Y25" i="14"/>
  <c r="W25" i="14"/>
  <c r="F25" i="14"/>
  <c r="K25" i="14" s="1"/>
  <c r="E25" i="14"/>
  <c r="J25" i="14" s="1"/>
  <c r="AC24" i="14"/>
  <c r="AA24" i="14"/>
  <c r="Y24" i="14"/>
  <c r="W24" i="14"/>
  <c r="Q24" i="14"/>
  <c r="F24" i="14"/>
  <c r="K24" i="14" s="1"/>
  <c r="E24" i="14"/>
  <c r="J24" i="14" s="1"/>
  <c r="AC23" i="14"/>
  <c r="AA23" i="14"/>
  <c r="Y23" i="14"/>
  <c r="W23" i="14"/>
  <c r="Q23" i="14"/>
  <c r="Q50" i="14" s="1"/>
  <c r="K23" i="14"/>
  <c r="F23" i="14"/>
  <c r="E23" i="14"/>
  <c r="J23" i="14" s="1"/>
  <c r="AC22" i="14"/>
  <c r="AA22" i="14"/>
  <c r="Y22" i="14"/>
  <c r="W22" i="14"/>
  <c r="Q22" i="14"/>
  <c r="Q38" i="14" s="1"/>
  <c r="J22" i="14"/>
  <c r="F22" i="14"/>
  <c r="K22" i="14" s="1"/>
  <c r="E22" i="14"/>
  <c r="AI21" i="14"/>
  <c r="AH21" i="14"/>
  <c r="AC21" i="14"/>
  <c r="AA21" i="14"/>
  <c r="Y21" i="14"/>
  <c r="W21" i="14"/>
  <c r="Q21" i="14"/>
  <c r="Q34" i="14" s="1"/>
  <c r="K21" i="14"/>
  <c r="Q7" i="14" s="1"/>
  <c r="Q15" i="14" s="1"/>
  <c r="F21" i="14"/>
  <c r="E21" i="14"/>
  <c r="J21" i="14" s="1"/>
  <c r="AA20" i="14"/>
  <c r="Y20" i="14"/>
  <c r="W20" i="14"/>
  <c r="J20" i="14"/>
  <c r="F20" i="14"/>
  <c r="K20" i="14" s="1"/>
  <c r="E20" i="14"/>
  <c r="F19" i="14"/>
  <c r="K19" i="14" s="1"/>
  <c r="E19" i="14"/>
  <c r="J19" i="14" s="1"/>
  <c r="F18" i="14"/>
  <c r="K18" i="14" s="1"/>
  <c r="E18" i="14"/>
  <c r="J18" i="14" s="1"/>
  <c r="F17" i="14"/>
  <c r="K17" i="14" s="1"/>
  <c r="E17" i="14"/>
  <c r="J17" i="14" s="1"/>
  <c r="K16" i="14"/>
  <c r="F16" i="14"/>
  <c r="E16" i="14"/>
  <c r="J16" i="14" s="1"/>
  <c r="J15" i="14"/>
  <c r="F15" i="14"/>
  <c r="K15" i="14" s="1"/>
  <c r="E15" i="14"/>
  <c r="K14" i="14"/>
  <c r="J14" i="14"/>
  <c r="F14" i="14"/>
  <c r="E14" i="14"/>
  <c r="F13" i="14"/>
  <c r="K13" i="14" s="1"/>
  <c r="E13" i="14"/>
  <c r="J13" i="14" s="1"/>
  <c r="J12" i="14"/>
  <c r="F12" i="14"/>
  <c r="K12" i="14" s="1"/>
  <c r="E12" i="14"/>
  <c r="Z11" i="14"/>
  <c r="Y11" i="14"/>
  <c r="Y12" i="14" s="1"/>
  <c r="K11" i="14"/>
  <c r="J11" i="14"/>
  <c r="F11" i="14"/>
  <c r="E11" i="14"/>
  <c r="Z10" i="14"/>
  <c r="J10" i="14"/>
  <c r="F10" i="14"/>
  <c r="K10" i="14" s="1"/>
  <c r="E10" i="14"/>
  <c r="Z9" i="14"/>
  <c r="Q9" i="14"/>
  <c r="Q17" i="14" s="1"/>
  <c r="F9" i="14"/>
  <c r="K9" i="14" s="1"/>
  <c r="E9" i="14"/>
  <c r="J9" i="14" s="1"/>
  <c r="K8" i="14"/>
  <c r="F8" i="14"/>
  <c r="E8" i="14"/>
  <c r="J8" i="14" s="1"/>
  <c r="P7" i="14"/>
  <c r="P15" i="14" s="1"/>
  <c r="J7" i="14"/>
  <c r="F7" i="14"/>
  <c r="K7" i="14" s="1"/>
  <c r="E7" i="14"/>
  <c r="F6" i="14"/>
  <c r="K6" i="14" s="1"/>
  <c r="E6" i="14"/>
  <c r="J6" i="14" s="1"/>
  <c r="J5" i="14"/>
  <c r="F5" i="14"/>
  <c r="K5" i="14" s="1"/>
  <c r="E5" i="14"/>
  <c r="Q4" i="14"/>
  <c r="F4" i="14"/>
  <c r="K4" i="14" s="1"/>
  <c r="E4" i="14"/>
  <c r="J4" i="14" s="1"/>
  <c r="K3" i="14"/>
  <c r="F3" i="14"/>
  <c r="E3" i="14"/>
  <c r="J3" i="14" s="1"/>
  <c r="F2" i="14"/>
  <c r="K2" i="14" s="1"/>
  <c r="E2" i="14"/>
  <c r="J2" i="14" s="1"/>
  <c r="D41" i="12"/>
  <c r="H39" i="12"/>
  <c r="H38" i="12"/>
  <c r="H37" i="12"/>
  <c r="H36" i="12"/>
  <c r="H35" i="12"/>
  <c r="H34" i="12"/>
  <c r="F34" i="12"/>
  <c r="E34" i="12"/>
  <c r="H33" i="12"/>
  <c r="H32" i="12"/>
  <c r="H31" i="12"/>
  <c r="H30" i="12"/>
  <c r="D29" i="12"/>
  <c r="D30" i="12" s="1"/>
  <c r="D26" i="12"/>
  <c r="D27" i="12" s="1"/>
  <c r="G23" i="12"/>
  <c r="F23" i="12"/>
  <c r="G22" i="12"/>
  <c r="F22" i="12"/>
  <c r="G21" i="12"/>
  <c r="F21" i="12"/>
  <c r="G20" i="12"/>
  <c r="F20" i="12"/>
  <c r="G18" i="12"/>
  <c r="F18" i="12"/>
  <c r="G17" i="12"/>
  <c r="F17" i="12"/>
  <c r="G15" i="12"/>
  <c r="F15" i="12"/>
  <c r="G14" i="12"/>
  <c r="F14" i="12"/>
  <c r="G12" i="12"/>
  <c r="F12" i="12"/>
  <c r="G11" i="12"/>
  <c r="F11" i="12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P26" i="11"/>
  <c r="H26" i="11"/>
  <c r="H25" i="11"/>
  <c r="P24" i="11"/>
  <c r="H24" i="11"/>
  <c r="H23" i="11"/>
  <c r="H22" i="11"/>
  <c r="R21" i="11"/>
  <c r="H21" i="11"/>
  <c r="R20" i="11"/>
  <c r="H20" i="11"/>
  <c r="R19" i="11"/>
  <c r="H19" i="11"/>
  <c r="R18" i="11"/>
  <c r="H18" i="11"/>
  <c r="R17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W15" i="10"/>
  <c r="W14" i="10"/>
  <c r="W13" i="10"/>
  <c r="W12" i="10"/>
  <c r="W11" i="10"/>
  <c r="Y7" i="10"/>
  <c r="Z7" i="10" s="1"/>
  <c r="W7" i="10"/>
  <c r="U7" i="10"/>
  <c r="W6" i="10"/>
  <c r="U6" i="10"/>
  <c r="Z5" i="10"/>
  <c r="W5" i="10"/>
  <c r="U5" i="10"/>
  <c r="Y5" i="10" s="1"/>
  <c r="Y4" i="10"/>
  <c r="Z4" i="10" s="1"/>
  <c r="W4" i="10"/>
  <c r="U4" i="10"/>
  <c r="W3" i="10"/>
  <c r="U3" i="10"/>
  <c r="Y3" i="10" s="1"/>
  <c r="Z3" i="10" s="1"/>
  <c r="D239" i="8"/>
  <c r="D237" i="8"/>
  <c r="E236" i="8"/>
  <c r="C236" i="8"/>
  <c r="D238" i="8" s="1"/>
  <c r="D228" i="8"/>
  <c r="C228" i="8"/>
  <c r="D227" i="8"/>
  <c r="D226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J195" i="8"/>
  <c r="D195" i="8"/>
  <c r="J194" i="8"/>
  <c r="D194" i="8"/>
  <c r="J193" i="8"/>
  <c r="D193" i="8"/>
  <c r="D192" i="8"/>
  <c r="J191" i="8"/>
  <c r="D191" i="8"/>
  <c r="J190" i="8"/>
  <c r="D190" i="8"/>
  <c r="J189" i="8"/>
  <c r="D189" i="8"/>
  <c r="J188" i="8"/>
  <c r="D188" i="8"/>
  <c r="L187" i="8"/>
  <c r="D187" i="8"/>
  <c r="D186" i="8"/>
  <c r="M185" i="8"/>
  <c r="L185" i="8"/>
  <c r="D185" i="8"/>
  <c r="M184" i="8"/>
  <c r="L184" i="8"/>
  <c r="D184" i="8"/>
  <c r="L183" i="8"/>
  <c r="M183" i="8" s="1"/>
  <c r="K180" i="8"/>
  <c r="K179" i="8"/>
  <c r="K178" i="8"/>
  <c r="K177" i="8"/>
  <c r="K176" i="8"/>
  <c r="L109" i="8"/>
  <c r="AB108" i="8"/>
  <c r="L108" i="8"/>
  <c r="AB107" i="8"/>
  <c r="L107" i="8"/>
  <c r="AB106" i="8"/>
  <c r="L106" i="8"/>
  <c r="AB105" i="8"/>
  <c r="L105" i="8"/>
  <c r="L104" i="8"/>
  <c r="L103" i="8"/>
  <c r="L102" i="8"/>
  <c r="AB101" i="8"/>
  <c r="L101" i="8"/>
  <c r="AB100" i="8"/>
  <c r="V100" i="8"/>
  <c r="P100" i="8"/>
  <c r="L100" i="8"/>
  <c r="AB99" i="8"/>
  <c r="V99" i="8"/>
  <c r="P99" i="8"/>
  <c r="L99" i="8"/>
  <c r="E99" i="8"/>
  <c r="AB98" i="8"/>
  <c r="V98" i="8"/>
  <c r="P98" i="8"/>
  <c r="L98" i="8"/>
  <c r="E98" i="8"/>
  <c r="AB97" i="8"/>
  <c r="V97" i="8"/>
  <c r="P97" i="8"/>
  <c r="L97" i="8"/>
  <c r="E97" i="8"/>
  <c r="AB96" i="8"/>
  <c r="V96" i="8"/>
  <c r="P96" i="8"/>
  <c r="L96" i="8"/>
  <c r="E96" i="8"/>
  <c r="E95" i="8"/>
  <c r="E94" i="8"/>
  <c r="Y93" i="8"/>
  <c r="L93" i="8"/>
  <c r="Y92" i="8"/>
  <c r="L92" i="8"/>
  <c r="E92" i="8"/>
  <c r="AH91" i="8"/>
  <c r="AE91" i="8"/>
  <c r="AB91" i="8"/>
  <c r="Y91" i="8"/>
  <c r="U91" i="8"/>
  <c r="R91" i="8"/>
  <c r="O91" i="8"/>
  <c r="L91" i="8"/>
  <c r="E91" i="8"/>
  <c r="AH90" i="8"/>
  <c r="AE90" i="8"/>
  <c r="AB90" i="8"/>
  <c r="Y90" i="8"/>
  <c r="U90" i="8"/>
  <c r="R90" i="8"/>
  <c r="O90" i="8"/>
  <c r="L90" i="8"/>
  <c r="E90" i="8"/>
  <c r="AH89" i="8"/>
  <c r="AE89" i="8"/>
  <c r="AB89" i="8"/>
  <c r="Y89" i="8"/>
  <c r="U89" i="8"/>
  <c r="R89" i="8"/>
  <c r="O89" i="8"/>
  <c r="L89" i="8"/>
  <c r="E89" i="8"/>
  <c r="AH88" i="8"/>
  <c r="AE88" i="8"/>
  <c r="AB88" i="8"/>
  <c r="Y88" i="8"/>
  <c r="U88" i="8"/>
  <c r="R88" i="8"/>
  <c r="O88" i="8"/>
  <c r="L88" i="8"/>
  <c r="E86" i="8"/>
  <c r="E85" i="8"/>
  <c r="E84" i="8"/>
  <c r="E83" i="8"/>
  <c r="E82" i="8"/>
  <c r="E81" i="8"/>
  <c r="E80" i="8"/>
  <c r="E79" i="8"/>
  <c r="E77" i="8"/>
  <c r="E76" i="8"/>
  <c r="E75" i="8"/>
  <c r="E74" i="8"/>
  <c r="E73" i="8"/>
  <c r="E72" i="8"/>
  <c r="E71" i="8"/>
  <c r="E70" i="8"/>
  <c r="M66" i="8"/>
  <c r="E66" i="8"/>
  <c r="E65" i="8"/>
  <c r="E64" i="8"/>
  <c r="E63" i="8"/>
  <c r="E62" i="8"/>
  <c r="E61" i="8"/>
  <c r="E60" i="8"/>
  <c r="E59" i="8"/>
  <c r="E57" i="8"/>
  <c r="E56" i="8"/>
  <c r="E55" i="8"/>
  <c r="E54" i="8"/>
  <c r="E53" i="8"/>
  <c r="E52" i="8"/>
  <c r="O51" i="8"/>
  <c r="J51" i="8"/>
  <c r="E51" i="8"/>
  <c r="O50" i="8"/>
  <c r="J50" i="8"/>
  <c r="E50" i="8"/>
  <c r="O49" i="8"/>
  <c r="J49" i="8"/>
  <c r="O48" i="8"/>
  <c r="J48" i="8"/>
  <c r="O47" i="8"/>
  <c r="J47" i="8"/>
  <c r="E47" i="8"/>
  <c r="O46" i="8"/>
  <c r="J46" i="8"/>
  <c r="E46" i="8"/>
  <c r="O45" i="8"/>
  <c r="J45" i="8"/>
  <c r="E45" i="8"/>
  <c r="O44" i="8"/>
  <c r="J44" i="8"/>
  <c r="E44" i="8"/>
  <c r="AR43" i="8"/>
  <c r="AJ43" i="8"/>
  <c r="AB43" i="8"/>
  <c r="O43" i="8"/>
  <c r="J43" i="8"/>
  <c r="E43" i="8"/>
  <c r="AR42" i="8"/>
  <c r="AJ42" i="8"/>
  <c r="AB42" i="8"/>
  <c r="O42" i="8"/>
  <c r="J42" i="8"/>
  <c r="E42" i="8"/>
  <c r="AR41" i="8"/>
  <c r="AJ41" i="8"/>
  <c r="AB41" i="8"/>
  <c r="O41" i="8"/>
  <c r="J41" i="8"/>
  <c r="E41" i="8"/>
  <c r="O40" i="8"/>
  <c r="J40" i="8"/>
  <c r="E40" i="8"/>
  <c r="AR39" i="8"/>
  <c r="AJ39" i="8"/>
  <c r="AB39" i="8"/>
  <c r="AR38" i="8"/>
  <c r="AJ38" i="8"/>
  <c r="AB38" i="8"/>
  <c r="AR37" i="8"/>
  <c r="AJ37" i="8"/>
  <c r="AB37" i="8"/>
  <c r="AR36" i="8"/>
  <c r="AJ36" i="8"/>
  <c r="AB36" i="8"/>
  <c r="AR34" i="8"/>
  <c r="AJ34" i="8"/>
  <c r="AB34" i="8"/>
  <c r="AR33" i="8"/>
  <c r="AJ33" i="8"/>
  <c r="AB33" i="8"/>
  <c r="AR32" i="8"/>
  <c r="AJ32" i="8"/>
  <c r="AB32" i="8"/>
  <c r="AR31" i="8"/>
  <c r="AJ31" i="8"/>
  <c r="AB31" i="8"/>
  <c r="AR29" i="8"/>
  <c r="AJ29" i="8"/>
  <c r="AB29" i="8"/>
  <c r="AR28" i="8"/>
  <c r="AJ28" i="8"/>
  <c r="AB28" i="8"/>
  <c r="AR27" i="8"/>
  <c r="AJ27" i="8"/>
  <c r="AB27" i="8"/>
  <c r="AR25" i="8"/>
  <c r="AJ25" i="8"/>
  <c r="AB25" i="8"/>
  <c r="AR24" i="8"/>
  <c r="AJ24" i="8"/>
  <c r="AB24" i="8"/>
  <c r="AR23" i="8"/>
  <c r="AJ23" i="8"/>
  <c r="AB23" i="8"/>
  <c r="AR21" i="8"/>
  <c r="AJ21" i="8"/>
  <c r="AB21" i="8"/>
  <c r="AR20" i="8"/>
  <c r="AJ20" i="8"/>
  <c r="AB20" i="8"/>
  <c r="AR19" i="8"/>
  <c r="AJ19" i="8"/>
  <c r="AB19" i="8"/>
  <c r="Y9" i="8"/>
  <c r="Y8" i="8"/>
  <c r="Y7" i="8"/>
  <c r="Y6" i="8"/>
  <c r="Y5" i="8"/>
  <c r="P15" i="7"/>
  <c r="O15" i="7"/>
  <c r="N15" i="7"/>
  <c r="M15" i="7"/>
  <c r="D14" i="7"/>
  <c r="AH13" i="7"/>
  <c r="Q13" i="7"/>
  <c r="D13" i="7"/>
  <c r="AI12" i="7"/>
  <c r="AH12" i="7"/>
  <c r="AG12" i="7"/>
  <c r="Q12" i="7"/>
  <c r="D12" i="7"/>
  <c r="AH11" i="7"/>
  <c r="Q11" i="7"/>
  <c r="AH10" i="7"/>
  <c r="Q10" i="7"/>
  <c r="AI9" i="7"/>
  <c r="AH9" i="7"/>
  <c r="Q9" i="7"/>
  <c r="Q8" i="7"/>
  <c r="I8" i="7"/>
  <c r="H8" i="7"/>
  <c r="G8" i="7"/>
  <c r="F8" i="7"/>
  <c r="AH7" i="7"/>
  <c r="AG7" i="7"/>
  <c r="Q7" i="7"/>
  <c r="I7" i="7"/>
  <c r="H7" i="7"/>
  <c r="G7" i="7"/>
  <c r="F7" i="7"/>
  <c r="AH6" i="7"/>
  <c r="Q6" i="7"/>
  <c r="Q15" i="7" s="1"/>
  <c r="I6" i="7"/>
  <c r="H6" i="7"/>
  <c r="G6" i="7"/>
  <c r="F6" i="7"/>
  <c r="AI5" i="7"/>
  <c r="AH5" i="7"/>
  <c r="AA5" i="7"/>
  <c r="Q5" i="7"/>
  <c r="I5" i="7"/>
  <c r="H5" i="7"/>
  <c r="G5" i="7"/>
  <c r="F5" i="7"/>
  <c r="AH4" i="7"/>
  <c r="AA4" i="7"/>
  <c r="Q4" i="7"/>
  <c r="I4" i="7"/>
  <c r="H4" i="7"/>
  <c r="G4" i="7"/>
  <c r="F4" i="7"/>
  <c r="AI3" i="7"/>
  <c r="AH3" i="7"/>
  <c r="AA3" i="7"/>
  <c r="Q3" i="7"/>
  <c r="I3" i="7"/>
  <c r="H3" i="7"/>
  <c r="AH8" i="7" s="1"/>
  <c r="G3" i="7"/>
  <c r="AG5" i="7" s="1"/>
  <c r="H43" i="5"/>
  <c r="C42" i="5"/>
  <c r="C41" i="5"/>
  <c r="J40" i="5"/>
  <c r="G40" i="5"/>
  <c r="G41" i="5" s="1"/>
  <c r="H42" i="5" s="1"/>
  <c r="C40" i="5"/>
  <c r="C39" i="5"/>
  <c r="C38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AO14" i="5"/>
  <c r="AL14" i="5" s="1"/>
  <c r="AO13" i="5"/>
  <c r="AL13" i="5" s="1"/>
  <c r="AO12" i="5"/>
  <c r="AO17" i="5" s="1"/>
  <c r="AO11" i="5"/>
  <c r="AL11" i="5" s="1"/>
  <c r="AO10" i="5"/>
  <c r="AL10" i="5" s="1"/>
  <c r="AL9" i="5"/>
  <c r="AL8" i="5"/>
  <c r="AL7" i="5"/>
  <c r="AL6" i="5"/>
  <c r="AI6" i="5"/>
  <c r="Y6" i="5"/>
  <c r="Y7" i="5" s="1"/>
  <c r="Y8" i="5" s="1"/>
  <c r="Y9" i="5" s="1"/>
  <c r="Y10" i="5" s="1"/>
  <c r="Y11" i="5" s="1"/>
  <c r="S6" i="5"/>
  <c r="T6" i="5" s="1"/>
  <c r="AA6" i="5" s="1"/>
  <c r="AD6" i="5" s="1"/>
  <c r="AL5" i="5"/>
  <c r="AY5" i="5" s="1"/>
  <c r="Z5" i="5"/>
  <c r="V5" i="5"/>
  <c r="T5" i="5"/>
  <c r="R2" i="5"/>
  <c r="Q2" i="5"/>
  <c r="CR72" i="4"/>
  <c r="CR73" i="4" s="1"/>
  <c r="CR74" i="4" s="1"/>
  <c r="CR75" i="4" s="1"/>
  <c r="CX68" i="4"/>
  <c r="CW68" i="4"/>
  <c r="CX67" i="4"/>
  <c r="CW67" i="4"/>
  <c r="CX66" i="4"/>
  <c r="CW66" i="4"/>
  <c r="CR66" i="4"/>
  <c r="CL66" i="4"/>
  <c r="CN66" i="4" s="1"/>
  <c r="CZ65" i="4"/>
  <c r="CZ66" i="4" s="1"/>
  <c r="CZ67" i="4" s="1"/>
  <c r="CZ68" i="4" s="1"/>
  <c r="CV65" i="4"/>
  <c r="CX65" i="4" s="1"/>
  <c r="CS65" i="4"/>
  <c r="CR65" i="4"/>
  <c r="CL65" i="4"/>
  <c r="CN65" i="4" s="1"/>
  <c r="CV64" i="4"/>
  <c r="CX64" i="4" s="1"/>
  <c r="CR64" i="4"/>
  <c r="CS64" i="4" s="1"/>
  <c r="CQ62" i="4"/>
  <c r="CQ61" i="4"/>
  <c r="CQ60" i="4"/>
  <c r="CQ59" i="4"/>
  <c r="AM37" i="4"/>
  <c r="AK37" i="4"/>
  <c r="AE37" i="4"/>
  <c r="AM36" i="4"/>
  <c r="AK36" i="4"/>
  <c r="AE36" i="4"/>
  <c r="I36" i="4"/>
  <c r="AM35" i="4"/>
  <c r="AK35" i="4"/>
  <c r="AE35" i="4"/>
  <c r="I35" i="4"/>
  <c r="AM34" i="4"/>
  <c r="AK34" i="4"/>
  <c r="AE34" i="4"/>
  <c r="I34" i="4"/>
  <c r="AR33" i="4"/>
  <c r="AM33" i="4"/>
  <c r="AE33" i="4"/>
  <c r="I33" i="4"/>
  <c r="AQ32" i="4"/>
  <c r="AQ33" i="4" s="1"/>
  <c r="AM32" i="4"/>
  <c r="I32" i="4"/>
  <c r="AP29" i="4"/>
  <c r="AO29" i="4"/>
  <c r="AN29" i="4"/>
  <c r="AE29" i="4"/>
  <c r="AO28" i="4"/>
  <c r="AN28" i="4"/>
  <c r="AP28" i="4" s="1"/>
  <c r="AE28" i="4"/>
  <c r="AP27" i="4"/>
  <c r="AO27" i="4"/>
  <c r="AN27" i="4"/>
  <c r="AE27" i="4"/>
  <c r="AP26" i="4"/>
  <c r="AO26" i="4"/>
  <c r="AN26" i="4"/>
  <c r="AE26" i="4"/>
  <c r="AD26" i="4"/>
  <c r="AO25" i="4"/>
  <c r="AP25" i="4" s="1"/>
  <c r="AN25" i="4"/>
  <c r="AE25" i="4"/>
  <c r="AO24" i="4"/>
  <c r="AN24" i="4"/>
  <c r="AP24" i="4" s="1"/>
  <c r="V17" i="4"/>
  <c r="V10" i="4"/>
  <c r="V3" i="4"/>
  <c r="I5" i="3"/>
  <c r="Q3" i="3"/>
  <c r="P3" i="3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4" i="2"/>
  <c r="B4" i="2"/>
  <c r="B5" i="2" s="1"/>
  <c r="H3" i="2"/>
  <c r="E3" i="2"/>
  <c r="C3" i="2"/>
  <c r="G3" i="2" s="1"/>
  <c r="B3" i="2"/>
  <c r="D3" i="2" s="1"/>
  <c r="G2" i="2"/>
  <c r="F2" i="2"/>
  <c r="E2" i="2"/>
  <c r="D2" i="2"/>
  <c r="O21" i="1"/>
  <c r="L21" i="1"/>
  <c r="K21" i="1"/>
  <c r="O18" i="1"/>
  <c r="N18" i="1"/>
  <c r="M18" i="1"/>
  <c r="O17" i="1"/>
  <c r="N17" i="1"/>
  <c r="O16" i="1"/>
  <c r="N16" i="1"/>
  <c r="M16" i="1"/>
  <c r="L10" i="1"/>
  <c r="K10" i="1"/>
  <c r="O7" i="1"/>
  <c r="N7" i="1"/>
  <c r="W6" i="1"/>
  <c r="V6" i="1"/>
  <c r="U6" i="1"/>
  <c r="U8" i="1" s="1"/>
  <c r="O6" i="1"/>
  <c r="N6" i="1"/>
  <c r="M6" i="1"/>
  <c r="W5" i="1"/>
  <c r="W8" i="1" s="1"/>
  <c r="V5" i="1"/>
  <c r="V8" i="1" s="1"/>
  <c r="U5" i="1"/>
  <c r="O5" i="1"/>
  <c r="O10" i="1" s="1"/>
  <c r="N5" i="1"/>
  <c r="O4" i="1"/>
  <c r="N4" i="1"/>
  <c r="N21" i="1" s="1"/>
  <c r="D4" i="1"/>
  <c r="Q90" i="20" l="1"/>
  <c r="T93" i="20"/>
  <c r="T96" i="20" s="1"/>
  <c r="Q86" i="20"/>
  <c r="T89" i="20"/>
  <c r="Q83" i="20"/>
  <c r="Q87" i="20"/>
  <c r="H2" i="20"/>
  <c r="H75" i="20" s="1"/>
  <c r="I2" i="20"/>
  <c r="I75" i="20" s="1"/>
  <c r="AA157" i="17"/>
  <c r="AA158" i="17"/>
  <c r="AA159" i="17"/>
  <c r="Y157" i="17"/>
  <c r="Y158" i="17"/>
  <c r="Y159" i="17"/>
  <c r="Z157" i="17"/>
  <c r="Z158" i="17"/>
  <c r="Z159" i="17"/>
  <c r="X158" i="17"/>
  <c r="X159" i="17"/>
  <c r="X157" i="17"/>
  <c r="E81" i="17"/>
  <c r="F81" i="17"/>
  <c r="G81" i="17"/>
  <c r="D81" i="17"/>
  <c r="E3" i="17"/>
  <c r="O2" i="17" s="1"/>
  <c r="F3" i="17"/>
  <c r="P2" i="17" s="1"/>
  <c r="G3" i="17"/>
  <c r="Q2" i="17" s="1"/>
  <c r="E22" i="18"/>
  <c r="E34" i="18"/>
  <c r="H9" i="18"/>
  <c r="G9" i="18"/>
  <c r="F9" i="18"/>
  <c r="E16" i="18"/>
  <c r="E28" i="18"/>
  <c r="H3" i="18"/>
  <c r="G3" i="18"/>
  <c r="F3" i="18"/>
  <c r="E24" i="18"/>
  <c r="E36" i="18"/>
  <c r="H11" i="18"/>
  <c r="G11" i="18"/>
  <c r="F11" i="18"/>
  <c r="E23" i="18"/>
  <c r="E35" i="18"/>
  <c r="H10" i="18"/>
  <c r="G10" i="18"/>
  <c r="F10" i="18"/>
  <c r="E21" i="18"/>
  <c r="E33" i="18"/>
  <c r="H8" i="18"/>
  <c r="G8" i="18"/>
  <c r="F8" i="18"/>
  <c r="E20" i="18"/>
  <c r="E32" i="18"/>
  <c r="H7" i="18"/>
  <c r="G7" i="18"/>
  <c r="F7" i="18"/>
  <c r="E19" i="18"/>
  <c r="E31" i="18"/>
  <c r="H6" i="18"/>
  <c r="G6" i="18"/>
  <c r="F6" i="18"/>
  <c r="E18" i="18"/>
  <c r="E30" i="18"/>
  <c r="H5" i="18"/>
  <c r="G5" i="18"/>
  <c r="F5" i="18"/>
  <c r="E17" i="18"/>
  <c r="E29" i="18"/>
  <c r="H4" i="18"/>
  <c r="G4" i="18"/>
  <c r="F4" i="18"/>
  <c r="G15" i="18"/>
  <c r="G27" i="18"/>
  <c r="F2" i="18"/>
  <c r="E15" i="18"/>
  <c r="E27" i="18"/>
  <c r="H2" i="18"/>
  <c r="X97" i="15"/>
  <c r="X92" i="15"/>
  <c r="X99" i="15"/>
  <c r="W93" i="15"/>
  <c r="X100" i="15"/>
  <c r="W101" i="15"/>
  <c r="W95" i="15"/>
  <c r="X96" i="15"/>
  <c r="AI7" i="5"/>
  <c r="AY6" i="5"/>
  <c r="AL12" i="5"/>
  <c r="Z6" i="5"/>
  <c r="S7" i="5"/>
  <c r="T7" i="5" s="1"/>
  <c r="AA7" i="5" s="1"/>
  <c r="AD7" i="5" s="1"/>
  <c r="AL17" i="5"/>
  <c r="AO22" i="5"/>
  <c r="AL22" i="5" s="1"/>
  <c r="S8" i="5"/>
  <c r="T8" i="5" s="1"/>
  <c r="AA8" i="5" s="1"/>
  <c r="AD8" i="5" s="1"/>
  <c r="AO16" i="5"/>
  <c r="AL16" i="5" s="1"/>
  <c r="AO18" i="5"/>
  <c r="AL18" i="5" s="1"/>
  <c r="D5" i="2"/>
  <c r="B6" i="2"/>
  <c r="Y12" i="5"/>
  <c r="Z11" i="5"/>
  <c r="N10" i="1"/>
  <c r="U5" i="5"/>
  <c r="U7" i="5"/>
  <c r="U6" i="5"/>
  <c r="Z10" i="5"/>
  <c r="F2" i="20"/>
  <c r="F75" i="20" s="1"/>
  <c r="D2" i="17"/>
  <c r="D3" i="17"/>
  <c r="N2" i="17" s="1"/>
  <c r="D60" i="14"/>
  <c r="I60" i="14" s="1"/>
  <c r="D56" i="14"/>
  <c r="I56" i="14" s="1"/>
  <c r="D53" i="14"/>
  <c r="I53" i="14" s="1"/>
  <c r="D26" i="14"/>
  <c r="I26" i="14" s="1"/>
  <c r="D4" i="14"/>
  <c r="I4" i="14" s="1"/>
  <c r="D2" i="14"/>
  <c r="I2" i="14" s="1"/>
  <c r="D47" i="14"/>
  <c r="I47" i="14" s="1"/>
  <c r="D46" i="14"/>
  <c r="I46" i="14" s="1"/>
  <c r="D45" i="14"/>
  <c r="I45" i="14" s="1"/>
  <c r="D44" i="14"/>
  <c r="I44" i="14" s="1"/>
  <c r="D10" i="14"/>
  <c r="I10" i="14" s="1"/>
  <c r="D27" i="14"/>
  <c r="I27" i="14" s="1"/>
  <c r="D48" i="14"/>
  <c r="I48" i="14" s="1"/>
  <c r="D28" i="14"/>
  <c r="I28" i="14" s="1"/>
  <c r="D20" i="14"/>
  <c r="I20" i="14" s="1"/>
  <c r="D7" i="14"/>
  <c r="I7" i="14" s="1"/>
  <c r="D5" i="14"/>
  <c r="I5" i="14" s="1"/>
  <c r="D4" i="17"/>
  <c r="X2" i="17" s="1"/>
  <c r="D58" i="14"/>
  <c r="I58" i="14" s="1"/>
  <c r="D54" i="14"/>
  <c r="I54" i="14" s="1"/>
  <c r="D29" i="14"/>
  <c r="I29" i="14" s="1"/>
  <c r="D3" i="14"/>
  <c r="I3" i="14" s="1"/>
  <c r="D50" i="14"/>
  <c r="I50" i="14" s="1"/>
  <c r="D49" i="14"/>
  <c r="I49" i="14" s="1"/>
  <c r="D42" i="14"/>
  <c r="I42" i="14" s="1"/>
  <c r="D39" i="14"/>
  <c r="I39" i="14" s="1"/>
  <c r="D22" i="14"/>
  <c r="I22" i="14" s="1"/>
  <c r="D15" i="14"/>
  <c r="I15" i="14" s="1"/>
  <c r="D12" i="14"/>
  <c r="I12" i="14" s="1"/>
  <c r="D51" i="14"/>
  <c r="I51" i="14" s="1"/>
  <c r="O10" i="14" s="1"/>
  <c r="O18" i="14" s="1"/>
  <c r="D41" i="14"/>
  <c r="I41" i="14" s="1"/>
  <c r="O9" i="14" s="1"/>
  <c r="O17" i="14" s="1"/>
  <c r="D38" i="14"/>
  <c r="I38" i="14" s="1"/>
  <c r="D35" i="14"/>
  <c r="I35" i="14" s="1"/>
  <c r="D23" i="14"/>
  <c r="I23" i="14" s="1"/>
  <c r="D21" i="14"/>
  <c r="I21" i="14" s="1"/>
  <c r="O7" i="14" s="1"/>
  <c r="O15" i="14" s="1"/>
  <c r="D16" i="14"/>
  <c r="I16" i="14" s="1"/>
  <c r="D8" i="14"/>
  <c r="I8" i="14" s="1"/>
  <c r="D2" i="16"/>
  <c r="D59" i="14"/>
  <c r="I59" i="14" s="1"/>
  <c r="D55" i="14"/>
  <c r="I55" i="14" s="1"/>
  <c r="D52" i="14"/>
  <c r="I52" i="14" s="1"/>
  <c r="D40" i="14"/>
  <c r="I40" i="14" s="1"/>
  <c r="D37" i="14"/>
  <c r="I37" i="14" s="1"/>
  <c r="D34" i="14"/>
  <c r="I34" i="14" s="1"/>
  <c r="D33" i="14"/>
  <c r="I33" i="14" s="1"/>
  <c r="D32" i="14"/>
  <c r="I32" i="14" s="1"/>
  <c r="D30" i="14"/>
  <c r="I30" i="14" s="1"/>
  <c r="D24" i="14"/>
  <c r="I24" i="14" s="1"/>
  <c r="D17" i="14"/>
  <c r="I17" i="14" s="1"/>
  <c r="D19" i="14"/>
  <c r="I19" i="14" s="1"/>
  <c r="D13" i="14"/>
  <c r="I13" i="14" s="1"/>
  <c r="D9" i="14"/>
  <c r="I9" i="14" s="1"/>
  <c r="D6" i="14"/>
  <c r="I6" i="14" s="1"/>
  <c r="D3" i="16"/>
  <c r="D43" i="14"/>
  <c r="I43" i="14" s="1"/>
  <c r="D57" i="14"/>
  <c r="I57" i="14" s="1"/>
  <c r="D18" i="14"/>
  <c r="I18" i="14" s="1"/>
  <c r="D31" i="14"/>
  <c r="I31" i="14" s="1"/>
  <c r="O8" i="14" s="1"/>
  <c r="O16" i="14" s="1"/>
  <c r="D25" i="14"/>
  <c r="I25" i="14" s="1"/>
  <c r="D36" i="14"/>
  <c r="I36" i="14" s="1"/>
  <c r="D14" i="14"/>
  <c r="I14" i="14" s="1"/>
  <c r="D11" i="14"/>
  <c r="I11" i="14" s="1"/>
  <c r="F3" i="7"/>
  <c r="D61" i="14"/>
  <c r="I61" i="14" s="1"/>
  <c r="M4" i="1"/>
  <c r="C4" i="2"/>
  <c r="F3" i="2"/>
  <c r="AA5" i="5"/>
  <c r="AD5" i="5" s="1"/>
  <c r="AE5" i="5" s="1"/>
  <c r="V7" i="5"/>
  <c r="CR67" i="4"/>
  <c r="CS66" i="4"/>
  <c r="Z7" i="5"/>
  <c r="AE7" i="5" s="1"/>
  <c r="Z9" i="5"/>
  <c r="AG3" i="7"/>
  <c r="AG8" i="7"/>
  <c r="AG10" i="7"/>
  <c r="AG6" i="7"/>
  <c r="AG9" i="7"/>
  <c r="AG13" i="7"/>
  <c r="Z8" i="5"/>
  <c r="M7" i="1"/>
  <c r="AG4" i="7"/>
  <c r="S9" i="5"/>
  <c r="M17" i="1"/>
  <c r="AO15" i="5"/>
  <c r="AO19" i="5"/>
  <c r="AI8" i="7"/>
  <c r="AI4" i="7"/>
  <c r="AI10" i="7"/>
  <c r="AI6" i="7"/>
  <c r="AI13" i="7"/>
  <c r="AI11" i="7"/>
  <c r="AI7" i="7"/>
  <c r="M5" i="1"/>
  <c r="CW65" i="4"/>
  <c r="V6" i="5"/>
  <c r="R6" i="5" s="1"/>
  <c r="AG11" i="7"/>
  <c r="X94" i="15"/>
  <c r="W94" i="15"/>
  <c r="W58" i="14"/>
  <c r="Y58" i="14"/>
  <c r="Z12" i="14"/>
  <c r="Y13" i="14"/>
  <c r="W54" i="14"/>
  <c r="Y54" i="14"/>
  <c r="B6" i="16"/>
  <c r="D5" i="16"/>
  <c r="Y6" i="10"/>
  <c r="Z6" i="10" s="1"/>
  <c r="W51" i="14"/>
  <c r="Y51" i="14"/>
  <c r="K181" i="8"/>
  <c r="Q46" i="14"/>
  <c r="Q45" i="14"/>
  <c r="Q44" i="14"/>
  <c r="W57" i="14"/>
  <c r="W61" i="14"/>
  <c r="G4" i="16"/>
  <c r="E4" i="16"/>
  <c r="D4" i="16"/>
  <c r="G4" i="17"/>
  <c r="AA2" i="17" s="1"/>
  <c r="F4" i="17"/>
  <c r="Z2" i="17" s="1"/>
  <c r="X98" i="15"/>
  <c r="W98" i="15"/>
  <c r="E4" i="17"/>
  <c r="Y2" i="17" s="1"/>
  <c r="Q36" i="14"/>
  <c r="F5" i="16"/>
  <c r="D5" i="17"/>
  <c r="N3" i="17" s="1"/>
  <c r="Q32" i="14"/>
  <c r="Q33" i="14"/>
  <c r="Q37" i="14"/>
  <c r="Q40" i="14"/>
  <c r="Q51" i="14"/>
  <c r="L3" i="16"/>
  <c r="L6" i="16" s="1"/>
  <c r="C6" i="16"/>
  <c r="Q41" i="14"/>
  <c r="D4" i="20"/>
  <c r="E3" i="20"/>
  <c r="F3" i="20"/>
  <c r="F76" i="20" s="1"/>
  <c r="U2" i="20"/>
  <c r="V2" i="20"/>
  <c r="T92" i="20"/>
  <c r="Q89" i="20"/>
  <c r="E9" i="23"/>
  <c r="F8" i="23"/>
  <c r="T94" i="20"/>
  <c r="Q91" i="20"/>
  <c r="J7" i="23"/>
  <c r="Q93" i="20"/>
  <c r="Q116" i="20"/>
  <c r="Q96" i="20"/>
  <c r="T99" i="20"/>
  <c r="Q119" i="20"/>
  <c r="T122" i="20"/>
  <c r="W2" i="20" l="1"/>
  <c r="X2" i="20"/>
  <c r="AA160" i="17"/>
  <c r="AA161" i="17"/>
  <c r="AA162" i="17"/>
  <c r="Z160" i="17"/>
  <c r="Z161" i="17"/>
  <c r="Z162" i="17"/>
  <c r="Y161" i="17"/>
  <c r="Y162" i="17"/>
  <c r="Y160" i="17"/>
  <c r="X161" i="17"/>
  <c r="X160" i="17"/>
  <c r="X162" i="17"/>
  <c r="F82" i="17"/>
  <c r="E82" i="17"/>
  <c r="G82" i="17"/>
  <c r="D82" i="17"/>
  <c r="F22" i="18"/>
  <c r="F34" i="18"/>
  <c r="G22" i="18"/>
  <c r="G34" i="18"/>
  <c r="F16" i="18"/>
  <c r="F28" i="18"/>
  <c r="G16" i="18"/>
  <c r="G28" i="18"/>
  <c r="F24" i="18"/>
  <c r="F36" i="18"/>
  <c r="G24" i="18"/>
  <c r="G36" i="18"/>
  <c r="F23" i="18"/>
  <c r="F35" i="18"/>
  <c r="G23" i="18"/>
  <c r="G35" i="18"/>
  <c r="F21" i="18"/>
  <c r="F33" i="18"/>
  <c r="G21" i="18"/>
  <c r="G33" i="18"/>
  <c r="F20" i="18"/>
  <c r="F32" i="18"/>
  <c r="G20" i="18"/>
  <c r="G32" i="18"/>
  <c r="F19" i="18"/>
  <c r="F31" i="18"/>
  <c r="G19" i="18"/>
  <c r="G31" i="18"/>
  <c r="F18" i="18"/>
  <c r="F30" i="18"/>
  <c r="G18" i="18"/>
  <c r="G30" i="18"/>
  <c r="F17" i="18"/>
  <c r="F29" i="18"/>
  <c r="G17" i="18"/>
  <c r="G29" i="18"/>
  <c r="F15" i="18"/>
  <c r="F27" i="18"/>
  <c r="AO27" i="5"/>
  <c r="AL27" i="5" s="1"/>
  <c r="AI8" i="5"/>
  <c r="AY7" i="5"/>
  <c r="V8" i="5"/>
  <c r="AE8" i="5" s="1"/>
  <c r="R7" i="5"/>
  <c r="U8" i="5"/>
  <c r="AO23" i="5"/>
  <c r="AO28" i="5" s="1"/>
  <c r="AL28" i="5" s="1"/>
  <c r="AO21" i="5"/>
  <c r="AO26" i="5" s="1"/>
  <c r="AL26" i="5" s="1"/>
  <c r="AE6" i="5"/>
  <c r="R8" i="5"/>
  <c r="AL15" i="5"/>
  <c r="AO20" i="5"/>
  <c r="M21" i="1"/>
  <c r="M10" i="1"/>
  <c r="P10" i="1" s="1"/>
  <c r="Z13" i="14"/>
  <c r="Y14" i="14"/>
  <c r="CR68" i="4"/>
  <c r="CS68" i="4" s="1"/>
  <c r="CS67" i="4"/>
  <c r="J8" i="23"/>
  <c r="G8" i="23"/>
  <c r="AF13" i="7"/>
  <c r="AF11" i="7"/>
  <c r="AF7" i="7"/>
  <c r="AF3" i="7"/>
  <c r="AF4" i="7"/>
  <c r="AF12" i="7"/>
  <c r="AF5" i="7"/>
  <c r="AF6" i="7"/>
  <c r="AF10" i="7"/>
  <c r="AF8" i="7"/>
  <c r="AF9" i="7"/>
  <c r="F9" i="23"/>
  <c r="E10" i="23"/>
  <c r="I3" i="20"/>
  <c r="H3" i="20"/>
  <c r="G3" i="20"/>
  <c r="M181" i="8"/>
  <c r="L181" i="8"/>
  <c r="T9" i="5"/>
  <c r="V9" i="5"/>
  <c r="S10" i="5"/>
  <c r="Q122" i="20"/>
  <c r="T125" i="20"/>
  <c r="Q125" i="20" s="1"/>
  <c r="D5" i="20"/>
  <c r="F4" i="20"/>
  <c r="U3" i="20" s="1"/>
  <c r="E4" i="20"/>
  <c r="D6" i="17"/>
  <c r="T97" i="20"/>
  <c r="Q94" i="20"/>
  <c r="Q99" i="20"/>
  <c r="T102" i="20"/>
  <c r="Z12" i="5"/>
  <c r="Y13" i="5"/>
  <c r="G5" i="17"/>
  <c r="Q3" i="17" s="1"/>
  <c r="E5" i="17"/>
  <c r="O3" i="17" s="1"/>
  <c r="F5" i="17"/>
  <c r="P3" i="17" s="1"/>
  <c r="D6" i="16"/>
  <c r="B7" i="16"/>
  <c r="R5" i="5"/>
  <c r="B7" i="2"/>
  <c r="D6" i="2"/>
  <c r="T95" i="20"/>
  <c r="Q92" i="20"/>
  <c r="G6" i="16"/>
  <c r="E6" i="16"/>
  <c r="C7" i="16"/>
  <c r="F6" i="16"/>
  <c r="AL19" i="5"/>
  <c r="AO24" i="5"/>
  <c r="C5" i="2"/>
  <c r="G4" i="2"/>
  <c r="F4" i="2"/>
  <c r="I3" i="16"/>
  <c r="I6" i="16" s="1"/>
  <c r="AA164" i="17" l="1"/>
  <c r="AA163" i="17"/>
  <c r="AA165" i="17"/>
  <c r="Y165" i="17"/>
  <c r="Y163" i="17"/>
  <c r="Y164" i="17"/>
  <c r="Z164" i="17"/>
  <c r="Z165" i="17"/>
  <c r="Z163" i="17"/>
  <c r="X163" i="17"/>
  <c r="X164" i="17"/>
  <c r="X165" i="17"/>
  <c r="D83" i="17"/>
  <c r="F83" i="17"/>
  <c r="E83" i="17"/>
  <c r="G83" i="17"/>
  <c r="AI9" i="5"/>
  <c r="AY8" i="5"/>
  <c r="AL21" i="5"/>
  <c r="AL23" i="5"/>
  <c r="X4" i="17"/>
  <c r="X3" i="17"/>
  <c r="X5" i="17"/>
  <c r="X6" i="17"/>
  <c r="I76" i="20"/>
  <c r="D7" i="17"/>
  <c r="N4" i="17" s="1"/>
  <c r="Q102" i="20"/>
  <c r="T105" i="20"/>
  <c r="Z14" i="14"/>
  <c r="Y15" i="14"/>
  <c r="C8" i="16"/>
  <c r="G7" i="16"/>
  <c r="F7" i="16"/>
  <c r="E7" i="16"/>
  <c r="D7" i="16"/>
  <c r="B8" i="16"/>
  <c r="S11" i="5"/>
  <c r="T10" i="5"/>
  <c r="AA10" i="5" s="1"/>
  <c r="AD10" i="5" s="1"/>
  <c r="V10" i="5"/>
  <c r="E11" i="23"/>
  <c r="F10" i="23"/>
  <c r="Y14" i="5"/>
  <c r="Z14" i="5" s="1"/>
  <c r="Z13" i="5"/>
  <c r="I4" i="20"/>
  <c r="X3" i="20" s="1"/>
  <c r="H4" i="20"/>
  <c r="W3" i="20" s="1"/>
  <c r="G4" i="20"/>
  <c r="J9" i="23"/>
  <c r="G9" i="23"/>
  <c r="AA9" i="5"/>
  <c r="AD9" i="5" s="1"/>
  <c r="AE9" i="5" s="1"/>
  <c r="U9" i="5"/>
  <c r="F5" i="2"/>
  <c r="C6" i="2"/>
  <c r="G5" i="2"/>
  <c r="F77" i="20"/>
  <c r="T98" i="20"/>
  <c r="Q95" i="20"/>
  <c r="G6" i="17"/>
  <c r="F6" i="17"/>
  <c r="E6" i="17"/>
  <c r="D6" i="20"/>
  <c r="F5" i="20"/>
  <c r="E5" i="20"/>
  <c r="Q97" i="20"/>
  <c r="T100" i="20"/>
  <c r="AL24" i="5"/>
  <c r="AO29" i="5"/>
  <c r="AL29" i="5" s="1"/>
  <c r="D7" i="2"/>
  <c r="B8" i="2"/>
  <c r="G76" i="20"/>
  <c r="V3" i="20"/>
  <c r="AL20" i="5"/>
  <c r="AO25" i="5"/>
  <c r="AL25" i="5" s="1"/>
  <c r="H76" i="20"/>
  <c r="AA168" i="17" l="1"/>
  <c r="AA166" i="17"/>
  <c r="AA167" i="17"/>
  <c r="Z168" i="17"/>
  <c r="Z166" i="17"/>
  <c r="Z167" i="17"/>
  <c r="Y166" i="17"/>
  <c r="Y167" i="17"/>
  <c r="Y168" i="17"/>
  <c r="E85" i="17"/>
  <c r="G85" i="17"/>
  <c r="F85" i="17"/>
  <c r="D84" i="17"/>
  <c r="X167" i="17"/>
  <c r="X166" i="17"/>
  <c r="X168" i="17"/>
  <c r="F84" i="17"/>
  <c r="E84" i="17"/>
  <c r="G84" i="17"/>
  <c r="AI10" i="5"/>
  <c r="AY9" i="5"/>
  <c r="AE10" i="5"/>
  <c r="F11" i="23"/>
  <c r="E12" i="23"/>
  <c r="R10" i="5"/>
  <c r="C9" i="16"/>
  <c r="G8" i="16"/>
  <c r="F8" i="16"/>
  <c r="E8" i="16"/>
  <c r="C7" i="2"/>
  <c r="G6" i="2"/>
  <c r="F6" i="2"/>
  <c r="Z15" i="14"/>
  <c r="Y16" i="14"/>
  <c r="Z3" i="17"/>
  <c r="Z6" i="17"/>
  <c r="Z4" i="17"/>
  <c r="Z5" i="17"/>
  <c r="V11" i="5"/>
  <c r="S12" i="5"/>
  <c r="T11" i="5"/>
  <c r="B9" i="2"/>
  <c r="D8" i="2"/>
  <c r="G7" i="17"/>
  <c r="Q4" i="17" s="1"/>
  <c r="F7" i="17"/>
  <c r="P4" i="17" s="1"/>
  <c r="E7" i="17"/>
  <c r="O4" i="17" s="1"/>
  <c r="T103" i="20"/>
  <c r="Q100" i="20"/>
  <c r="T108" i="20"/>
  <c r="Q105" i="20"/>
  <c r="AA3" i="17"/>
  <c r="AA6" i="17"/>
  <c r="AA4" i="17"/>
  <c r="AA5" i="17"/>
  <c r="U10" i="5"/>
  <c r="R9" i="5"/>
  <c r="J10" i="23"/>
  <c r="G10" i="23"/>
  <c r="I5" i="20"/>
  <c r="G5" i="20"/>
  <c r="H5" i="20"/>
  <c r="Q98" i="20"/>
  <c r="T101" i="20"/>
  <c r="G77" i="20"/>
  <c r="F78" i="20"/>
  <c r="H77" i="20"/>
  <c r="D8" i="17"/>
  <c r="Y4" i="17"/>
  <c r="Y3" i="17"/>
  <c r="Y6" i="17"/>
  <c r="Y5" i="17"/>
  <c r="D7" i="20"/>
  <c r="F6" i="20"/>
  <c r="E6" i="20"/>
  <c r="I77" i="20"/>
  <c r="B9" i="16"/>
  <c r="D8" i="16"/>
  <c r="F79" i="20" l="1"/>
  <c r="U4" i="20"/>
  <c r="Y174" i="17"/>
  <c r="Y172" i="17"/>
  <c r="Y173" i="17"/>
  <c r="E86" i="17"/>
  <c r="F86" i="17"/>
  <c r="G86" i="17"/>
  <c r="AA169" i="17"/>
  <c r="AA170" i="17"/>
  <c r="AA171" i="17"/>
  <c r="Z170" i="17"/>
  <c r="Z169" i="17"/>
  <c r="Z171" i="17"/>
  <c r="Y169" i="17"/>
  <c r="Y170" i="17"/>
  <c r="Y171" i="17"/>
  <c r="AA172" i="17"/>
  <c r="AA173" i="17"/>
  <c r="AA174" i="17"/>
  <c r="Z173" i="17"/>
  <c r="Z174" i="17"/>
  <c r="Z172" i="17"/>
  <c r="D85" i="17"/>
  <c r="X169" i="17"/>
  <c r="X170" i="17"/>
  <c r="X171" i="17"/>
  <c r="AI11" i="5"/>
  <c r="AY10" i="5"/>
  <c r="B10" i="2"/>
  <c r="D9" i="2"/>
  <c r="F7" i="2"/>
  <c r="G7" i="2"/>
  <c r="C8" i="2"/>
  <c r="Q101" i="20"/>
  <c r="T104" i="20"/>
  <c r="AA11" i="5"/>
  <c r="AD11" i="5" s="1"/>
  <c r="AE11" i="5" s="1"/>
  <c r="U11" i="5"/>
  <c r="B10" i="16"/>
  <c r="D9" i="16"/>
  <c r="D9" i="17"/>
  <c r="H78" i="20"/>
  <c r="F7" i="20"/>
  <c r="F80" i="20" s="1"/>
  <c r="E7" i="20"/>
  <c r="D8" i="20"/>
  <c r="G78" i="20"/>
  <c r="Q108" i="20"/>
  <c r="T111" i="20"/>
  <c r="F9" i="16"/>
  <c r="E9" i="16"/>
  <c r="C10" i="16"/>
  <c r="G9" i="16"/>
  <c r="I78" i="20"/>
  <c r="T106" i="20"/>
  <c r="Q103" i="20"/>
  <c r="F12" i="23"/>
  <c r="E13" i="23"/>
  <c r="T12" i="5"/>
  <c r="V12" i="5"/>
  <c r="S13" i="5"/>
  <c r="I6" i="20"/>
  <c r="H6" i="20"/>
  <c r="G6" i="20"/>
  <c r="G11" i="23"/>
  <c r="J11" i="23"/>
  <c r="E8" i="17"/>
  <c r="F8" i="17"/>
  <c r="G8" i="17"/>
  <c r="Y17" i="14"/>
  <c r="Z16" i="14"/>
  <c r="H79" i="20" l="1"/>
  <c r="W4" i="20"/>
  <c r="G79" i="20"/>
  <c r="V4" i="20"/>
  <c r="I79" i="20"/>
  <c r="X4" i="20"/>
  <c r="U9" i="20"/>
  <c r="AA175" i="17"/>
  <c r="AA176" i="17"/>
  <c r="AA177" i="17"/>
  <c r="Z175" i="17"/>
  <c r="Z177" i="17"/>
  <c r="Z176" i="17"/>
  <c r="Y176" i="17"/>
  <c r="Y177" i="17"/>
  <c r="Y175" i="17"/>
  <c r="G87" i="17"/>
  <c r="E87" i="17"/>
  <c r="F87" i="17"/>
  <c r="D86" i="17"/>
  <c r="X173" i="17"/>
  <c r="X172" i="17"/>
  <c r="X174" i="17"/>
  <c r="AI12" i="5"/>
  <c r="AY11" i="5"/>
  <c r="R11" i="5"/>
  <c r="B11" i="16"/>
  <c r="D10" i="16"/>
  <c r="Y18" i="14"/>
  <c r="Z18" i="14" s="1"/>
  <c r="Z17" i="14"/>
  <c r="Q111" i="20"/>
  <c r="T114" i="20"/>
  <c r="E14" i="23"/>
  <c r="F13" i="23"/>
  <c r="V13" i="5"/>
  <c r="S14" i="5"/>
  <c r="T13" i="5"/>
  <c r="U13" i="5" s="1"/>
  <c r="G12" i="23"/>
  <c r="J12" i="23"/>
  <c r="T107" i="20"/>
  <c r="Q104" i="20"/>
  <c r="G9" i="17"/>
  <c r="F9" i="17"/>
  <c r="E9" i="17"/>
  <c r="T109" i="20"/>
  <c r="Q106" i="20"/>
  <c r="C9" i="2"/>
  <c r="G8" i="2"/>
  <c r="F8" i="2"/>
  <c r="AA12" i="5"/>
  <c r="AD12" i="5" s="1"/>
  <c r="AE12" i="5" s="1"/>
  <c r="U12" i="5"/>
  <c r="D9" i="20"/>
  <c r="F8" i="20"/>
  <c r="U5" i="20" s="1"/>
  <c r="E8" i="20"/>
  <c r="I7" i="20"/>
  <c r="I80" i="20" s="1"/>
  <c r="G7" i="20"/>
  <c r="G80" i="20" s="1"/>
  <c r="H7" i="20"/>
  <c r="H80" i="20" s="1"/>
  <c r="X9" i="17"/>
  <c r="N5" i="17"/>
  <c r="X7" i="17"/>
  <c r="X8" i="17"/>
  <c r="C11" i="16"/>
  <c r="G10" i="16"/>
  <c r="F10" i="16"/>
  <c r="E10" i="16"/>
  <c r="D10" i="17"/>
  <c r="B11" i="2"/>
  <c r="D10" i="2"/>
  <c r="X9" i="20" l="1"/>
  <c r="V9" i="20"/>
  <c r="W9" i="20"/>
  <c r="F88" i="17"/>
  <c r="G88" i="17"/>
  <c r="E88" i="17"/>
  <c r="X177" i="17"/>
  <c r="X175" i="17"/>
  <c r="X176" i="17"/>
  <c r="D87" i="17"/>
  <c r="AI13" i="5"/>
  <c r="AY12" i="5"/>
  <c r="AA13" i="5"/>
  <c r="AD13" i="5" s="1"/>
  <c r="AE13" i="5" s="1"/>
  <c r="S15" i="5"/>
  <c r="V14" i="5"/>
  <c r="T14" i="5"/>
  <c r="T117" i="20"/>
  <c r="Q114" i="20"/>
  <c r="I8" i="20"/>
  <c r="X5" i="20" s="1"/>
  <c r="H8" i="20"/>
  <c r="W5" i="20" s="1"/>
  <c r="G8" i="20"/>
  <c r="V5" i="20" s="1"/>
  <c r="R12" i="5"/>
  <c r="F81" i="20"/>
  <c r="J13" i="23"/>
  <c r="G13" i="23"/>
  <c r="F9" i="20"/>
  <c r="E9" i="20"/>
  <c r="D10" i="20"/>
  <c r="Q109" i="20"/>
  <c r="T112" i="20"/>
  <c r="Z9" i="17"/>
  <c r="P5" i="17"/>
  <c r="Z8" i="17"/>
  <c r="Z7" i="17"/>
  <c r="F14" i="23"/>
  <c r="E15" i="23"/>
  <c r="Y9" i="17"/>
  <c r="O5" i="17"/>
  <c r="Y8" i="17"/>
  <c r="Y7" i="17"/>
  <c r="F11" i="16"/>
  <c r="E11" i="16"/>
  <c r="C12" i="16"/>
  <c r="G11" i="16"/>
  <c r="AA9" i="17"/>
  <c r="Q5" i="17"/>
  <c r="AA8" i="17"/>
  <c r="AA7" i="17"/>
  <c r="B12" i="2"/>
  <c r="D11" i="2"/>
  <c r="D11" i="17"/>
  <c r="F9" i="2"/>
  <c r="C10" i="2"/>
  <c r="G9" i="2"/>
  <c r="G10" i="17"/>
  <c r="F10" i="17"/>
  <c r="E10" i="17"/>
  <c r="B12" i="16"/>
  <c r="D11" i="16"/>
  <c r="T110" i="20"/>
  <c r="Q110" i="20" s="1"/>
  <c r="Q107" i="20"/>
  <c r="E89" i="17" l="1"/>
  <c r="F89" i="17"/>
  <c r="G89" i="17"/>
  <c r="D88" i="17"/>
  <c r="AI14" i="5"/>
  <c r="AY13" i="5"/>
  <c r="R13" i="5"/>
  <c r="D12" i="17"/>
  <c r="C13" i="16"/>
  <c r="E12" i="16"/>
  <c r="F12" i="16"/>
  <c r="G12" i="16"/>
  <c r="G81" i="20"/>
  <c r="D12" i="2"/>
  <c r="B13" i="2"/>
  <c r="T115" i="20"/>
  <c r="Q112" i="20"/>
  <c r="H81" i="20"/>
  <c r="T120" i="20"/>
  <c r="Q117" i="20"/>
  <c r="I81" i="20"/>
  <c r="AA14" i="5"/>
  <c r="AD14" i="5" s="1"/>
  <c r="AE14" i="5" s="1"/>
  <c r="U14" i="5"/>
  <c r="D11" i="20"/>
  <c r="F10" i="20"/>
  <c r="E10" i="20"/>
  <c r="X10" i="17"/>
  <c r="N6" i="17"/>
  <c r="X11" i="17"/>
  <c r="X12" i="17"/>
  <c r="G11" i="17"/>
  <c r="E11" i="17"/>
  <c r="F11" i="17"/>
  <c r="H9" i="20"/>
  <c r="G9" i="20"/>
  <c r="I9" i="20"/>
  <c r="V15" i="5"/>
  <c r="T15" i="5"/>
  <c r="S16" i="5"/>
  <c r="F82" i="20"/>
  <c r="U10" i="20" s="1"/>
  <c r="B13" i="16"/>
  <c r="D12" i="16"/>
  <c r="E16" i="23"/>
  <c r="F15" i="23"/>
  <c r="C11" i="2"/>
  <c r="F10" i="2"/>
  <c r="G10" i="2"/>
  <c r="J14" i="23"/>
  <c r="G14" i="23"/>
  <c r="F83" i="20" l="1"/>
  <c r="U6" i="20"/>
  <c r="E90" i="17"/>
  <c r="F90" i="17"/>
  <c r="G90" i="17"/>
  <c r="D89" i="17"/>
  <c r="AI15" i="5"/>
  <c r="AY14" i="5"/>
  <c r="Y10" i="17"/>
  <c r="O6" i="17"/>
  <c r="Y12" i="17"/>
  <c r="Y11" i="17"/>
  <c r="F11" i="2"/>
  <c r="C12" i="2"/>
  <c r="G11" i="2"/>
  <c r="B14" i="16"/>
  <c r="D13" i="16"/>
  <c r="G12" i="17"/>
  <c r="F12" i="17"/>
  <c r="E12" i="17"/>
  <c r="Q120" i="20"/>
  <c r="T123" i="20"/>
  <c r="Z10" i="17"/>
  <c r="P6" i="17"/>
  <c r="Z12" i="17"/>
  <c r="Z11" i="17"/>
  <c r="V16" i="5"/>
  <c r="T16" i="5"/>
  <c r="S17" i="5"/>
  <c r="J15" i="23"/>
  <c r="G15" i="23"/>
  <c r="F16" i="23"/>
  <c r="E17" i="23"/>
  <c r="R14" i="5"/>
  <c r="T118" i="20"/>
  <c r="Q115" i="20"/>
  <c r="AA12" i="17"/>
  <c r="AA11" i="17"/>
  <c r="Q6" i="17"/>
  <c r="AA10" i="17"/>
  <c r="AA15" i="5"/>
  <c r="AD15" i="5" s="1"/>
  <c r="AE15" i="5" s="1"/>
  <c r="U15" i="5"/>
  <c r="I82" i="20"/>
  <c r="X10" i="20" s="1"/>
  <c r="I10" i="20"/>
  <c r="H10" i="20"/>
  <c r="G10" i="20"/>
  <c r="B14" i="2"/>
  <c r="D13" i="2"/>
  <c r="F13" i="16"/>
  <c r="E13" i="16"/>
  <c r="G13" i="16"/>
  <c r="C14" i="16"/>
  <c r="G82" i="20"/>
  <c r="V10" i="20" s="1"/>
  <c r="H82" i="20"/>
  <c r="W10" i="20" s="1"/>
  <c r="D12" i="20"/>
  <c r="F11" i="20"/>
  <c r="E11" i="20"/>
  <c r="D13" i="17"/>
  <c r="G83" i="20" l="1"/>
  <c r="V6" i="20"/>
  <c r="I83" i="20"/>
  <c r="X6" i="20"/>
  <c r="H83" i="20"/>
  <c r="W6" i="20"/>
  <c r="G91" i="17"/>
  <c r="F91" i="17"/>
  <c r="E91" i="17"/>
  <c r="D91" i="17"/>
  <c r="D90" i="17"/>
  <c r="AI16" i="5"/>
  <c r="AY15" i="5"/>
  <c r="R15" i="5"/>
  <c r="F17" i="23"/>
  <c r="E18" i="23"/>
  <c r="B15" i="16"/>
  <c r="D14" i="16"/>
  <c r="F14" i="16"/>
  <c r="E14" i="16"/>
  <c r="G14" i="16"/>
  <c r="C15" i="16"/>
  <c r="T126" i="20"/>
  <c r="Q126" i="20" s="1"/>
  <c r="Q123" i="20"/>
  <c r="C13" i="2"/>
  <c r="F12" i="2"/>
  <c r="G12" i="2"/>
  <c r="J16" i="23"/>
  <c r="G16" i="23"/>
  <c r="E12" i="20"/>
  <c r="F12" i="20"/>
  <c r="F85" i="20" s="1"/>
  <c r="D13" i="20"/>
  <c r="N7" i="17"/>
  <c r="X15" i="17"/>
  <c r="X14" i="17"/>
  <c r="X13" i="17"/>
  <c r="D14" i="2"/>
  <c r="B15" i="2"/>
  <c r="V17" i="5"/>
  <c r="T17" i="5"/>
  <c r="S18" i="5"/>
  <c r="D14" i="17"/>
  <c r="I11" i="20"/>
  <c r="H11" i="20"/>
  <c r="G11" i="20"/>
  <c r="F84" i="20"/>
  <c r="T121" i="20"/>
  <c r="Q118" i="20"/>
  <c r="AA16" i="5"/>
  <c r="AD16" i="5" s="1"/>
  <c r="AE16" i="5" s="1"/>
  <c r="U16" i="5"/>
  <c r="F13" i="17"/>
  <c r="G13" i="17"/>
  <c r="E13" i="17"/>
  <c r="U11" i="20" l="1"/>
  <c r="AI17" i="5"/>
  <c r="AY16" i="5"/>
  <c r="C16" i="16"/>
  <c r="G15" i="16"/>
  <c r="F15" i="16"/>
  <c r="E15" i="16"/>
  <c r="R16" i="5"/>
  <c r="G84" i="20"/>
  <c r="D15" i="2"/>
  <c r="B16" i="2"/>
  <c r="D14" i="20"/>
  <c r="F13" i="20"/>
  <c r="E13" i="20"/>
  <c r="G14" i="17"/>
  <c r="F14" i="17"/>
  <c r="E14" i="17"/>
  <c r="Y15" i="17"/>
  <c r="Y14" i="17"/>
  <c r="O7" i="17"/>
  <c r="Y13" i="17"/>
  <c r="AA14" i="17"/>
  <c r="AA13" i="17"/>
  <c r="AA15" i="17"/>
  <c r="Q7" i="17"/>
  <c r="Z15" i="17"/>
  <c r="Z14" i="17"/>
  <c r="Z13" i="17"/>
  <c r="P7" i="17"/>
  <c r="H84" i="20"/>
  <c r="AA17" i="5"/>
  <c r="AD17" i="5" s="1"/>
  <c r="AE17" i="5" s="1"/>
  <c r="U17" i="5"/>
  <c r="H12" i="20"/>
  <c r="H85" i="20" s="1"/>
  <c r="G12" i="20"/>
  <c r="G85" i="20" s="1"/>
  <c r="I12" i="20"/>
  <c r="I85" i="20" s="1"/>
  <c r="I84" i="20"/>
  <c r="F13" i="2"/>
  <c r="C14" i="2"/>
  <c r="G13" i="2"/>
  <c r="B16" i="16"/>
  <c r="D15" i="16"/>
  <c r="V18" i="5"/>
  <c r="T18" i="5"/>
  <c r="S19" i="5"/>
  <c r="R17" i="5"/>
  <c r="F18" i="23"/>
  <c r="E19" i="23"/>
  <c r="Q121" i="20"/>
  <c r="T124" i="20"/>
  <c r="D15" i="17"/>
  <c r="N8" i="17" s="1"/>
  <c r="J17" i="23"/>
  <c r="G17" i="23"/>
  <c r="W11" i="20" l="1"/>
  <c r="F86" i="20"/>
  <c r="U7" i="20"/>
  <c r="V11" i="20"/>
  <c r="X11" i="20"/>
  <c r="AI18" i="5"/>
  <c r="AY17" i="5"/>
  <c r="F15" i="17"/>
  <c r="P8" i="17" s="1"/>
  <c r="G15" i="17"/>
  <c r="Q8" i="17" s="1"/>
  <c r="E15" i="17"/>
  <c r="O8" i="17" s="1"/>
  <c r="F19" i="23"/>
  <c r="E20" i="23"/>
  <c r="I13" i="20"/>
  <c r="H13" i="20"/>
  <c r="G13" i="20"/>
  <c r="G18" i="23"/>
  <c r="J18" i="23"/>
  <c r="F14" i="20"/>
  <c r="E14" i="20"/>
  <c r="D15" i="20"/>
  <c r="C15" i="2"/>
  <c r="G14" i="2"/>
  <c r="F14" i="2"/>
  <c r="V19" i="5"/>
  <c r="T19" i="5"/>
  <c r="S20" i="5"/>
  <c r="D16" i="2"/>
  <c r="B17" i="2"/>
  <c r="E16" i="16"/>
  <c r="C17" i="16"/>
  <c r="G16" i="16"/>
  <c r="F16" i="16"/>
  <c r="Q124" i="20"/>
  <c r="T127" i="20"/>
  <c r="Q127" i="20" s="1"/>
  <c r="D16" i="17"/>
  <c r="AA18" i="5"/>
  <c r="AD18" i="5" s="1"/>
  <c r="AE18" i="5" s="1"/>
  <c r="U18" i="5"/>
  <c r="B17" i="16"/>
  <c r="D16" i="16"/>
  <c r="H86" i="20" l="1"/>
  <c r="W7" i="20"/>
  <c r="U12" i="20"/>
  <c r="G86" i="20"/>
  <c r="V7" i="20"/>
  <c r="I86" i="20"/>
  <c r="X7" i="20"/>
  <c r="AI19" i="5"/>
  <c r="AY18" i="5"/>
  <c r="F17" i="16"/>
  <c r="E17" i="16"/>
  <c r="C18" i="16"/>
  <c r="G17" i="16"/>
  <c r="D17" i="2"/>
  <c r="B18" i="2"/>
  <c r="AA19" i="5"/>
  <c r="AD19" i="5" s="1"/>
  <c r="AE19" i="5" s="1"/>
  <c r="U19" i="5"/>
  <c r="D17" i="17"/>
  <c r="N9" i="17" s="1"/>
  <c r="F20" i="23"/>
  <c r="E21" i="23"/>
  <c r="J19" i="23"/>
  <c r="G19" i="23"/>
  <c r="G16" i="17"/>
  <c r="F16" i="17"/>
  <c r="E16" i="17"/>
  <c r="R18" i="5"/>
  <c r="F15" i="2"/>
  <c r="G15" i="2"/>
  <c r="C16" i="2"/>
  <c r="F87" i="20"/>
  <c r="V20" i="5"/>
  <c r="T20" i="5"/>
  <c r="S21" i="5"/>
  <c r="D16" i="20"/>
  <c r="F15" i="20"/>
  <c r="F88" i="20" s="1"/>
  <c r="E15" i="20"/>
  <c r="X18" i="17"/>
  <c r="X16" i="17"/>
  <c r="X17" i="17"/>
  <c r="B18" i="16"/>
  <c r="D17" i="16"/>
  <c r="G14" i="20"/>
  <c r="I14" i="20"/>
  <c r="H14" i="20"/>
  <c r="V12" i="20" l="1"/>
  <c r="X12" i="20"/>
  <c r="W12" i="20"/>
  <c r="R19" i="5"/>
  <c r="AI20" i="5"/>
  <c r="AY19" i="5"/>
  <c r="Y17" i="17"/>
  <c r="Y18" i="17"/>
  <c r="Y16" i="17"/>
  <c r="D18" i="17"/>
  <c r="H87" i="20"/>
  <c r="I87" i="20"/>
  <c r="Z17" i="17"/>
  <c r="Z18" i="17"/>
  <c r="Z16" i="17"/>
  <c r="B19" i="16"/>
  <c r="D18" i="16"/>
  <c r="AA20" i="5"/>
  <c r="AD20" i="5" s="1"/>
  <c r="AE20" i="5" s="1"/>
  <c r="U20" i="5"/>
  <c r="AA18" i="17"/>
  <c r="AA17" i="17"/>
  <c r="AA16" i="17"/>
  <c r="G87" i="20"/>
  <c r="B19" i="2"/>
  <c r="D18" i="2"/>
  <c r="J20" i="23"/>
  <c r="G20" i="23"/>
  <c r="V21" i="5"/>
  <c r="T21" i="5"/>
  <c r="S22" i="5"/>
  <c r="I15" i="20"/>
  <c r="I88" i="20" s="1"/>
  <c r="H15" i="20"/>
  <c r="H88" i="20" s="1"/>
  <c r="G15" i="20"/>
  <c r="G88" i="20" s="1"/>
  <c r="D17" i="20"/>
  <c r="F16" i="20"/>
  <c r="E16" i="20"/>
  <c r="C17" i="2"/>
  <c r="G16" i="2"/>
  <c r="F16" i="2"/>
  <c r="C19" i="16"/>
  <c r="G18" i="16"/>
  <c r="E18" i="16"/>
  <c r="F18" i="16"/>
  <c r="G17" i="17"/>
  <c r="Q9" i="17" s="1"/>
  <c r="E17" i="17"/>
  <c r="O9" i="17" s="1"/>
  <c r="F17" i="17"/>
  <c r="P9" i="17" s="1"/>
  <c r="E22" i="23"/>
  <c r="F21" i="23"/>
  <c r="F89" i="20" l="1"/>
  <c r="U135" i="20"/>
  <c r="AA135" i="20" s="1"/>
  <c r="U137" i="20"/>
  <c r="AA137" i="20" s="1"/>
  <c r="U136" i="20"/>
  <c r="AA136" i="20" s="1"/>
  <c r="U134" i="20"/>
  <c r="AA134" i="20" s="1"/>
  <c r="U8" i="20"/>
  <c r="AI21" i="5"/>
  <c r="AY20" i="5"/>
  <c r="G18" i="17"/>
  <c r="F18" i="17"/>
  <c r="E18" i="17"/>
  <c r="V22" i="5"/>
  <c r="T22" i="5"/>
  <c r="S23" i="5"/>
  <c r="D19" i="17"/>
  <c r="AA21" i="5"/>
  <c r="AD21" i="5" s="1"/>
  <c r="AE21" i="5" s="1"/>
  <c r="U21" i="5"/>
  <c r="J21" i="23"/>
  <c r="G21" i="23"/>
  <c r="B20" i="16"/>
  <c r="D19" i="16"/>
  <c r="D18" i="20"/>
  <c r="F17" i="20"/>
  <c r="F90" i="20" s="1"/>
  <c r="E17" i="20"/>
  <c r="F19" i="16"/>
  <c r="E19" i="16"/>
  <c r="G19" i="16"/>
  <c r="C20" i="16"/>
  <c r="F22" i="23"/>
  <c r="E23" i="23"/>
  <c r="F17" i="2"/>
  <c r="G17" i="2"/>
  <c r="C18" i="2"/>
  <c r="R20" i="5"/>
  <c r="I16" i="20"/>
  <c r="H16" i="20"/>
  <c r="G16" i="20"/>
  <c r="D19" i="2"/>
  <c r="B20" i="2"/>
  <c r="H89" i="20" l="1"/>
  <c r="W135" i="20"/>
  <c r="AC135" i="20" s="1"/>
  <c r="W134" i="20"/>
  <c r="AC134" i="20" s="1"/>
  <c r="W137" i="20"/>
  <c r="AC137" i="20" s="1"/>
  <c r="W136" i="20"/>
  <c r="AC136" i="20" s="1"/>
  <c r="W8" i="20"/>
  <c r="U141" i="20"/>
  <c r="AA141" i="20" s="1"/>
  <c r="U138" i="20"/>
  <c r="AA138" i="20" s="1"/>
  <c r="U139" i="20"/>
  <c r="AA139" i="20" s="1"/>
  <c r="U140" i="20"/>
  <c r="AA140" i="20" s="1"/>
  <c r="I89" i="20"/>
  <c r="X135" i="20"/>
  <c r="AD135" i="20" s="1"/>
  <c r="X136" i="20"/>
  <c r="AD136" i="20" s="1"/>
  <c r="X137" i="20"/>
  <c r="AD137" i="20" s="1"/>
  <c r="X134" i="20"/>
  <c r="AD134" i="20" s="1"/>
  <c r="X8" i="20"/>
  <c r="G89" i="20"/>
  <c r="V134" i="20"/>
  <c r="V137" i="20"/>
  <c r="V135" i="20"/>
  <c r="V136" i="20"/>
  <c r="V8" i="20"/>
  <c r="U13" i="20"/>
  <c r="AI22" i="5"/>
  <c r="AY21" i="5"/>
  <c r="C21" i="16"/>
  <c r="G20" i="16"/>
  <c r="F20" i="16"/>
  <c r="E20" i="16"/>
  <c r="X19" i="17"/>
  <c r="X21" i="17"/>
  <c r="N10" i="17"/>
  <c r="X20" i="17"/>
  <c r="R21" i="5"/>
  <c r="D20" i="17"/>
  <c r="V23" i="5"/>
  <c r="T23" i="5"/>
  <c r="S24" i="5"/>
  <c r="F18" i="20"/>
  <c r="F91" i="20" s="1"/>
  <c r="D19" i="20"/>
  <c r="E18" i="20"/>
  <c r="C19" i="2"/>
  <c r="F18" i="2"/>
  <c r="G18" i="2"/>
  <c r="F19" i="17"/>
  <c r="E19" i="17"/>
  <c r="G19" i="17"/>
  <c r="J22" i="23"/>
  <c r="G22" i="23"/>
  <c r="B21" i="2"/>
  <c r="D20" i="2"/>
  <c r="I17" i="20"/>
  <c r="I90" i="20" s="1"/>
  <c r="H17" i="20"/>
  <c r="H90" i="20" s="1"/>
  <c r="G17" i="20"/>
  <c r="G90" i="20" s="1"/>
  <c r="AA22" i="5"/>
  <c r="AD22" i="5" s="1"/>
  <c r="AE22" i="5" s="1"/>
  <c r="U22" i="5"/>
  <c r="B21" i="16"/>
  <c r="D20" i="16"/>
  <c r="F23" i="23"/>
  <c r="E24" i="23"/>
  <c r="X13" i="20" l="1"/>
  <c r="X138" i="20"/>
  <c r="AD138" i="20" s="1"/>
  <c r="X140" i="20"/>
  <c r="AD140" i="20" s="1"/>
  <c r="X141" i="20"/>
  <c r="AD141" i="20" s="1"/>
  <c r="X139" i="20"/>
  <c r="AD139" i="20" s="1"/>
  <c r="V13" i="20"/>
  <c r="V141" i="20"/>
  <c r="V140" i="20"/>
  <c r="V139" i="20"/>
  <c r="V138" i="20"/>
  <c r="W138" i="20"/>
  <c r="AC138" i="20" s="1"/>
  <c r="W141" i="20"/>
  <c r="AC141" i="20" s="1"/>
  <c r="W139" i="20"/>
  <c r="AC139" i="20" s="1"/>
  <c r="W140" i="20"/>
  <c r="AC140" i="20" s="1"/>
  <c r="W13" i="20"/>
  <c r="AI23" i="5"/>
  <c r="AY22" i="5"/>
  <c r="Y21" i="17"/>
  <c r="Y19" i="17"/>
  <c r="Y20" i="17"/>
  <c r="O10" i="17"/>
  <c r="AA20" i="17"/>
  <c r="AA19" i="17"/>
  <c r="Q10" i="17"/>
  <c r="AA21" i="17"/>
  <c r="D21" i="17"/>
  <c r="Z21" i="17"/>
  <c r="Z19" i="17"/>
  <c r="Z20" i="17"/>
  <c r="P10" i="17"/>
  <c r="R22" i="5"/>
  <c r="E20" i="17"/>
  <c r="G20" i="17"/>
  <c r="F20" i="17"/>
  <c r="B22" i="16"/>
  <c r="D21" i="16"/>
  <c r="F19" i="2"/>
  <c r="G19" i="2"/>
  <c r="C20" i="2"/>
  <c r="I18" i="20"/>
  <c r="I91" i="20" s="1"/>
  <c r="H18" i="20"/>
  <c r="H91" i="20" s="1"/>
  <c r="G18" i="20"/>
  <c r="G91" i="20" s="1"/>
  <c r="B22" i="2"/>
  <c r="D21" i="2"/>
  <c r="V24" i="5"/>
  <c r="T24" i="5"/>
  <c r="S25" i="5"/>
  <c r="F19" i="20"/>
  <c r="D20" i="20"/>
  <c r="E19" i="20"/>
  <c r="E25" i="23"/>
  <c r="F25" i="23" s="1"/>
  <c r="F24" i="23"/>
  <c r="J23" i="23"/>
  <c r="G23" i="23"/>
  <c r="AA23" i="5"/>
  <c r="AD23" i="5" s="1"/>
  <c r="AE23" i="5" s="1"/>
  <c r="U23" i="5"/>
  <c r="F21" i="16"/>
  <c r="E21" i="16"/>
  <c r="C22" i="16"/>
  <c r="G21" i="16"/>
  <c r="F92" i="20" l="1"/>
  <c r="U15" i="20"/>
  <c r="AI24" i="5"/>
  <c r="AY23" i="5"/>
  <c r="D22" i="17"/>
  <c r="C23" i="16"/>
  <c r="G22" i="16"/>
  <c r="F22" i="16"/>
  <c r="E22" i="16"/>
  <c r="AA24" i="5"/>
  <c r="AD24" i="5" s="1"/>
  <c r="AE24" i="5" s="1"/>
  <c r="U24" i="5"/>
  <c r="F20" i="20"/>
  <c r="D21" i="20"/>
  <c r="E20" i="20"/>
  <c r="V25" i="5"/>
  <c r="T25" i="5"/>
  <c r="S26" i="5"/>
  <c r="X24" i="17"/>
  <c r="X23" i="17"/>
  <c r="X22" i="17"/>
  <c r="N11" i="17"/>
  <c r="F21" i="17"/>
  <c r="E21" i="17"/>
  <c r="G21" i="17"/>
  <c r="R23" i="5"/>
  <c r="H19" i="20"/>
  <c r="G19" i="20"/>
  <c r="I19" i="20"/>
  <c r="B23" i="2"/>
  <c r="D22" i="2"/>
  <c r="B23" i="16"/>
  <c r="D22" i="16"/>
  <c r="J24" i="23"/>
  <c r="G24" i="23"/>
  <c r="J25" i="23"/>
  <c r="J4" i="23" s="1"/>
  <c r="G25" i="23"/>
  <c r="G4" i="23" s="1"/>
  <c r="F4" i="23"/>
  <c r="C21" i="2"/>
  <c r="G20" i="2"/>
  <c r="F20" i="2"/>
  <c r="I92" i="20" l="1"/>
  <c r="X15" i="20"/>
  <c r="G92" i="20"/>
  <c r="V15" i="20"/>
  <c r="H92" i="20"/>
  <c r="W15" i="20"/>
  <c r="U142" i="20"/>
  <c r="AA142" i="20" s="1"/>
  <c r="U14" i="20"/>
  <c r="AI25" i="5"/>
  <c r="AY24" i="5"/>
  <c r="R24" i="5"/>
  <c r="Q11" i="17"/>
  <c r="AA24" i="17"/>
  <c r="AA22" i="17"/>
  <c r="AA23" i="17"/>
  <c r="F93" i="20"/>
  <c r="E21" i="20"/>
  <c r="F21" i="20"/>
  <c r="U16" i="20" s="1"/>
  <c r="D22" i="20"/>
  <c r="Z23" i="17"/>
  <c r="P11" i="17"/>
  <c r="Z24" i="17"/>
  <c r="Z22" i="17"/>
  <c r="V26" i="5"/>
  <c r="T26" i="5"/>
  <c r="S27" i="5"/>
  <c r="F23" i="16"/>
  <c r="E23" i="16"/>
  <c r="C24" i="16"/>
  <c r="G23" i="16"/>
  <c r="O11" i="17"/>
  <c r="Y24" i="17"/>
  <c r="Y23" i="17"/>
  <c r="Y22" i="17"/>
  <c r="AA25" i="5"/>
  <c r="AD25" i="5" s="1"/>
  <c r="AE25" i="5" s="1"/>
  <c r="U25" i="5"/>
  <c r="H20" i="20"/>
  <c r="G20" i="20"/>
  <c r="I20" i="20"/>
  <c r="G22" i="17"/>
  <c r="F22" i="17"/>
  <c r="E22" i="17"/>
  <c r="B24" i="16"/>
  <c r="D23" i="16"/>
  <c r="B24" i="2"/>
  <c r="D23" i="2"/>
  <c r="F21" i="2"/>
  <c r="C22" i="2"/>
  <c r="G21" i="2"/>
  <c r="R25" i="5"/>
  <c r="D23" i="17"/>
  <c r="W142" i="20" l="1"/>
  <c r="AC142" i="20" s="1"/>
  <c r="W14" i="20"/>
  <c r="V142" i="20"/>
  <c r="V14" i="20"/>
  <c r="X142" i="20"/>
  <c r="AD142" i="20" s="1"/>
  <c r="X14" i="20"/>
  <c r="AI26" i="5"/>
  <c r="AY25" i="5"/>
  <c r="G23" i="17"/>
  <c r="F23" i="17"/>
  <c r="E23" i="17"/>
  <c r="D23" i="20"/>
  <c r="F22" i="20"/>
  <c r="F95" i="20" s="1"/>
  <c r="AJ7" i="20" s="1"/>
  <c r="E22" i="20"/>
  <c r="F94" i="20"/>
  <c r="AJ6" i="20" s="1"/>
  <c r="AJ2" i="20"/>
  <c r="AJ4" i="20"/>
  <c r="AJ3" i="20"/>
  <c r="AJ5" i="20"/>
  <c r="D24" i="17"/>
  <c r="C25" i="16"/>
  <c r="G24" i="16"/>
  <c r="F24" i="16"/>
  <c r="E24" i="16"/>
  <c r="H21" i="20"/>
  <c r="W16" i="20" s="1"/>
  <c r="I21" i="20"/>
  <c r="X16" i="20" s="1"/>
  <c r="G21" i="20"/>
  <c r="V16" i="20" s="1"/>
  <c r="B25" i="16"/>
  <c r="D24" i="16"/>
  <c r="I93" i="20"/>
  <c r="G93" i="20"/>
  <c r="V27" i="5"/>
  <c r="T27" i="5"/>
  <c r="S28" i="5"/>
  <c r="S29" i="5" s="1"/>
  <c r="C23" i="2"/>
  <c r="F22" i="2"/>
  <c r="G22" i="2"/>
  <c r="H93" i="20"/>
  <c r="AA26" i="5"/>
  <c r="AD26" i="5" s="1"/>
  <c r="AE26" i="5" s="1"/>
  <c r="U26" i="5"/>
  <c r="N12" i="17"/>
  <c r="X27" i="17"/>
  <c r="X25" i="17"/>
  <c r="X26" i="17"/>
  <c r="D24" i="2"/>
  <c r="B25" i="2"/>
  <c r="AI27" i="5" l="1"/>
  <c r="AY26" i="5"/>
  <c r="R26" i="5"/>
  <c r="AA27" i="5"/>
  <c r="AD27" i="5" s="1"/>
  <c r="AE27" i="5" s="1"/>
  <c r="U27" i="5"/>
  <c r="H94" i="20"/>
  <c r="AL6" i="20" s="1"/>
  <c r="AL2" i="20"/>
  <c r="AL4" i="20"/>
  <c r="AL5" i="20"/>
  <c r="AL3" i="20"/>
  <c r="H22" i="20"/>
  <c r="H95" i="20" s="1"/>
  <c r="AL7" i="20" s="1"/>
  <c r="I22" i="20"/>
  <c r="I95" i="20" s="1"/>
  <c r="AM7" i="20" s="1"/>
  <c r="G22" i="20"/>
  <c r="G95" i="20" s="1"/>
  <c r="AK7" i="20" s="1"/>
  <c r="B26" i="2"/>
  <c r="D25" i="2"/>
  <c r="E23" i="20"/>
  <c r="D24" i="20"/>
  <c r="F23" i="20"/>
  <c r="G94" i="20"/>
  <c r="AK6" i="20" s="1"/>
  <c r="AK2" i="20"/>
  <c r="AK5" i="20"/>
  <c r="AK4" i="20"/>
  <c r="AK3" i="20"/>
  <c r="I94" i="20"/>
  <c r="AM6" i="20" s="1"/>
  <c r="AM4" i="20"/>
  <c r="AM2" i="20"/>
  <c r="AM3" i="20"/>
  <c r="AM5" i="20"/>
  <c r="G24" i="17"/>
  <c r="E24" i="17"/>
  <c r="F24" i="17"/>
  <c r="B26" i="16"/>
  <c r="D25" i="16"/>
  <c r="F23" i="2"/>
  <c r="C24" i="2"/>
  <c r="G23" i="2"/>
  <c r="V28" i="5"/>
  <c r="T28" i="5"/>
  <c r="F25" i="16"/>
  <c r="E25" i="16"/>
  <c r="C26" i="16"/>
  <c r="G25" i="16"/>
  <c r="Y27" i="17"/>
  <c r="O12" i="17"/>
  <c r="Y25" i="17"/>
  <c r="Y26" i="17"/>
  <c r="Z27" i="17"/>
  <c r="P12" i="17"/>
  <c r="Z26" i="17"/>
  <c r="Z25" i="17"/>
  <c r="R27" i="5"/>
  <c r="D25" i="17"/>
  <c r="N13" i="17" s="1"/>
  <c r="AA27" i="17"/>
  <c r="AA26" i="17"/>
  <c r="AA25" i="17"/>
  <c r="Q12" i="17"/>
  <c r="F96" i="20" l="1"/>
  <c r="U144" i="20"/>
  <c r="AA144" i="20" s="1"/>
  <c r="U145" i="20"/>
  <c r="AA145" i="20" s="1"/>
  <c r="U146" i="20"/>
  <c r="AA146" i="20" s="1"/>
  <c r="U147" i="20"/>
  <c r="AA147" i="20" s="1"/>
  <c r="U17" i="20"/>
  <c r="AI28" i="5"/>
  <c r="AY27" i="5"/>
  <c r="AA28" i="5"/>
  <c r="AD28" i="5" s="1"/>
  <c r="AE28" i="5" s="1"/>
  <c r="U28" i="5"/>
  <c r="R28" i="5"/>
  <c r="C25" i="2"/>
  <c r="F24" i="2"/>
  <c r="G24" i="2"/>
  <c r="D26" i="2"/>
  <c r="B27" i="2"/>
  <c r="B27" i="16"/>
  <c r="D26" i="16"/>
  <c r="C27" i="16"/>
  <c r="E26" i="16"/>
  <c r="F26" i="16"/>
  <c r="G26" i="16"/>
  <c r="D26" i="17"/>
  <c r="E24" i="20"/>
  <c r="F24" i="20"/>
  <c r="D25" i="20"/>
  <c r="G25" i="17"/>
  <c r="Q13" i="17" s="1"/>
  <c r="F25" i="17"/>
  <c r="P13" i="17" s="1"/>
  <c r="E25" i="17"/>
  <c r="O13" i="17" s="1"/>
  <c r="V29" i="5"/>
  <c r="T29" i="5"/>
  <c r="I23" i="20"/>
  <c r="H23" i="20"/>
  <c r="G23" i="20"/>
  <c r="H96" i="20" l="1"/>
  <c r="W145" i="20"/>
  <c r="AC145" i="20" s="1"/>
  <c r="W144" i="20"/>
  <c r="AC144" i="20" s="1"/>
  <c r="W146" i="20"/>
  <c r="AC146" i="20" s="1"/>
  <c r="W147" i="20"/>
  <c r="AC147" i="20" s="1"/>
  <c r="W17" i="20"/>
  <c r="I96" i="20"/>
  <c r="X144" i="20"/>
  <c r="AD144" i="20" s="1"/>
  <c r="X147" i="20"/>
  <c r="AD147" i="20" s="1"/>
  <c r="X146" i="20"/>
  <c r="AD146" i="20" s="1"/>
  <c r="X145" i="20"/>
  <c r="AD145" i="20" s="1"/>
  <c r="X17" i="20"/>
  <c r="G96" i="20"/>
  <c r="V147" i="20"/>
  <c r="AB147" i="20" s="1"/>
  <c r="V145" i="20"/>
  <c r="AB145" i="20" s="1"/>
  <c r="V144" i="20"/>
  <c r="AB144" i="20" s="1"/>
  <c r="V146" i="20"/>
  <c r="AB146" i="20" s="1"/>
  <c r="V17" i="20"/>
  <c r="U22" i="20"/>
  <c r="AI29" i="5"/>
  <c r="AY29" i="5" s="1"/>
  <c r="AY28" i="5"/>
  <c r="F27" i="16"/>
  <c r="E27" i="16"/>
  <c r="C28" i="16"/>
  <c r="G27" i="16"/>
  <c r="B28" i="2"/>
  <c r="D27" i="2"/>
  <c r="B28" i="16"/>
  <c r="D27" i="16"/>
  <c r="F25" i="20"/>
  <c r="E25" i="20"/>
  <c r="D26" i="20"/>
  <c r="F97" i="20"/>
  <c r="I24" i="20"/>
  <c r="H24" i="20"/>
  <c r="G24" i="20"/>
  <c r="X30" i="17"/>
  <c r="X29" i="17"/>
  <c r="X28" i="17"/>
  <c r="F25" i="2"/>
  <c r="C26" i="2"/>
  <c r="G25" i="2"/>
  <c r="F26" i="17"/>
  <c r="E26" i="17"/>
  <c r="G26" i="17"/>
  <c r="D27" i="17"/>
  <c r="N14" i="17" s="1"/>
  <c r="AA29" i="5"/>
  <c r="AD29" i="5" s="1"/>
  <c r="AE29" i="5" s="1"/>
  <c r="U29" i="5"/>
  <c r="X22" i="20" l="1"/>
  <c r="AJ8" i="20"/>
  <c r="U151" i="20"/>
  <c r="AA151" i="20" s="1"/>
  <c r="U150" i="20"/>
  <c r="AA150" i="20" s="1"/>
  <c r="U148" i="20"/>
  <c r="AA148" i="20" s="1"/>
  <c r="U149" i="20"/>
  <c r="AA149" i="20" s="1"/>
  <c r="F98" i="20"/>
  <c r="U23" i="20" s="1"/>
  <c r="U18" i="20"/>
  <c r="V22" i="20"/>
  <c r="W22" i="20"/>
  <c r="R29" i="5"/>
  <c r="F26" i="20"/>
  <c r="E26" i="20"/>
  <c r="D27" i="20"/>
  <c r="B29" i="16"/>
  <c r="D28" i="16"/>
  <c r="H25" i="20"/>
  <c r="G25" i="20"/>
  <c r="I25" i="20"/>
  <c r="H97" i="20"/>
  <c r="B29" i="2"/>
  <c r="D28" i="2"/>
  <c r="I97" i="20"/>
  <c r="C27" i="2"/>
  <c r="G26" i="2"/>
  <c r="F26" i="2"/>
  <c r="G97" i="20"/>
  <c r="C29" i="16"/>
  <c r="F28" i="16"/>
  <c r="E28" i="16"/>
  <c r="G28" i="16"/>
  <c r="AA28" i="17"/>
  <c r="AA30" i="17"/>
  <c r="AA29" i="17"/>
  <c r="Y29" i="17"/>
  <c r="Y28" i="17"/>
  <c r="Y30" i="17"/>
  <c r="F27" i="17"/>
  <c r="P14" i="17" s="1"/>
  <c r="G27" i="17"/>
  <c r="Q14" i="17" s="1"/>
  <c r="E27" i="17"/>
  <c r="O14" i="17" s="1"/>
  <c r="D28" i="17"/>
  <c r="Z29" i="17"/>
  <c r="Z28" i="17"/>
  <c r="Z30" i="17"/>
  <c r="AK8" i="20" l="1"/>
  <c r="V150" i="20"/>
  <c r="AB150" i="20" s="1"/>
  <c r="V151" i="20"/>
  <c r="AB151" i="20" s="1"/>
  <c r="V149" i="20"/>
  <c r="AB149" i="20" s="1"/>
  <c r="V148" i="20"/>
  <c r="AB148" i="20" s="1"/>
  <c r="AL8" i="20"/>
  <c r="W150" i="20"/>
  <c r="AC150" i="20" s="1"/>
  <c r="W151" i="20"/>
  <c r="AC151" i="20" s="1"/>
  <c r="W149" i="20"/>
  <c r="AC149" i="20" s="1"/>
  <c r="W148" i="20"/>
  <c r="AC148" i="20" s="1"/>
  <c r="I98" i="20"/>
  <c r="X23" i="20" s="1"/>
  <c r="X18" i="20"/>
  <c r="H98" i="20"/>
  <c r="W23" i="20" s="1"/>
  <c r="W18" i="20"/>
  <c r="AM8" i="20"/>
  <c r="X151" i="20"/>
  <c r="AD151" i="20" s="1"/>
  <c r="X149" i="20"/>
  <c r="AD149" i="20" s="1"/>
  <c r="X148" i="20"/>
  <c r="AD148" i="20" s="1"/>
  <c r="X150" i="20"/>
  <c r="AD150" i="20" s="1"/>
  <c r="G98" i="20"/>
  <c r="V23" i="20" s="1"/>
  <c r="V18" i="20"/>
  <c r="B30" i="2"/>
  <c r="D29" i="2"/>
  <c r="F29" i="16"/>
  <c r="E29" i="16"/>
  <c r="C30" i="16"/>
  <c r="G29" i="16"/>
  <c r="E28" i="17"/>
  <c r="G28" i="17"/>
  <c r="F28" i="17"/>
  <c r="F27" i="2"/>
  <c r="C28" i="2"/>
  <c r="G27" i="2"/>
  <c r="B30" i="16"/>
  <c r="D29" i="16"/>
  <c r="D28" i="20"/>
  <c r="F27" i="20"/>
  <c r="U19" i="20" s="1"/>
  <c r="E27" i="20"/>
  <c r="G26" i="20"/>
  <c r="I26" i="20"/>
  <c r="H26" i="20"/>
  <c r="X32" i="17"/>
  <c r="X33" i="17"/>
  <c r="X31" i="17"/>
  <c r="D29" i="17"/>
  <c r="N15" i="17" s="1"/>
  <c r="F99" i="20"/>
  <c r="U152" i="20" s="1"/>
  <c r="AA152" i="20" s="1"/>
  <c r="AJ9" i="20"/>
  <c r="I99" i="20" l="1"/>
  <c r="X152" i="20" s="1"/>
  <c r="AD152" i="20" s="1"/>
  <c r="AM9" i="20"/>
  <c r="Y33" i="17"/>
  <c r="Y32" i="17"/>
  <c r="Y31" i="17"/>
  <c r="Z33" i="17"/>
  <c r="Z32" i="17"/>
  <c r="Z31" i="17"/>
  <c r="G99" i="20"/>
  <c r="V152" i="20" s="1"/>
  <c r="AB152" i="20" s="1"/>
  <c r="AK9" i="20"/>
  <c r="F100" i="20"/>
  <c r="U24" i="20" s="1"/>
  <c r="C31" i="16"/>
  <c r="G30" i="16"/>
  <c r="F30" i="16"/>
  <c r="E30" i="16"/>
  <c r="G29" i="17"/>
  <c r="Q15" i="17" s="1"/>
  <c r="F29" i="17"/>
  <c r="P15" i="17" s="1"/>
  <c r="E29" i="17"/>
  <c r="O15" i="17" s="1"/>
  <c r="D29" i="20"/>
  <c r="E28" i="20"/>
  <c r="F28" i="20"/>
  <c r="H99" i="20"/>
  <c r="W152" i="20" s="1"/>
  <c r="AC152" i="20" s="1"/>
  <c r="AL9" i="20"/>
  <c r="D30" i="17"/>
  <c r="B31" i="16"/>
  <c r="D30" i="16"/>
  <c r="C29" i="2"/>
  <c r="G28" i="2"/>
  <c r="F28" i="2"/>
  <c r="AA33" i="17"/>
  <c r="AA32" i="17"/>
  <c r="AA31" i="17"/>
  <c r="I27" i="20"/>
  <c r="X19" i="20" s="1"/>
  <c r="H27" i="20"/>
  <c r="W19" i="20" s="1"/>
  <c r="G27" i="20"/>
  <c r="V19" i="20" s="1"/>
  <c r="D30" i="2"/>
  <c r="B31" i="2"/>
  <c r="D30" i="20" l="1"/>
  <c r="F29" i="20"/>
  <c r="E29" i="20"/>
  <c r="F29" i="2"/>
  <c r="C30" i="2"/>
  <c r="G29" i="2"/>
  <c r="G30" i="17"/>
  <c r="F30" i="17"/>
  <c r="E30" i="17"/>
  <c r="I28" i="20"/>
  <c r="H28" i="20"/>
  <c r="G28" i="20"/>
  <c r="X36" i="17"/>
  <c r="X35" i="17"/>
  <c r="X34" i="17"/>
  <c r="D31" i="17"/>
  <c r="G100" i="20"/>
  <c r="V24" i="20" s="1"/>
  <c r="I100" i="20"/>
  <c r="X24" i="20" s="1"/>
  <c r="F101" i="20"/>
  <c r="B32" i="2"/>
  <c r="D31" i="2"/>
  <c r="F31" i="16"/>
  <c r="E31" i="16"/>
  <c r="C32" i="16"/>
  <c r="G31" i="16"/>
  <c r="B32" i="16"/>
  <c r="D31" i="16"/>
  <c r="H100" i="20"/>
  <c r="W24" i="20" s="1"/>
  <c r="U20" i="20" l="1"/>
  <c r="U21" i="20"/>
  <c r="Z35" i="17"/>
  <c r="Z34" i="17"/>
  <c r="Z36" i="17"/>
  <c r="Y35" i="17"/>
  <c r="Y34" i="17"/>
  <c r="Y36" i="17"/>
  <c r="C33" i="16"/>
  <c r="G32" i="16"/>
  <c r="F32" i="16"/>
  <c r="E32" i="16"/>
  <c r="D32" i="17"/>
  <c r="G31" i="17"/>
  <c r="F31" i="17"/>
  <c r="E31" i="17"/>
  <c r="AA34" i="17"/>
  <c r="AA36" i="17"/>
  <c r="AA35" i="17"/>
  <c r="B33" i="16"/>
  <c r="D32" i="16"/>
  <c r="F30" i="2"/>
  <c r="C31" i="2"/>
  <c r="G30" i="2"/>
  <c r="X38" i="17"/>
  <c r="N16" i="17"/>
  <c r="X37" i="17"/>
  <c r="X39" i="17"/>
  <c r="G101" i="20"/>
  <c r="I29" i="20"/>
  <c r="H29" i="20"/>
  <c r="G29" i="20"/>
  <c r="H101" i="20"/>
  <c r="F102" i="20"/>
  <c r="U25" i="20" s="1"/>
  <c r="B33" i="2"/>
  <c r="D32" i="2"/>
  <c r="I101" i="20"/>
  <c r="F30" i="20"/>
  <c r="F103" i="20" s="1"/>
  <c r="E30" i="20"/>
  <c r="D31" i="20"/>
  <c r="W21" i="20" l="1"/>
  <c r="W20" i="20"/>
  <c r="X20" i="20"/>
  <c r="X21" i="20"/>
  <c r="V20" i="20"/>
  <c r="V21" i="20"/>
  <c r="X42" i="17"/>
  <c r="X41" i="17"/>
  <c r="X40" i="17"/>
  <c r="G102" i="20"/>
  <c r="V25" i="20" s="1"/>
  <c r="F31" i="20"/>
  <c r="U27" i="20" s="1"/>
  <c r="E31" i="20"/>
  <c r="D32" i="20"/>
  <c r="H102" i="20"/>
  <c r="W25" i="20" s="1"/>
  <c r="B34" i="16"/>
  <c r="D33" i="16"/>
  <c r="D33" i="17"/>
  <c r="G30" i="20"/>
  <c r="G103" i="20" s="1"/>
  <c r="I30" i="20"/>
  <c r="I103" i="20" s="1"/>
  <c r="H30" i="20"/>
  <c r="H103" i="20" s="1"/>
  <c r="I102" i="20"/>
  <c r="X25" i="20" s="1"/>
  <c r="F33" i="16"/>
  <c r="E33" i="16"/>
  <c r="G33" i="16"/>
  <c r="C34" i="16"/>
  <c r="F31" i="2"/>
  <c r="G31" i="2"/>
  <c r="C32" i="2"/>
  <c r="Y39" i="17"/>
  <c r="Y38" i="17"/>
  <c r="O16" i="17"/>
  <c r="Y37" i="17"/>
  <c r="G32" i="17"/>
  <c r="F32" i="17"/>
  <c r="E32" i="17"/>
  <c r="B34" i="2"/>
  <c r="D33" i="2"/>
  <c r="Z39" i="17"/>
  <c r="P16" i="17"/>
  <c r="Z38" i="17"/>
  <c r="Z37" i="17"/>
  <c r="AA39" i="17"/>
  <c r="AA38" i="17"/>
  <c r="Q16" i="17"/>
  <c r="AA37" i="17"/>
  <c r="B35" i="2" l="1"/>
  <c r="D34" i="2"/>
  <c r="F33" i="17"/>
  <c r="E33" i="17"/>
  <c r="G33" i="17"/>
  <c r="Y41" i="17"/>
  <c r="Y40" i="17"/>
  <c r="Y42" i="17"/>
  <c r="Z41" i="17"/>
  <c r="Z40" i="17"/>
  <c r="Z42" i="17"/>
  <c r="F32" i="20"/>
  <c r="E32" i="20"/>
  <c r="D33" i="20"/>
  <c r="C35" i="16"/>
  <c r="G34" i="16"/>
  <c r="F34" i="16"/>
  <c r="E34" i="16"/>
  <c r="AA40" i="17"/>
  <c r="AA42" i="17"/>
  <c r="AA41" i="17"/>
  <c r="I31" i="20"/>
  <c r="X27" i="20" s="1"/>
  <c r="H31" i="20"/>
  <c r="W27" i="20" s="1"/>
  <c r="G31" i="20"/>
  <c r="V27" i="20" s="1"/>
  <c r="F104" i="20"/>
  <c r="U26" i="20" s="1"/>
  <c r="F32" i="2"/>
  <c r="C33" i="2"/>
  <c r="G32" i="2"/>
  <c r="X44" i="17"/>
  <c r="N17" i="17"/>
  <c r="X45" i="17"/>
  <c r="X43" i="17"/>
  <c r="B35" i="16"/>
  <c r="D34" i="16"/>
  <c r="D34" i="17"/>
  <c r="F105" i="20" l="1"/>
  <c r="U28" i="20"/>
  <c r="I104" i="20"/>
  <c r="X26" i="20" s="1"/>
  <c r="B36" i="16"/>
  <c r="D35" i="16"/>
  <c r="AA45" i="17"/>
  <c r="AA44" i="17"/>
  <c r="AA43" i="17"/>
  <c r="Q17" i="17"/>
  <c r="H104" i="20"/>
  <c r="W26" i="20" s="1"/>
  <c r="Y45" i="17"/>
  <c r="O17" i="17"/>
  <c r="Y44" i="17"/>
  <c r="Y43" i="17"/>
  <c r="F35" i="16"/>
  <c r="E35" i="16"/>
  <c r="G35" i="16"/>
  <c r="C36" i="16"/>
  <c r="G34" i="17"/>
  <c r="E34" i="17"/>
  <c r="F34" i="17"/>
  <c r="F33" i="20"/>
  <c r="D34" i="20"/>
  <c r="E33" i="20"/>
  <c r="Z45" i="17"/>
  <c r="P17" i="17"/>
  <c r="Z44" i="17"/>
  <c r="Z43" i="17"/>
  <c r="F33" i="2"/>
  <c r="C34" i="2"/>
  <c r="G33" i="2"/>
  <c r="X48" i="17"/>
  <c r="X47" i="17"/>
  <c r="X46" i="17"/>
  <c r="D35" i="17"/>
  <c r="N18" i="17" s="1"/>
  <c r="I32" i="20"/>
  <c r="H32" i="20"/>
  <c r="G32" i="20"/>
  <c r="G104" i="20"/>
  <c r="V26" i="20" s="1"/>
  <c r="B36" i="2"/>
  <c r="D35" i="2"/>
  <c r="G105" i="20" l="1"/>
  <c r="V28" i="20"/>
  <c r="I105" i="20"/>
  <c r="X28" i="20"/>
  <c r="H105" i="20"/>
  <c r="W28" i="20"/>
  <c r="U154" i="20"/>
  <c r="AA154" i="20" s="1"/>
  <c r="U156" i="20"/>
  <c r="AA156" i="20" s="1"/>
  <c r="U155" i="20"/>
  <c r="AA155" i="20" s="1"/>
  <c r="U157" i="20"/>
  <c r="AA157" i="20" s="1"/>
  <c r="U29" i="20"/>
  <c r="F34" i="2"/>
  <c r="C35" i="2"/>
  <c r="G34" i="2"/>
  <c r="G35" i="17"/>
  <c r="Q18" i="17" s="1"/>
  <c r="E35" i="17"/>
  <c r="O18" i="17" s="1"/>
  <c r="F35" i="17"/>
  <c r="P18" i="17" s="1"/>
  <c r="Z47" i="17"/>
  <c r="Z46" i="17"/>
  <c r="Z48" i="17"/>
  <c r="C37" i="16"/>
  <c r="F36" i="16"/>
  <c r="E36" i="16"/>
  <c r="G36" i="16"/>
  <c r="B37" i="2"/>
  <c r="D36" i="2"/>
  <c r="B37" i="16"/>
  <c r="D36" i="16"/>
  <c r="AA46" i="17"/>
  <c r="AA48" i="17"/>
  <c r="AA47" i="17"/>
  <c r="D36" i="17"/>
  <c r="I33" i="20"/>
  <c r="H33" i="20"/>
  <c r="G33" i="20"/>
  <c r="F34" i="20"/>
  <c r="D35" i="20"/>
  <c r="E34" i="20"/>
  <c r="Y48" i="17"/>
  <c r="Y47" i="17"/>
  <c r="Y46" i="17"/>
  <c r="F106" i="20"/>
  <c r="AJ13" i="20"/>
  <c r="AJ10" i="20"/>
  <c r="AJ12" i="20"/>
  <c r="AJ11" i="20"/>
  <c r="X157" i="20" l="1"/>
  <c r="AD157" i="20" s="1"/>
  <c r="X155" i="20"/>
  <c r="AD155" i="20" s="1"/>
  <c r="X154" i="20"/>
  <c r="AD154" i="20" s="1"/>
  <c r="X156" i="20"/>
  <c r="AD156" i="20" s="1"/>
  <c r="X29" i="20"/>
  <c r="F107" i="20"/>
  <c r="U30" i="20"/>
  <c r="V156" i="20"/>
  <c r="AB156" i="20" s="1"/>
  <c r="V157" i="20"/>
  <c r="AB157" i="20" s="1"/>
  <c r="V154" i="20"/>
  <c r="AB154" i="20" s="1"/>
  <c r="V155" i="20"/>
  <c r="AB155" i="20" s="1"/>
  <c r="V29" i="20"/>
  <c r="W155" i="20"/>
  <c r="AC155" i="20" s="1"/>
  <c r="W154" i="20"/>
  <c r="AC154" i="20" s="1"/>
  <c r="W156" i="20"/>
  <c r="AC156" i="20" s="1"/>
  <c r="W157" i="20"/>
  <c r="AC157" i="20" s="1"/>
  <c r="W29" i="20"/>
  <c r="U34" i="20"/>
  <c r="X49" i="17"/>
  <c r="X51" i="17"/>
  <c r="X50" i="17"/>
  <c r="D37" i="17"/>
  <c r="N19" i="17" s="1"/>
  <c r="I34" i="20"/>
  <c r="H34" i="20"/>
  <c r="G34" i="20"/>
  <c r="B38" i="16"/>
  <c r="D37" i="16"/>
  <c r="G36" i="17"/>
  <c r="E36" i="17"/>
  <c r="F36" i="17"/>
  <c r="F35" i="20"/>
  <c r="E35" i="20"/>
  <c r="D36" i="20"/>
  <c r="B38" i="2"/>
  <c r="D37" i="2"/>
  <c r="I106" i="20"/>
  <c r="AM12" i="20"/>
  <c r="AM10" i="20"/>
  <c r="AM11" i="20"/>
  <c r="AM13" i="20"/>
  <c r="G106" i="20"/>
  <c r="AK10" i="20"/>
  <c r="AK11" i="20"/>
  <c r="AK13" i="20"/>
  <c r="AK12" i="20"/>
  <c r="F35" i="2"/>
  <c r="C36" i="2"/>
  <c r="G35" i="2"/>
  <c r="F37" i="16"/>
  <c r="E37" i="16"/>
  <c r="C38" i="16"/>
  <c r="G37" i="16"/>
  <c r="H106" i="20"/>
  <c r="AL12" i="20"/>
  <c r="AL13" i="20"/>
  <c r="AL10" i="20"/>
  <c r="AL11" i="20"/>
  <c r="I107" i="20" l="1"/>
  <c r="X30" i="20"/>
  <c r="W34" i="20"/>
  <c r="V34" i="20"/>
  <c r="AJ14" i="20"/>
  <c r="U160" i="20"/>
  <c r="AA160" i="20" s="1"/>
  <c r="U159" i="20"/>
  <c r="AA159" i="20" s="1"/>
  <c r="U158" i="20"/>
  <c r="AA158" i="20" s="1"/>
  <c r="U161" i="20"/>
  <c r="AA161" i="20" s="1"/>
  <c r="G107" i="20"/>
  <c r="V30" i="20"/>
  <c r="X34" i="20"/>
  <c r="H107" i="20"/>
  <c r="W30" i="20"/>
  <c r="G37" i="17"/>
  <c r="Q19" i="17" s="1"/>
  <c r="F37" i="17"/>
  <c r="P19" i="17" s="1"/>
  <c r="E37" i="17"/>
  <c r="O19" i="17" s="1"/>
  <c r="AA51" i="17"/>
  <c r="AA50" i="17"/>
  <c r="AA49" i="17"/>
  <c r="B39" i="16"/>
  <c r="D38" i="16"/>
  <c r="I35" i="20"/>
  <c r="H35" i="20"/>
  <c r="G35" i="20"/>
  <c r="D38" i="17"/>
  <c r="F36" i="2"/>
  <c r="C37" i="2"/>
  <c r="G36" i="2"/>
  <c r="B39" i="2"/>
  <c r="D38" i="2"/>
  <c r="F108" i="20"/>
  <c r="U35" i="20" s="1"/>
  <c r="Z51" i="17"/>
  <c r="Z50" i="17"/>
  <c r="Z49" i="17"/>
  <c r="F36" i="20"/>
  <c r="U31" i="20" s="1"/>
  <c r="D37" i="20"/>
  <c r="E36" i="20"/>
  <c r="C39" i="16"/>
  <c r="G38" i="16"/>
  <c r="F38" i="16"/>
  <c r="E38" i="16"/>
  <c r="Y51" i="17"/>
  <c r="Y50" i="17"/>
  <c r="Y49" i="17"/>
  <c r="AK14" i="20" l="1"/>
  <c r="V160" i="20"/>
  <c r="AB160" i="20" s="1"/>
  <c r="V159" i="20"/>
  <c r="AB159" i="20" s="1"/>
  <c r="V158" i="20"/>
  <c r="AB158" i="20" s="1"/>
  <c r="V161" i="20"/>
  <c r="AB161" i="20" s="1"/>
  <c r="AL14" i="20"/>
  <c r="W160" i="20"/>
  <c r="AC160" i="20" s="1"/>
  <c r="W158" i="20"/>
  <c r="AC158" i="20" s="1"/>
  <c r="W159" i="20"/>
  <c r="AC159" i="20" s="1"/>
  <c r="W161" i="20"/>
  <c r="AC161" i="20" s="1"/>
  <c r="AM14" i="20"/>
  <c r="X161" i="20"/>
  <c r="AD161" i="20" s="1"/>
  <c r="X158" i="20"/>
  <c r="AD158" i="20" s="1"/>
  <c r="X159" i="20"/>
  <c r="AD159" i="20" s="1"/>
  <c r="X160" i="20"/>
  <c r="AD160" i="20" s="1"/>
  <c r="B40" i="16"/>
  <c r="D39" i="16"/>
  <c r="AJ15" i="20"/>
  <c r="B40" i="2"/>
  <c r="D39" i="2"/>
  <c r="F37" i="2"/>
  <c r="C38" i="2"/>
  <c r="G37" i="2"/>
  <c r="G38" i="17"/>
  <c r="F38" i="17"/>
  <c r="E38" i="17"/>
  <c r="G108" i="20"/>
  <c r="V35" i="20" s="1"/>
  <c r="I108" i="20"/>
  <c r="X35" i="20" s="1"/>
  <c r="F39" i="16"/>
  <c r="E39" i="16"/>
  <c r="C40" i="16"/>
  <c r="G39" i="16"/>
  <c r="I36" i="20"/>
  <c r="X31" i="20" s="1"/>
  <c r="H36" i="20"/>
  <c r="W31" i="20" s="1"/>
  <c r="G36" i="20"/>
  <c r="V31" i="20" s="1"/>
  <c r="F37" i="20"/>
  <c r="U32" i="20" s="1"/>
  <c r="E37" i="20"/>
  <c r="D38" i="20"/>
  <c r="F109" i="20"/>
  <c r="X54" i="17"/>
  <c r="X53" i="17"/>
  <c r="X52" i="17"/>
  <c r="H108" i="20"/>
  <c r="W35" i="20" s="1"/>
  <c r="D39" i="17"/>
  <c r="N20" i="17" s="1"/>
  <c r="AJ16" i="20" l="1"/>
  <c r="U162" i="20"/>
  <c r="AA162" i="20" s="1"/>
  <c r="AL15" i="20"/>
  <c r="F38" i="2"/>
  <c r="C39" i="2"/>
  <c r="G38" i="2"/>
  <c r="Z54" i="17"/>
  <c r="Z53" i="17"/>
  <c r="Z52" i="17"/>
  <c r="C41" i="16"/>
  <c r="F40" i="16"/>
  <c r="E40" i="16"/>
  <c r="G40" i="16"/>
  <c r="F38" i="20"/>
  <c r="D39" i="20"/>
  <c r="E38" i="20"/>
  <c r="AM15" i="20"/>
  <c r="D40" i="2"/>
  <c r="B41" i="2"/>
  <c r="I109" i="20"/>
  <c r="F39" i="17"/>
  <c r="P20" i="17" s="1"/>
  <c r="E39" i="17"/>
  <c r="O20" i="17" s="1"/>
  <c r="G39" i="17"/>
  <c r="Q20" i="17" s="1"/>
  <c r="AA52" i="17"/>
  <c r="AA53" i="17"/>
  <c r="AA54" i="17"/>
  <c r="F110" i="20"/>
  <c r="AK15" i="20"/>
  <c r="I37" i="20"/>
  <c r="X32" i="20" s="1"/>
  <c r="H37" i="20"/>
  <c r="W32" i="20" s="1"/>
  <c r="G37" i="20"/>
  <c r="V32" i="20" s="1"/>
  <c r="D40" i="17"/>
  <c r="G109" i="20"/>
  <c r="H109" i="20"/>
  <c r="Y54" i="17"/>
  <c r="Y52" i="17"/>
  <c r="Y53" i="17"/>
  <c r="B41" i="16"/>
  <c r="D40" i="16"/>
  <c r="AM16" i="20" l="1"/>
  <c r="X162" i="20"/>
  <c r="AD162" i="20" s="1"/>
  <c r="AL16" i="20"/>
  <c r="W162" i="20"/>
  <c r="AC162" i="20" s="1"/>
  <c r="U36" i="20"/>
  <c r="AK16" i="20"/>
  <c r="V162" i="20"/>
  <c r="AB162" i="20" s="1"/>
  <c r="B42" i="16"/>
  <c r="D41" i="16"/>
  <c r="H110" i="20"/>
  <c r="I110" i="20"/>
  <c r="F41" i="16"/>
  <c r="E41" i="16"/>
  <c r="C42" i="16"/>
  <c r="G41" i="16"/>
  <c r="F40" i="17"/>
  <c r="E40" i="17"/>
  <c r="G40" i="17"/>
  <c r="F39" i="2"/>
  <c r="G39" i="2"/>
  <c r="C40" i="2"/>
  <c r="I38" i="20"/>
  <c r="H38" i="20"/>
  <c r="G38" i="20"/>
  <c r="B42" i="2"/>
  <c r="D41" i="2"/>
  <c r="F39" i="20"/>
  <c r="U33" i="20" s="1"/>
  <c r="E39" i="20"/>
  <c r="D40" i="20"/>
  <c r="G110" i="20"/>
  <c r="X55" i="17"/>
  <c r="X57" i="17"/>
  <c r="X56" i="17"/>
  <c r="D41" i="17"/>
  <c r="F111" i="20"/>
  <c r="V36" i="20" l="1"/>
  <c r="W36" i="20"/>
  <c r="X36" i="20"/>
  <c r="F112" i="20"/>
  <c r="U37" i="20" s="1"/>
  <c r="D42" i="2"/>
  <c r="B43" i="2"/>
  <c r="C43" i="16"/>
  <c r="G42" i="16"/>
  <c r="F42" i="16"/>
  <c r="E42" i="16"/>
  <c r="I39" i="20"/>
  <c r="X33" i="20" s="1"/>
  <c r="H39" i="20"/>
  <c r="W33" i="20" s="1"/>
  <c r="G39" i="20"/>
  <c r="V33" i="20" s="1"/>
  <c r="G111" i="20"/>
  <c r="H111" i="20"/>
  <c r="X58" i="17"/>
  <c r="X59" i="17"/>
  <c r="X60" i="17"/>
  <c r="N21" i="17"/>
  <c r="I111" i="20"/>
  <c r="Z55" i="17"/>
  <c r="Z56" i="17"/>
  <c r="Z57" i="17"/>
  <c r="F40" i="2"/>
  <c r="C41" i="2"/>
  <c r="G40" i="2"/>
  <c r="AA55" i="17"/>
  <c r="AA56" i="17"/>
  <c r="AA57" i="17"/>
  <c r="G41" i="17"/>
  <c r="E41" i="17"/>
  <c r="F41" i="17"/>
  <c r="D42" i="17"/>
  <c r="D41" i="20"/>
  <c r="F40" i="20"/>
  <c r="F113" i="20" s="1"/>
  <c r="E40" i="20"/>
  <c r="Y55" i="17"/>
  <c r="Y56" i="17"/>
  <c r="Y57" i="17"/>
  <c r="B43" i="16"/>
  <c r="D42" i="16"/>
  <c r="Y60" i="17" l="1"/>
  <c r="Y58" i="17"/>
  <c r="Y59" i="17"/>
  <c r="O21" i="17"/>
  <c r="G112" i="20"/>
  <c r="V37" i="20" s="1"/>
  <c r="G42" i="17"/>
  <c r="E42" i="17"/>
  <c r="F42" i="17"/>
  <c r="AA59" i="17"/>
  <c r="AA60" i="17"/>
  <c r="AA58" i="17"/>
  <c r="Q21" i="17"/>
  <c r="H112" i="20"/>
  <c r="W37" i="20" s="1"/>
  <c r="I112" i="20"/>
  <c r="X37" i="20" s="1"/>
  <c r="F43" i="16"/>
  <c r="E43" i="16"/>
  <c r="C44" i="16"/>
  <c r="G43" i="16"/>
  <c r="D42" i="20"/>
  <c r="F41" i="20"/>
  <c r="U39" i="20" s="1"/>
  <c r="E41" i="20"/>
  <c r="B44" i="2"/>
  <c r="D43" i="2"/>
  <c r="B44" i="16"/>
  <c r="D43" i="16"/>
  <c r="I40" i="20"/>
  <c r="I113" i="20" s="1"/>
  <c r="H40" i="20"/>
  <c r="H113" i="20" s="1"/>
  <c r="G40" i="20"/>
  <c r="G113" i="20" s="1"/>
  <c r="X62" i="17"/>
  <c r="X63" i="17"/>
  <c r="X61" i="17"/>
  <c r="N22" i="17"/>
  <c r="F41" i="2"/>
  <c r="C42" i="2"/>
  <c r="G41" i="2"/>
  <c r="D43" i="17"/>
  <c r="Z59" i="17"/>
  <c r="Z60" i="17"/>
  <c r="Z58" i="17"/>
  <c r="P21" i="17"/>
  <c r="E42" i="20" l="1"/>
  <c r="D43" i="20"/>
  <c r="F42" i="20"/>
  <c r="Z63" i="17"/>
  <c r="Z62" i="17"/>
  <c r="Z61" i="17"/>
  <c r="P22" i="17"/>
  <c r="G43" i="17"/>
  <c r="F43" i="17"/>
  <c r="E43" i="17"/>
  <c r="AA61" i="17"/>
  <c r="AA63" i="17"/>
  <c r="Q22" i="17"/>
  <c r="AA62" i="17"/>
  <c r="C45" i="16"/>
  <c r="F44" i="16"/>
  <c r="E44" i="16"/>
  <c r="G44" i="16"/>
  <c r="D44" i="17"/>
  <c r="X64" i="17"/>
  <c r="N23" i="17"/>
  <c r="X66" i="17"/>
  <c r="X65" i="17"/>
  <c r="B45" i="16"/>
  <c r="D44" i="16"/>
  <c r="F114" i="20"/>
  <c r="U38" i="20" s="1"/>
  <c r="F42" i="2"/>
  <c r="C43" i="2"/>
  <c r="G42" i="2"/>
  <c r="Y63" i="17"/>
  <c r="Y61" i="17"/>
  <c r="Y62" i="17"/>
  <c r="O22" i="17"/>
  <c r="B45" i="2"/>
  <c r="D44" i="2"/>
  <c r="I41" i="20"/>
  <c r="X39" i="20" s="1"/>
  <c r="H41" i="20"/>
  <c r="W39" i="20" s="1"/>
  <c r="G41" i="20"/>
  <c r="V39" i="20" s="1"/>
  <c r="F115" i="20" l="1"/>
  <c r="U40" i="20"/>
  <c r="Y66" i="17"/>
  <c r="Y64" i="17"/>
  <c r="O23" i="17"/>
  <c r="Y65" i="17"/>
  <c r="G44" i="17"/>
  <c r="F44" i="17"/>
  <c r="E44" i="17"/>
  <c r="F43" i="2"/>
  <c r="G43" i="2"/>
  <c r="C44" i="2"/>
  <c r="D45" i="17"/>
  <c r="N25" i="17" s="1"/>
  <c r="AA64" i="17"/>
  <c r="Q23" i="17"/>
  <c r="AA65" i="17"/>
  <c r="AA66" i="17"/>
  <c r="Z64" i="17"/>
  <c r="P23" i="17"/>
  <c r="Z66" i="17"/>
  <c r="Z65" i="17"/>
  <c r="G114" i="20"/>
  <c r="V38" i="20" s="1"/>
  <c r="F45" i="16"/>
  <c r="E45" i="16"/>
  <c r="C46" i="16"/>
  <c r="G45" i="16"/>
  <c r="X67" i="17"/>
  <c r="X68" i="17"/>
  <c r="N24" i="17"/>
  <c r="X69" i="17"/>
  <c r="H114" i="20"/>
  <c r="W38" i="20" s="1"/>
  <c r="I114" i="20"/>
  <c r="X38" i="20" s="1"/>
  <c r="B46" i="2"/>
  <c r="D45" i="2"/>
  <c r="B46" i="16"/>
  <c r="D45" i="16"/>
  <c r="E43" i="20"/>
  <c r="D44" i="20"/>
  <c r="F43" i="20"/>
  <c r="I42" i="20"/>
  <c r="H42" i="20"/>
  <c r="G42" i="20"/>
  <c r="G115" i="20" l="1"/>
  <c r="V40" i="20"/>
  <c r="H115" i="20"/>
  <c r="W40" i="20"/>
  <c r="U166" i="20"/>
  <c r="U167" i="20"/>
  <c r="U165" i="20"/>
  <c r="U164" i="20"/>
  <c r="U41" i="20"/>
  <c r="I115" i="20"/>
  <c r="X40" i="20"/>
  <c r="D46" i="17"/>
  <c r="F44" i="2"/>
  <c r="C45" i="2"/>
  <c r="G44" i="2"/>
  <c r="Y67" i="17"/>
  <c r="Y68" i="17"/>
  <c r="O24" i="17"/>
  <c r="Y69" i="17"/>
  <c r="E44" i="20"/>
  <c r="D45" i="20"/>
  <c r="F44" i="20"/>
  <c r="I43" i="20"/>
  <c r="H43" i="20"/>
  <c r="G43" i="20"/>
  <c r="F45" i="17"/>
  <c r="P25" i="17" s="1"/>
  <c r="E45" i="17"/>
  <c r="O25" i="17" s="1"/>
  <c r="G45" i="17"/>
  <c r="Q25" i="17" s="1"/>
  <c r="Z67" i="17"/>
  <c r="Z68" i="17"/>
  <c r="P24" i="17"/>
  <c r="Z69" i="17"/>
  <c r="AA67" i="17"/>
  <c r="AA68" i="17"/>
  <c r="AA69" i="17"/>
  <c r="Q24" i="17"/>
  <c r="B47" i="16"/>
  <c r="D46" i="16"/>
  <c r="D46" i="2"/>
  <c r="B47" i="2"/>
  <c r="C47" i="16"/>
  <c r="G46" i="16"/>
  <c r="F46" i="16"/>
  <c r="E46" i="16"/>
  <c r="F116" i="20"/>
  <c r="AJ21" i="20"/>
  <c r="AJ20" i="20"/>
  <c r="AJ17" i="20"/>
  <c r="AJ18" i="20"/>
  <c r="AJ19" i="20"/>
  <c r="W165" i="20" l="1"/>
  <c r="W166" i="20"/>
  <c r="W167" i="20"/>
  <c r="W164" i="20"/>
  <c r="W41" i="20"/>
  <c r="U46" i="20"/>
  <c r="F117" i="20"/>
  <c r="U42" i="20"/>
  <c r="X166" i="20"/>
  <c r="X167" i="20"/>
  <c r="X164" i="20"/>
  <c r="X165" i="20"/>
  <c r="X41" i="20"/>
  <c r="V167" i="20"/>
  <c r="V166" i="20"/>
  <c r="V165" i="20"/>
  <c r="V164" i="20"/>
  <c r="V41" i="20"/>
  <c r="E45" i="20"/>
  <c r="D46" i="20"/>
  <c r="F45" i="20"/>
  <c r="H44" i="20"/>
  <c r="I44" i="20"/>
  <c r="G44" i="20"/>
  <c r="B48" i="2"/>
  <c r="D47" i="2"/>
  <c r="G46" i="17"/>
  <c r="F46" i="17"/>
  <c r="E46" i="17"/>
  <c r="B48" i="16"/>
  <c r="D47" i="16"/>
  <c r="F45" i="2"/>
  <c r="C46" i="2"/>
  <c r="G45" i="2"/>
  <c r="G116" i="20"/>
  <c r="AK17" i="20"/>
  <c r="AK20" i="20"/>
  <c r="AK19" i="20"/>
  <c r="AK18" i="20"/>
  <c r="AK21" i="20"/>
  <c r="F47" i="16"/>
  <c r="E47" i="16"/>
  <c r="C48" i="16"/>
  <c r="G47" i="16"/>
  <c r="H116" i="20"/>
  <c r="AL18" i="20"/>
  <c r="AL17" i="20"/>
  <c r="AL19" i="20"/>
  <c r="AL20" i="20"/>
  <c r="AL21" i="20"/>
  <c r="N26" i="17"/>
  <c r="X71" i="17"/>
  <c r="X72" i="17"/>
  <c r="X70" i="17"/>
  <c r="I116" i="20"/>
  <c r="AM17" i="20"/>
  <c r="AM20" i="20"/>
  <c r="AM21" i="20"/>
  <c r="AM18" i="20"/>
  <c r="AM19" i="20"/>
  <c r="D47" i="17"/>
  <c r="N27" i="17" s="1"/>
  <c r="X46" i="20" l="1"/>
  <c r="I117" i="20"/>
  <c r="X42" i="20"/>
  <c r="H117" i="20"/>
  <c r="W42" i="20"/>
  <c r="V46" i="20"/>
  <c r="W46" i="20"/>
  <c r="AJ22" i="20"/>
  <c r="U170" i="20"/>
  <c r="U168" i="20"/>
  <c r="U169" i="20"/>
  <c r="U171" i="20"/>
  <c r="G117" i="20"/>
  <c r="V42" i="20"/>
  <c r="Z71" i="17"/>
  <c r="Z72" i="17"/>
  <c r="P26" i="17"/>
  <c r="Z70" i="17"/>
  <c r="AA70" i="17"/>
  <c r="AA71" i="17"/>
  <c r="Q26" i="17"/>
  <c r="AA72" i="17"/>
  <c r="B49" i="2"/>
  <c r="D48" i="2"/>
  <c r="Y71" i="17"/>
  <c r="O26" i="17"/>
  <c r="Y70" i="17"/>
  <c r="Y72" i="17"/>
  <c r="F46" i="2"/>
  <c r="C47" i="2"/>
  <c r="G46" i="2"/>
  <c r="G47" i="17"/>
  <c r="Q27" i="17" s="1"/>
  <c r="F47" i="17"/>
  <c r="P27" i="17" s="1"/>
  <c r="E47" i="17"/>
  <c r="O27" i="17" s="1"/>
  <c r="F118" i="20"/>
  <c r="U47" i="20" s="1"/>
  <c r="C49" i="16"/>
  <c r="F48" i="16"/>
  <c r="E48" i="16"/>
  <c r="G48" i="16"/>
  <c r="D48" i="17"/>
  <c r="E46" i="20"/>
  <c r="D47" i="20"/>
  <c r="F46" i="20"/>
  <c r="U43" i="20" s="1"/>
  <c r="B49" i="16"/>
  <c r="D48" i="16"/>
  <c r="I45" i="20"/>
  <c r="H45" i="20"/>
  <c r="G45" i="20"/>
  <c r="AL22" i="20" l="1"/>
  <c r="W171" i="20"/>
  <c r="W168" i="20"/>
  <c r="W170" i="20"/>
  <c r="W169" i="20"/>
  <c r="AK22" i="20"/>
  <c r="V171" i="20"/>
  <c r="V169" i="20"/>
  <c r="V168" i="20"/>
  <c r="V170" i="20"/>
  <c r="AM22" i="20"/>
  <c r="X170" i="20"/>
  <c r="X169" i="20"/>
  <c r="X168" i="20"/>
  <c r="X171" i="20"/>
  <c r="AJ23" i="20"/>
  <c r="B50" i="16"/>
  <c r="D49" i="16"/>
  <c r="G48" i="17"/>
  <c r="E48" i="17"/>
  <c r="F48" i="17"/>
  <c r="H46" i="20"/>
  <c r="W43" i="20" s="1"/>
  <c r="G46" i="20"/>
  <c r="V43" i="20" s="1"/>
  <c r="I46" i="20"/>
  <c r="X43" i="20" s="1"/>
  <c r="B50" i="2"/>
  <c r="D49" i="2"/>
  <c r="F47" i="2"/>
  <c r="C48" i="2"/>
  <c r="G47" i="2"/>
  <c r="F119" i="20"/>
  <c r="U82" i="20"/>
  <c r="U80" i="20"/>
  <c r="U81" i="20"/>
  <c r="E47" i="20"/>
  <c r="D48" i="20"/>
  <c r="F47" i="20"/>
  <c r="U44" i="20" s="1"/>
  <c r="X75" i="17"/>
  <c r="X74" i="17"/>
  <c r="X73" i="17"/>
  <c r="N28" i="17"/>
  <c r="I118" i="20"/>
  <c r="X47" i="20" s="1"/>
  <c r="D49" i="17"/>
  <c r="N29" i="17" s="1"/>
  <c r="G118" i="20"/>
  <c r="V47" i="20" s="1"/>
  <c r="H118" i="20"/>
  <c r="W47" i="20" s="1"/>
  <c r="F49" i="16"/>
  <c r="E49" i="16"/>
  <c r="C50" i="16"/>
  <c r="G49" i="16"/>
  <c r="AJ24" i="20" l="1"/>
  <c r="U172" i="20"/>
  <c r="F120" i="20"/>
  <c r="U48" i="20" s="1"/>
  <c r="U84" i="20"/>
  <c r="U85" i="20"/>
  <c r="U83" i="20"/>
  <c r="D50" i="2"/>
  <c r="B51" i="2"/>
  <c r="E48" i="20"/>
  <c r="D49" i="20"/>
  <c r="F48" i="20"/>
  <c r="I119" i="20"/>
  <c r="X82" i="20"/>
  <c r="X80" i="20"/>
  <c r="X81" i="20"/>
  <c r="Y74" i="17"/>
  <c r="Y73" i="17"/>
  <c r="O28" i="17"/>
  <c r="Y75" i="17"/>
  <c r="I47" i="20"/>
  <c r="X44" i="20" s="1"/>
  <c r="H47" i="20"/>
  <c r="W44" i="20" s="1"/>
  <c r="G47" i="20"/>
  <c r="V44" i="20" s="1"/>
  <c r="D50" i="17"/>
  <c r="C51" i="16"/>
  <c r="G50" i="16"/>
  <c r="F50" i="16"/>
  <c r="E50" i="16"/>
  <c r="G49" i="17"/>
  <c r="Q29" i="17" s="1"/>
  <c r="F49" i="17"/>
  <c r="P29" i="17" s="1"/>
  <c r="E49" i="17"/>
  <c r="O29" i="17" s="1"/>
  <c r="AA73" i="17"/>
  <c r="AA74" i="17"/>
  <c r="Q28" i="17"/>
  <c r="AA75" i="17"/>
  <c r="AK23" i="20"/>
  <c r="Z74" i="17"/>
  <c r="Z73" i="17"/>
  <c r="P28" i="17"/>
  <c r="Z75" i="17"/>
  <c r="H119" i="20"/>
  <c r="W80" i="20"/>
  <c r="W81" i="20"/>
  <c r="W82" i="20"/>
  <c r="AM23" i="20"/>
  <c r="F48" i="2"/>
  <c r="C49" i="2"/>
  <c r="G48" i="2"/>
  <c r="B51" i="16"/>
  <c r="D50" i="16"/>
  <c r="G119" i="20"/>
  <c r="V82" i="20"/>
  <c r="V80" i="20"/>
  <c r="V81" i="20"/>
  <c r="AL23" i="20"/>
  <c r="AM24" i="20" l="1"/>
  <c r="X172" i="20"/>
  <c r="AL24" i="20"/>
  <c r="W172" i="20"/>
  <c r="AK24" i="20"/>
  <c r="V172" i="20"/>
  <c r="X78" i="17"/>
  <c r="X77" i="17"/>
  <c r="N30" i="17"/>
  <c r="X76" i="17"/>
  <c r="D51" i="17"/>
  <c r="G120" i="20"/>
  <c r="V48" i="20" s="1"/>
  <c r="V84" i="20"/>
  <c r="V85" i="20"/>
  <c r="V83" i="20"/>
  <c r="F121" i="20"/>
  <c r="U86" i="20"/>
  <c r="U88" i="20"/>
  <c r="U87" i="20"/>
  <c r="H120" i="20"/>
  <c r="W48" i="20" s="1"/>
  <c r="W84" i="20"/>
  <c r="W83" i="20"/>
  <c r="W85" i="20"/>
  <c r="I120" i="20"/>
  <c r="X48" i="20" s="1"/>
  <c r="X85" i="20"/>
  <c r="X83" i="20"/>
  <c r="X84" i="20"/>
  <c r="I48" i="20"/>
  <c r="H48" i="20"/>
  <c r="G48" i="20"/>
  <c r="G50" i="17"/>
  <c r="F50" i="17"/>
  <c r="E50" i="17"/>
  <c r="B52" i="2"/>
  <c r="D51" i="2"/>
  <c r="E49" i="20"/>
  <c r="D50" i="20"/>
  <c r="F49" i="20"/>
  <c r="U45" i="20" s="1"/>
  <c r="F49" i="2"/>
  <c r="G49" i="2"/>
  <c r="C50" i="2"/>
  <c r="B52" i="16"/>
  <c r="D51" i="16"/>
  <c r="F51" i="16"/>
  <c r="E51" i="16"/>
  <c r="C52" i="16"/>
  <c r="G51" i="16"/>
  <c r="Y78" i="17" l="1"/>
  <c r="Y77" i="17"/>
  <c r="O30" i="17"/>
  <c r="Y76" i="17"/>
  <c r="B53" i="2"/>
  <c r="D52" i="2"/>
  <c r="Z77" i="17"/>
  <c r="P30" i="17"/>
  <c r="Z76" i="17"/>
  <c r="Z78" i="17"/>
  <c r="AA76" i="17"/>
  <c r="AA77" i="17"/>
  <c r="Q30" i="17"/>
  <c r="AA78" i="17"/>
  <c r="X81" i="17"/>
  <c r="N31" i="17"/>
  <c r="X80" i="17"/>
  <c r="X79" i="17"/>
  <c r="G121" i="20"/>
  <c r="V86" i="20"/>
  <c r="V88" i="20"/>
  <c r="V87" i="20"/>
  <c r="D52" i="17"/>
  <c r="H121" i="20"/>
  <c r="W88" i="20"/>
  <c r="W86" i="20"/>
  <c r="W87" i="20"/>
  <c r="C53" i="16"/>
  <c r="F52" i="16"/>
  <c r="E52" i="16"/>
  <c r="G52" i="16"/>
  <c r="G51" i="17"/>
  <c r="F51" i="17"/>
  <c r="E51" i="17"/>
  <c r="B53" i="16"/>
  <c r="D52" i="16"/>
  <c r="I121" i="20"/>
  <c r="X88" i="20"/>
  <c r="X87" i="20"/>
  <c r="X86" i="20"/>
  <c r="I49" i="20"/>
  <c r="X45" i="20" s="1"/>
  <c r="H49" i="20"/>
  <c r="W45" i="20" s="1"/>
  <c r="G49" i="20"/>
  <c r="V45" i="20" s="1"/>
  <c r="F50" i="2"/>
  <c r="C51" i="2"/>
  <c r="G50" i="2"/>
  <c r="F122" i="20"/>
  <c r="U90" i="20"/>
  <c r="U91" i="20"/>
  <c r="E50" i="20"/>
  <c r="D51" i="20"/>
  <c r="F50" i="20"/>
  <c r="U89" i="20" l="1"/>
  <c r="U49" i="20"/>
  <c r="N32" i="17"/>
  <c r="X84" i="17"/>
  <c r="X83" i="17"/>
  <c r="X82" i="17"/>
  <c r="AA79" i="17"/>
  <c r="AA80" i="17"/>
  <c r="AA81" i="17"/>
  <c r="Q31" i="17"/>
  <c r="G122" i="20"/>
  <c r="V90" i="20"/>
  <c r="V91" i="20"/>
  <c r="I122" i="20"/>
  <c r="X90" i="20"/>
  <c r="X91" i="20"/>
  <c r="F53" i="16"/>
  <c r="E53" i="16"/>
  <c r="C54" i="16"/>
  <c r="G53" i="16"/>
  <c r="F123" i="20"/>
  <c r="U93" i="20"/>
  <c r="U94" i="20"/>
  <c r="U92" i="20"/>
  <c r="B54" i="2"/>
  <c r="D53" i="2"/>
  <c r="Z81" i="17"/>
  <c r="P31" i="17"/>
  <c r="Z80" i="17"/>
  <c r="Z79" i="17"/>
  <c r="H50" i="20"/>
  <c r="I50" i="20"/>
  <c r="G50" i="20"/>
  <c r="H122" i="20"/>
  <c r="W90" i="20"/>
  <c r="W91" i="20"/>
  <c r="B54" i="16"/>
  <c r="D53" i="16"/>
  <c r="F51" i="2"/>
  <c r="G51" i="2"/>
  <c r="C52" i="2"/>
  <c r="E51" i="20"/>
  <c r="D52" i="20"/>
  <c r="F51" i="20"/>
  <c r="U51" i="20" s="1"/>
  <c r="Y81" i="17"/>
  <c r="O31" i="17"/>
  <c r="Y80" i="17"/>
  <c r="Y79" i="17"/>
  <c r="E52" i="17"/>
  <c r="G52" i="17"/>
  <c r="F52" i="17"/>
  <c r="D53" i="17"/>
  <c r="V89" i="20" l="1"/>
  <c r="V49" i="20"/>
  <c r="W89" i="20"/>
  <c r="W49" i="20"/>
  <c r="X89" i="20"/>
  <c r="X49" i="20"/>
  <c r="B55" i="16"/>
  <c r="D54" i="16"/>
  <c r="B55" i="2"/>
  <c r="D54" i="2"/>
  <c r="F124" i="20"/>
  <c r="U50" i="20" s="1"/>
  <c r="U96" i="20"/>
  <c r="U95" i="20"/>
  <c r="U97" i="20"/>
  <c r="G53" i="17"/>
  <c r="F53" i="17"/>
  <c r="E53" i="17"/>
  <c r="Y84" i="17"/>
  <c r="Y83" i="17"/>
  <c r="Y82" i="17"/>
  <c r="O32" i="17"/>
  <c r="E52" i="20"/>
  <c r="D53" i="20"/>
  <c r="F52" i="20"/>
  <c r="H123" i="20"/>
  <c r="W93" i="20"/>
  <c r="W92" i="20"/>
  <c r="W94" i="20"/>
  <c r="C55" i="16"/>
  <c r="G54" i="16"/>
  <c r="F54" i="16"/>
  <c r="E54" i="16"/>
  <c r="I123" i="20"/>
  <c r="X93" i="20"/>
  <c r="X94" i="20"/>
  <c r="X92" i="20"/>
  <c r="I51" i="20"/>
  <c r="X51" i="20" s="1"/>
  <c r="H51" i="20"/>
  <c r="W51" i="20" s="1"/>
  <c r="G51" i="20"/>
  <c r="V51" i="20" s="1"/>
  <c r="G123" i="20"/>
  <c r="V93" i="20"/>
  <c r="V94" i="20"/>
  <c r="V92" i="20"/>
  <c r="X87" i="17"/>
  <c r="X85" i="17"/>
  <c r="X86" i="17"/>
  <c r="N33" i="17"/>
  <c r="Z84" i="17"/>
  <c r="Z83" i="17"/>
  <c r="Z82" i="17"/>
  <c r="P32" i="17"/>
  <c r="D54" i="17"/>
  <c r="F52" i="2"/>
  <c r="C53" i="2"/>
  <c r="G52" i="2"/>
  <c r="AA82" i="17"/>
  <c r="AA84" i="17"/>
  <c r="AA83" i="17"/>
  <c r="Q32" i="17"/>
  <c r="F125" i="20" l="1"/>
  <c r="U99" i="20" s="1"/>
  <c r="U98" i="20"/>
  <c r="U100" i="20"/>
  <c r="E53" i="20"/>
  <c r="D54" i="20"/>
  <c r="F53" i="20"/>
  <c r="I124" i="20"/>
  <c r="X50" i="20" s="1"/>
  <c r="X96" i="20"/>
  <c r="X97" i="20"/>
  <c r="X95" i="20"/>
  <c r="D55" i="17"/>
  <c r="N35" i="17" s="1"/>
  <c r="F55" i="16"/>
  <c r="E55" i="16"/>
  <c r="C56" i="16"/>
  <c r="G55" i="16"/>
  <c r="G54" i="17"/>
  <c r="F54" i="17"/>
  <c r="E54" i="17"/>
  <c r="F53" i="2"/>
  <c r="C54" i="2"/>
  <c r="G53" i="2"/>
  <c r="X88" i="17"/>
  <c r="X90" i="17"/>
  <c r="X89" i="17"/>
  <c r="N34" i="17"/>
  <c r="Y87" i="17"/>
  <c r="Y86" i="17"/>
  <c r="Y85" i="17"/>
  <c r="O33" i="17"/>
  <c r="B56" i="2"/>
  <c r="D55" i="2"/>
  <c r="H52" i="20"/>
  <c r="G52" i="20"/>
  <c r="I52" i="20"/>
  <c r="G124" i="20"/>
  <c r="V50" i="20" s="1"/>
  <c r="V96" i="20"/>
  <c r="V95" i="20"/>
  <c r="V97" i="20"/>
  <c r="Z87" i="17"/>
  <c r="Z86" i="17"/>
  <c r="Z85" i="17"/>
  <c r="P33" i="17"/>
  <c r="H124" i="20"/>
  <c r="W50" i="20" s="1"/>
  <c r="W96" i="20"/>
  <c r="W97" i="20"/>
  <c r="W95" i="20"/>
  <c r="AA85" i="17"/>
  <c r="AA87" i="17"/>
  <c r="AA86" i="17"/>
  <c r="Q33" i="17"/>
  <c r="B56" i="16"/>
  <c r="D55" i="16"/>
  <c r="U174" i="20" l="1"/>
  <c r="U175" i="20"/>
  <c r="U176" i="20"/>
  <c r="U177" i="20"/>
  <c r="U52" i="20"/>
  <c r="Z90" i="17"/>
  <c r="Z89" i="17"/>
  <c r="P34" i="17"/>
  <c r="Z88" i="17"/>
  <c r="Y90" i="17"/>
  <c r="O34" i="17"/>
  <c r="Y89" i="17"/>
  <c r="Y88" i="17"/>
  <c r="AA88" i="17"/>
  <c r="AA90" i="17"/>
  <c r="AA89" i="17"/>
  <c r="Q34" i="17"/>
  <c r="C57" i="16"/>
  <c r="F56" i="16"/>
  <c r="E56" i="16"/>
  <c r="G56" i="16"/>
  <c r="F126" i="20"/>
  <c r="U57" i="20" s="1"/>
  <c r="AJ25" i="20"/>
  <c r="AJ26" i="20"/>
  <c r="AJ28" i="20"/>
  <c r="AJ27" i="20"/>
  <c r="U102" i="20"/>
  <c r="U101" i="20"/>
  <c r="U103" i="20"/>
  <c r="E54" i="20"/>
  <c r="D55" i="20"/>
  <c r="F54" i="20"/>
  <c r="I53" i="20"/>
  <c r="H53" i="20"/>
  <c r="G53" i="20"/>
  <c r="B57" i="16"/>
  <c r="D56" i="16"/>
  <c r="G125" i="20"/>
  <c r="V99" i="20" s="1"/>
  <c r="V98" i="20"/>
  <c r="V100" i="20"/>
  <c r="D56" i="17"/>
  <c r="I125" i="20"/>
  <c r="X99" i="20" s="1"/>
  <c r="X98" i="20"/>
  <c r="X100" i="20"/>
  <c r="H125" i="20"/>
  <c r="W99" i="20" s="1"/>
  <c r="W98" i="20"/>
  <c r="W100" i="20"/>
  <c r="F54" i="2"/>
  <c r="C55" i="2"/>
  <c r="G54" i="2"/>
  <c r="D56" i="2"/>
  <c r="B57" i="2"/>
  <c r="G55" i="17"/>
  <c r="Q35" i="17" s="1"/>
  <c r="F55" i="17"/>
  <c r="P35" i="17" s="1"/>
  <c r="E55" i="17"/>
  <c r="O35" i="17" s="1"/>
  <c r="V175" i="20" l="1"/>
  <c r="V177" i="20"/>
  <c r="V174" i="20"/>
  <c r="V176" i="20"/>
  <c r="V52" i="20"/>
  <c r="W176" i="20"/>
  <c r="W174" i="20"/>
  <c r="W177" i="20"/>
  <c r="W175" i="20"/>
  <c r="W52" i="20"/>
  <c r="X177" i="20"/>
  <c r="X175" i="20"/>
  <c r="X174" i="20"/>
  <c r="X176" i="20"/>
  <c r="X52" i="20"/>
  <c r="G126" i="20"/>
  <c r="V57" i="20" s="1"/>
  <c r="AK26" i="20"/>
  <c r="AK27" i="20"/>
  <c r="AK28" i="20"/>
  <c r="AK25" i="20"/>
  <c r="V102" i="20"/>
  <c r="V101" i="20"/>
  <c r="V103" i="20"/>
  <c r="H126" i="20"/>
  <c r="W57" i="20" s="1"/>
  <c r="AL27" i="20"/>
  <c r="AL26" i="20"/>
  <c r="AL25" i="20"/>
  <c r="AL28" i="20"/>
  <c r="W102" i="20"/>
  <c r="W101" i="20"/>
  <c r="W103" i="20"/>
  <c r="B58" i="16"/>
  <c r="D57" i="16"/>
  <c r="G56" i="17"/>
  <c r="E56" i="17"/>
  <c r="F56" i="17"/>
  <c r="F127" i="20"/>
  <c r="AJ29" i="20" s="1"/>
  <c r="U105" i="20"/>
  <c r="U106" i="20"/>
  <c r="U104" i="20"/>
  <c r="I126" i="20"/>
  <c r="X57" i="20" s="1"/>
  <c r="AM28" i="20"/>
  <c r="AM25" i="20"/>
  <c r="AM26" i="20"/>
  <c r="AM27" i="20"/>
  <c r="X102" i="20"/>
  <c r="X103" i="20"/>
  <c r="X101" i="20"/>
  <c r="B58" i="2"/>
  <c r="D57" i="2"/>
  <c r="X91" i="17"/>
  <c r="X93" i="17"/>
  <c r="N36" i="17"/>
  <c r="X92" i="17"/>
  <c r="E55" i="20"/>
  <c r="D56" i="20"/>
  <c r="F55" i="20"/>
  <c r="U53" i="20" s="1"/>
  <c r="D57" i="17"/>
  <c r="N37" i="17" s="1"/>
  <c r="I54" i="20"/>
  <c r="H54" i="20"/>
  <c r="G54" i="20"/>
  <c r="F55" i="2"/>
  <c r="C56" i="2"/>
  <c r="G55" i="2"/>
  <c r="C58" i="16"/>
  <c r="F57" i="16"/>
  <c r="E57" i="16"/>
  <c r="G57" i="16"/>
  <c r="Z93" i="17" l="1"/>
  <c r="P36" i="17"/>
  <c r="Z92" i="17"/>
  <c r="Z91" i="17"/>
  <c r="Y91" i="17"/>
  <c r="Y93" i="17"/>
  <c r="O36" i="17"/>
  <c r="Y92" i="17"/>
  <c r="AA91" i="17"/>
  <c r="Q36" i="17"/>
  <c r="AA93" i="17"/>
  <c r="AA92" i="17"/>
  <c r="I55" i="20"/>
  <c r="X53" i="20" s="1"/>
  <c r="H55" i="20"/>
  <c r="W53" i="20" s="1"/>
  <c r="G55" i="20"/>
  <c r="V53" i="20" s="1"/>
  <c r="B59" i="16"/>
  <c r="D58" i="16"/>
  <c r="D58" i="17"/>
  <c r="E56" i="20"/>
  <c r="D57" i="20"/>
  <c r="F56" i="20"/>
  <c r="C59" i="16"/>
  <c r="G58" i="16"/>
  <c r="F58" i="16"/>
  <c r="E58" i="16"/>
  <c r="F56" i="2"/>
  <c r="C57" i="2"/>
  <c r="G56" i="2"/>
  <c r="F57" i="17"/>
  <c r="P37" i="17" s="1"/>
  <c r="E57" i="17"/>
  <c r="O37" i="17" s="1"/>
  <c r="G57" i="17"/>
  <c r="Q37" i="17" s="1"/>
  <c r="G127" i="20"/>
  <c r="AK29" i="20" s="1"/>
  <c r="V105" i="20"/>
  <c r="V106" i="20"/>
  <c r="V104" i="20"/>
  <c r="H127" i="20"/>
  <c r="AL29" i="20" s="1"/>
  <c r="W105" i="20"/>
  <c r="W106" i="20"/>
  <c r="W104" i="20"/>
  <c r="B59" i="2"/>
  <c r="D58" i="2"/>
  <c r="F128" i="20"/>
  <c r="U108" i="20"/>
  <c r="U107" i="20"/>
  <c r="I127" i="20"/>
  <c r="AM29" i="20" s="1"/>
  <c r="X105" i="20"/>
  <c r="X106" i="20"/>
  <c r="X104" i="20"/>
  <c r="U179" i="20" l="1"/>
  <c r="U178" i="20"/>
  <c r="U181" i="20"/>
  <c r="U180" i="20"/>
  <c r="U58" i="20"/>
  <c r="C60" i="16"/>
  <c r="F59" i="16"/>
  <c r="E59" i="16"/>
  <c r="G59" i="16"/>
  <c r="E57" i="20"/>
  <c r="D58" i="20"/>
  <c r="F57" i="20"/>
  <c r="U54" i="20" s="1"/>
  <c r="E58" i="17"/>
  <c r="G58" i="17"/>
  <c r="F58" i="17"/>
  <c r="X95" i="17"/>
  <c r="N38" i="17"/>
  <c r="X94" i="17"/>
  <c r="X96" i="17"/>
  <c r="F129" i="20"/>
  <c r="U113" i="20"/>
  <c r="U111" i="20"/>
  <c r="U110" i="20"/>
  <c r="U112" i="20"/>
  <c r="F57" i="2"/>
  <c r="G57" i="2"/>
  <c r="C58" i="2"/>
  <c r="B60" i="16"/>
  <c r="D59" i="16"/>
  <c r="AJ30" i="20"/>
  <c r="U109" i="20"/>
  <c r="H56" i="20"/>
  <c r="I56" i="20"/>
  <c r="G56" i="20"/>
  <c r="G128" i="20"/>
  <c r="V108" i="20"/>
  <c r="V107" i="20"/>
  <c r="D59" i="17"/>
  <c r="N39" i="17" s="1"/>
  <c r="B60" i="2"/>
  <c r="D59" i="2"/>
  <c r="H128" i="20"/>
  <c r="W108" i="20"/>
  <c r="W107" i="20"/>
  <c r="I128" i="20"/>
  <c r="X108" i="20"/>
  <c r="X107" i="20"/>
  <c r="V181" i="20" l="1"/>
  <c r="V178" i="20"/>
  <c r="V180" i="20"/>
  <c r="V179" i="20"/>
  <c r="V58" i="20"/>
  <c r="X180" i="20"/>
  <c r="X178" i="20"/>
  <c r="X181" i="20"/>
  <c r="X179" i="20"/>
  <c r="X58" i="20"/>
  <c r="AJ31" i="20"/>
  <c r="U182" i="20"/>
  <c r="W181" i="20"/>
  <c r="W179" i="20"/>
  <c r="W178" i="20"/>
  <c r="W180" i="20"/>
  <c r="W58" i="20"/>
  <c r="G59" i="17"/>
  <c r="Q39" i="17" s="1"/>
  <c r="F59" i="17"/>
  <c r="P39" i="17" s="1"/>
  <c r="E59" i="17"/>
  <c r="O39" i="17" s="1"/>
  <c r="Z96" i="17"/>
  <c r="Z94" i="17"/>
  <c r="Z95" i="17"/>
  <c r="P38" i="17"/>
  <c r="F58" i="2"/>
  <c r="C59" i="2"/>
  <c r="G58" i="2"/>
  <c r="AA94" i="17"/>
  <c r="AA96" i="17"/>
  <c r="AA95" i="17"/>
  <c r="Q38" i="17"/>
  <c r="G129" i="20"/>
  <c r="V113" i="20"/>
  <c r="V111" i="20"/>
  <c r="V110" i="20"/>
  <c r="V112" i="20"/>
  <c r="Y94" i="17"/>
  <c r="Y96" i="17"/>
  <c r="Y95" i="17"/>
  <c r="O38" i="17"/>
  <c r="AK30" i="20"/>
  <c r="V109" i="20"/>
  <c r="I129" i="20"/>
  <c r="X113" i="20"/>
  <c r="X111" i="20"/>
  <c r="X110" i="20"/>
  <c r="X112" i="20"/>
  <c r="F130" i="20"/>
  <c r="U59" i="20" s="1"/>
  <c r="U116" i="20"/>
  <c r="U114" i="20"/>
  <c r="U115" i="20"/>
  <c r="H129" i="20"/>
  <c r="W113" i="20"/>
  <c r="W111" i="20"/>
  <c r="W110" i="20"/>
  <c r="W112" i="20"/>
  <c r="E58" i="20"/>
  <c r="D59" i="20"/>
  <c r="F58" i="20"/>
  <c r="H57" i="20"/>
  <c r="W54" i="20" s="1"/>
  <c r="G57" i="20"/>
  <c r="V54" i="20" s="1"/>
  <c r="I57" i="20"/>
  <c r="X54" i="20" s="1"/>
  <c r="D60" i="17"/>
  <c r="AM30" i="20"/>
  <c r="X109" i="20"/>
  <c r="AL30" i="20"/>
  <c r="W109" i="20"/>
  <c r="D60" i="2"/>
  <c r="B61" i="2"/>
  <c r="B61" i="16"/>
  <c r="D60" i="16"/>
  <c r="C61" i="16"/>
  <c r="G60" i="16"/>
  <c r="F60" i="16"/>
  <c r="E60" i="16"/>
  <c r="AK31" i="20" l="1"/>
  <c r="V182" i="20"/>
  <c r="AM31" i="20"/>
  <c r="X182" i="20"/>
  <c r="AL31" i="20"/>
  <c r="W182" i="20"/>
  <c r="F131" i="20"/>
  <c r="U119" i="20" s="1"/>
  <c r="U117" i="20"/>
  <c r="U118" i="20"/>
  <c r="E59" i="20"/>
  <c r="D60" i="20"/>
  <c r="F59" i="20"/>
  <c r="F59" i="2"/>
  <c r="C60" i="2"/>
  <c r="G59" i="2"/>
  <c r="B62" i="2"/>
  <c r="D61" i="2"/>
  <c r="I58" i="20"/>
  <c r="H58" i="20"/>
  <c r="G58" i="20"/>
  <c r="X98" i="17"/>
  <c r="X97" i="17"/>
  <c r="N40" i="17"/>
  <c r="X99" i="17"/>
  <c r="F60" i="17"/>
  <c r="E60" i="17"/>
  <c r="G60" i="17"/>
  <c r="H130" i="20"/>
  <c r="W59" i="20" s="1"/>
  <c r="W116" i="20"/>
  <c r="W114" i="20"/>
  <c r="W115" i="20"/>
  <c r="C62" i="16"/>
  <c r="F61" i="16"/>
  <c r="E61" i="16"/>
  <c r="G61" i="16"/>
  <c r="D61" i="17"/>
  <c r="I130" i="20"/>
  <c r="X59" i="20" s="1"/>
  <c r="X116" i="20"/>
  <c r="X114" i="20"/>
  <c r="X115" i="20"/>
  <c r="B62" i="16"/>
  <c r="D61" i="16"/>
  <c r="G130" i="20"/>
  <c r="V59" i="20" s="1"/>
  <c r="V116" i="20"/>
  <c r="V114" i="20"/>
  <c r="V115" i="20"/>
  <c r="U56" i="20" l="1"/>
  <c r="U55" i="20"/>
  <c r="I131" i="20"/>
  <c r="X119" i="20" s="1"/>
  <c r="X117" i="20"/>
  <c r="X118" i="20"/>
  <c r="AA97" i="17"/>
  <c r="Q40" i="17"/>
  <c r="AA98" i="17"/>
  <c r="AA99" i="17"/>
  <c r="D62" i="2"/>
  <c r="B63" i="2"/>
  <c r="D62" i="17"/>
  <c r="Z99" i="17"/>
  <c r="Z98" i="17"/>
  <c r="Z97" i="17"/>
  <c r="P40" i="17"/>
  <c r="F60" i="2"/>
  <c r="C61" i="2"/>
  <c r="G60" i="2"/>
  <c r="X102" i="17"/>
  <c r="X101" i="17"/>
  <c r="X100" i="17"/>
  <c r="N41" i="17"/>
  <c r="E61" i="17"/>
  <c r="F61" i="17"/>
  <c r="G61" i="17"/>
  <c r="F132" i="20"/>
  <c r="U60" i="20" s="1"/>
  <c r="U122" i="20"/>
  <c r="U120" i="20"/>
  <c r="U121" i="20"/>
  <c r="E60" i="20"/>
  <c r="D61" i="20"/>
  <c r="F60" i="20"/>
  <c r="I59" i="20"/>
  <c r="H59" i="20"/>
  <c r="G59" i="20"/>
  <c r="C63" i="16"/>
  <c r="G62" i="16"/>
  <c r="F62" i="16"/>
  <c r="E62" i="16"/>
  <c r="G131" i="20"/>
  <c r="V119" i="20" s="1"/>
  <c r="V117" i="20"/>
  <c r="V118" i="20"/>
  <c r="Y98" i="17"/>
  <c r="Y97" i="17"/>
  <c r="Y99" i="17"/>
  <c r="O40" i="17"/>
  <c r="B63" i="16"/>
  <c r="D62" i="16"/>
  <c r="H131" i="20"/>
  <c r="W119" i="20" s="1"/>
  <c r="W117" i="20"/>
  <c r="W118" i="20"/>
  <c r="W55" i="20" l="1"/>
  <c r="W56" i="20"/>
  <c r="X56" i="20"/>
  <c r="X55" i="20"/>
  <c r="V56" i="20"/>
  <c r="V55" i="20"/>
  <c r="N42" i="17"/>
  <c r="X103" i="17"/>
  <c r="X104" i="17"/>
  <c r="X105" i="17"/>
  <c r="G132" i="20"/>
  <c r="V60" i="20" s="1"/>
  <c r="V122" i="20"/>
  <c r="V120" i="20"/>
  <c r="V121" i="20"/>
  <c r="G62" i="17"/>
  <c r="F62" i="17"/>
  <c r="E62" i="17"/>
  <c r="H132" i="20"/>
  <c r="W60" i="20" s="1"/>
  <c r="W122" i="20"/>
  <c r="W120" i="20"/>
  <c r="W121" i="20"/>
  <c r="Y101" i="17"/>
  <c r="Y100" i="17"/>
  <c r="O41" i="17"/>
  <c r="Y102" i="17"/>
  <c r="D63" i="17"/>
  <c r="B64" i="16"/>
  <c r="D63" i="16"/>
  <c r="I132" i="20"/>
  <c r="X60" i="20" s="1"/>
  <c r="X122" i="20"/>
  <c r="X120" i="20"/>
  <c r="X121" i="20"/>
  <c r="F133" i="20"/>
  <c r="U125" i="20"/>
  <c r="U123" i="20"/>
  <c r="U124" i="20"/>
  <c r="E61" i="20"/>
  <c r="D62" i="20"/>
  <c r="F61" i="20"/>
  <c r="I60" i="20"/>
  <c r="G60" i="20"/>
  <c r="H60" i="20"/>
  <c r="F61" i="2"/>
  <c r="C62" i="2"/>
  <c r="G61" i="2"/>
  <c r="B64" i="2"/>
  <c r="D63" i="2"/>
  <c r="AA100" i="17"/>
  <c r="AA101" i="17"/>
  <c r="Q41" i="17"/>
  <c r="AA102" i="17"/>
  <c r="C64" i="16"/>
  <c r="F63" i="16"/>
  <c r="E63" i="16"/>
  <c r="G63" i="16"/>
  <c r="Z102" i="17"/>
  <c r="Z101" i="17"/>
  <c r="Z100" i="17"/>
  <c r="P41" i="17"/>
  <c r="P42" i="17" l="1"/>
  <c r="Z103" i="17"/>
  <c r="Z104" i="17"/>
  <c r="Z105" i="17"/>
  <c r="Q42" i="17"/>
  <c r="AA103" i="17"/>
  <c r="AA104" i="17"/>
  <c r="AA105" i="17"/>
  <c r="O42" i="17"/>
  <c r="Y105" i="17"/>
  <c r="Y104" i="17"/>
  <c r="Y103" i="17"/>
  <c r="N43" i="17"/>
  <c r="X108" i="17"/>
  <c r="X107" i="17"/>
  <c r="X106" i="17"/>
  <c r="C65" i="16"/>
  <c r="G64" i="16"/>
  <c r="F64" i="16"/>
  <c r="E64" i="16"/>
  <c r="I133" i="20"/>
  <c r="X125" i="20"/>
  <c r="X123" i="20"/>
  <c r="X124" i="20"/>
  <c r="F134" i="20"/>
  <c r="U61" i="20" s="1"/>
  <c r="U128" i="20"/>
  <c r="U126" i="20"/>
  <c r="U127" i="20"/>
  <c r="B65" i="16"/>
  <c r="D64" i="16"/>
  <c r="F62" i="2"/>
  <c r="C63" i="2"/>
  <c r="G62" i="2"/>
  <c r="I61" i="20"/>
  <c r="H61" i="20"/>
  <c r="G61" i="20"/>
  <c r="D64" i="17"/>
  <c r="G63" i="17"/>
  <c r="F63" i="17"/>
  <c r="E63" i="17"/>
  <c r="H133" i="20"/>
  <c r="W125" i="20"/>
  <c r="W123" i="20"/>
  <c r="W124" i="20"/>
  <c r="D64" i="2"/>
  <c r="B65" i="2"/>
  <c r="G133" i="20"/>
  <c r="V125" i="20"/>
  <c r="V123" i="20"/>
  <c r="V124" i="20"/>
  <c r="E62" i="20"/>
  <c r="D63" i="20"/>
  <c r="F62" i="20"/>
  <c r="F135" i="20" s="1"/>
  <c r="O43" i="17" l="1"/>
  <c r="Y106" i="17"/>
  <c r="Y108" i="17"/>
  <c r="Y107" i="17"/>
  <c r="P43" i="17"/>
  <c r="Z107" i="17"/>
  <c r="Z108" i="17"/>
  <c r="Z106" i="17"/>
  <c r="Q43" i="17"/>
  <c r="AA107" i="17"/>
  <c r="AA108" i="17"/>
  <c r="AA106" i="17"/>
  <c r="N44" i="17"/>
  <c r="X110" i="17"/>
  <c r="X109" i="17"/>
  <c r="X111" i="17"/>
  <c r="D65" i="17"/>
  <c r="U129" i="20"/>
  <c r="B66" i="2"/>
  <c r="D65" i="2"/>
  <c r="H134" i="20"/>
  <c r="W61" i="20" s="1"/>
  <c r="W128" i="20"/>
  <c r="W126" i="20"/>
  <c r="W127" i="20"/>
  <c r="I134" i="20"/>
  <c r="X61" i="20" s="1"/>
  <c r="X128" i="20"/>
  <c r="X126" i="20"/>
  <c r="X127" i="20"/>
  <c r="F63" i="2"/>
  <c r="C64" i="2"/>
  <c r="G63" i="2"/>
  <c r="E64" i="17"/>
  <c r="F64" i="17"/>
  <c r="G64" i="17"/>
  <c r="G134" i="20"/>
  <c r="V61" i="20" s="1"/>
  <c r="V128" i="20"/>
  <c r="V126" i="20"/>
  <c r="V127" i="20"/>
  <c r="E63" i="20"/>
  <c r="D64" i="20"/>
  <c r="F63" i="20"/>
  <c r="F136" i="20" s="1"/>
  <c r="H62" i="20"/>
  <c r="H135" i="20" s="1"/>
  <c r="I62" i="20"/>
  <c r="I135" i="20" s="1"/>
  <c r="G62" i="20"/>
  <c r="G135" i="20" s="1"/>
  <c r="B66" i="16"/>
  <c r="D65" i="16"/>
  <c r="C66" i="16"/>
  <c r="F65" i="16"/>
  <c r="E65" i="16"/>
  <c r="G65" i="16"/>
  <c r="P44" i="17" l="1"/>
  <c r="Z111" i="17"/>
  <c r="Z109" i="17"/>
  <c r="Z110" i="17"/>
  <c r="Q44" i="17"/>
  <c r="AA111" i="17"/>
  <c r="AA109" i="17"/>
  <c r="AA110" i="17"/>
  <c r="O44" i="17"/>
  <c r="Y111" i="17"/>
  <c r="Y110" i="17"/>
  <c r="Y109" i="17"/>
  <c r="N45" i="17"/>
  <c r="X113" i="17"/>
  <c r="X114" i="17"/>
  <c r="X112" i="17"/>
  <c r="X129" i="20"/>
  <c r="G65" i="17"/>
  <c r="E65" i="17"/>
  <c r="F65" i="17"/>
  <c r="W129" i="20"/>
  <c r="D66" i="2"/>
  <c r="B67" i="2"/>
  <c r="V129" i="20"/>
  <c r="C67" i="16"/>
  <c r="E66" i="16"/>
  <c r="F66" i="16"/>
  <c r="G66" i="16"/>
  <c r="B67" i="16"/>
  <c r="D66" i="16"/>
  <c r="F64" i="2"/>
  <c r="C65" i="2"/>
  <c r="G64" i="2"/>
  <c r="E64" i="20"/>
  <c r="D65" i="20"/>
  <c r="F64" i="20"/>
  <c r="F137" i="20" s="1"/>
  <c r="H63" i="20"/>
  <c r="H136" i="20" s="1"/>
  <c r="G63" i="20"/>
  <c r="G136" i="20" s="1"/>
  <c r="I63" i="20"/>
  <c r="I136" i="20" s="1"/>
  <c r="D66" i="17"/>
  <c r="P45" i="17" l="1"/>
  <c r="Z112" i="17"/>
  <c r="Z114" i="17"/>
  <c r="Z113" i="17"/>
  <c r="Q45" i="17"/>
  <c r="AA112" i="17"/>
  <c r="AA113" i="17"/>
  <c r="AA114" i="17"/>
  <c r="O45" i="17"/>
  <c r="Y114" i="17"/>
  <c r="Y112" i="17"/>
  <c r="Y113" i="17"/>
  <c r="N46" i="17"/>
  <c r="X115" i="17"/>
  <c r="X116" i="17"/>
  <c r="X117" i="17"/>
  <c r="E65" i="20"/>
  <c r="D66" i="20"/>
  <c r="F65" i="20"/>
  <c r="F138" i="20" s="1"/>
  <c r="I64" i="20"/>
  <c r="I137" i="20" s="1"/>
  <c r="H64" i="20"/>
  <c r="H137" i="20" s="1"/>
  <c r="G64" i="20"/>
  <c r="G137" i="20" s="1"/>
  <c r="B68" i="2"/>
  <c r="D67" i="2"/>
  <c r="F65" i="2"/>
  <c r="C66" i="2"/>
  <c r="G65" i="2"/>
  <c r="D67" i="17"/>
  <c r="B68" i="16"/>
  <c r="D67" i="16"/>
  <c r="G66" i="17"/>
  <c r="F66" i="17"/>
  <c r="E66" i="17"/>
  <c r="C68" i="16"/>
  <c r="F67" i="16"/>
  <c r="E67" i="16"/>
  <c r="G67" i="16"/>
  <c r="N47" i="17" l="1"/>
  <c r="X118" i="17"/>
  <c r="X119" i="17"/>
  <c r="X120" i="17"/>
  <c r="O46" i="17"/>
  <c r="Y116" i="17"/>
  <c r="Y117" i="17"/>
  <c r="Y115" i="17"/>
  <c r="P46" i="17"/>
  <c r="Z115" i="17"/>
  <c r="Z116" i="17"/>
  <c r="Z117" i="17"/>
  <c r="Q46" i="17"/>
  <c r="AA116" i="17"/>
  <c r="AA117" i="17"/>
  <c r="AA115" i="17"/>
  <c r="F66" i="2"/>
  <c r="C67" i="2"/>
  <c r="G66" i="2"/>
  <c r="C69" i="16"/>
  <c r="G68" i="16"/>
  <c r="F68" i="16"/>
  <c r="E68" i="16"/>
  <c r="G67" i="17"/>
  <c r="F67" i="17"/>
  <c r="E67" i="17"/>
  <c r="D68" i="2"/>
  <c r="B69" i="2"/>
  <c r="B69" i="16"/>
  <c r="D68" i="16"/>
  <c r="E66" i="20"/>
  <c r="D67" i="20"/>
  <c r="F66" i="20"/>
  <c r="F139" i="20" s="1"/>
  <c r="D68" i="17"/>
  <c r="I65" i="20"/>
  <c r="I138" i="20" s="1"/>
  <c r="H65" i="20"/>
  <c r="H138" i="20" s="1"/>
  <c r="G65" i="20"/>
  <c r="G138" i="20" s="1"/>
  <c r="Q47" i="17" l="1"/>
  <c r="AA120" i="17"/>
  <c r="AA119" i="17"/>
  <c r="AA118" i="17"/>
  <c r="O47" i="17"/>
  <c r="Y118" i="17"/>
  <c r="Y119" i="17"/>
  <c r="Y120" i="17"/>
  <c r="P47" i="17"/>
  <c r="Z120" i="17"/>
  <c r="Z118" i="17"/>
  <c r="Z119" i="17"/>
  <c r="N48" i="17"/>
  <c r="X122" i="17"/>
  <c r="X123" i="17"/>
  <c r="X121" i="17"/>
  <c r="G68" i="17"/>
  <c r="E68" i="17"/>
  <c r="F68" i="17"/>
  <c r="I66" i="20"/>
  <c r="I139" i="20" s="1"/>
  <c r="G66" i="20"/>
  <c r="G139" i="20" s="1"/>
  <c r="H66" i="20"/>
  <c r="H139" i="20" s="1"/>
  <c r="E67" i="20"/>
  <c r="D68" i="20"/>
  <c r="F67" i="20"/>
  <c r="F140" i="20" s="1"/>
  <c r="B70" i="16"/>
  <c r="D69" i="16"/>
  <c r="F67" i="2"/>
  <c r="C68" i="2"/>
  <c r="G67" i="2"/>
  <c r="D69" i="17"/>
  <c r="C70" i="16"/>
  <c r="F69" i="16"/>
  <c r="E69" i="16"/>
  <c r="G69" i="16"/>
  <c r="B70" i="2"/>
  <c r="D69" i="2"/>
  <c r="O48" i="17" l="1"/>
  <c r="Y121" i="17"/>
  <c r="Y122" i="17"/>
  <c r="Y123" i="17"/>
  <c r="P48" i="17"/>
  <c r="Z121" i="17"/>
  <c r="Z122" i="17"/>
  <c r="Z123" i="17"/>
  <c r="Q48" i="17"/>
  <c r="AA121" i="17"/>
  <c r="AA122" i="17"/>
  <c r="AA123" i="17"/>
  <c r="N49" i="17"/>
  <c r="X124" i="17"/>
  <c r="X125" i="17"/>
  <c r="X126" i="17"/>
  <c r="B71" i="16"/>
  <c r="D71" i="16" s="1"/>
  <c r="D70" i="16"/>
  <c r="D70" i="2"/>
  <c r="B71" i="2"/>
  <c r="D71" i="2" s="1"/>
  <c r="E68" i="20"/>
  <c r="D69" i="20"/>
  <c r="F68" i="20"/>
  <c r="F141" i="20" s="1"/>
  <c r="C71" i="16"/>
  <c r="G70" i="16"/>
  <c r="F70" i="16"/>
  <c r="E70" i="16"/>
  <c r="D70" i="17"/>
  <c r="D71" i="17"/>
  <c r="I67" i="20"/>
  <c r="I140" i="20" s="1"/>
  <c r="H67" i="20"/>
  <c r="H140" i="20" s="1"/>
  <c r="G67" i="20"/>
  <c r="G140" i="20" s="1"/>
  <c r="F68" i="2"/>
  <c r="C69" i="2"/>
  <c r="G68" i="2"/>
  <c r="G69" i="17"/>
  <c r="E69" i="17"/>
  <c r="F69" i="17"/>
  <c r="Q49" i="17" l="1"/>
  <c r="AA124" i="17"/>
  <c r="AA125" i="17"/>
  <c r="AA126" i="17"/>
  <c r="P49" i="17"/>
  <c r="Z124" i="17"/>
  <c r="Z125" i="17"/>
  <c r="Z126" i="17"/>
  <c r="O49" i="17"/>
  <c r="Y125" i="17"/>
  <c r="Y126" i="17"/>
  <c r="Y124" i="17"/>
  <c r="N51" i="17"/>
  <c r="X130" i="17"/>
  <c r="X131" i="17"/>
  <c r="X132" i="17"/>
  <c r="N50" i="17"/>
  <c r="X128" i="17"/>
  <c r="X129" i="17"/>
  <c r="X127" i="17"/>
  <c r="F69" i="2"/>
  <c r="C70" i="2"/>
  <c r="G69" i="2"/>
  <c r="E69" i="20"/>
  <c r="D70" i="20"/>
  <c r="F69" i="20"/>
  <c r="F142" i="20" s="1"/>
  <c r="E70" i="17"/>
  <c r="G70" i="17"/>
  <c r="F70" i="17"/>
  <c r="H68" i="20"/>
  <c r="H141" i="20" s="1"/>
  <c r="G68" i="20"/>
  <c r="G141" i="20" s="1"/>
  <c r="I68" i="20"/>
  <c r="I141" i="20" s="1"/>
  <c r="F71" i="16"/>
  <c r="E71" i="16"/>
  <c r="G71" i="16"/>
  <c r="O50" i="17" l="1"/>
  <c r="Y129" i="17"/>
  <c r="Y127" i="17"/>
  <c r="Y128" i="17"/>
  <c r="Q50" i="17"/>
  <c r="AA128" i="17"/>
  <c r="AA129" i="17"/>
  <c r="AA127" i="17"/>
  <c r="P50" i="17"/>
  <c r="Z128" i="17"/>
  <c r="Z129" i="17"/>
  <c r="Z127" i="17"/>
  <c r="E70" i="20"/>
  <c r="D71" i="20"/>
  <c r="F70" i="20"/>
  <c r="F143" i="20" s="1"/>
  <c r="G71" i="17"/>
  <c r="F71" i="17"/>
  <c r="E71" i="17"/>
  <c r="I69" i="20"/>
  <c r="I142" i="20" s="1"/>
  <c r="H69" i="20"/>
  <c r="H142" i="20" s="1"/>
  <c r="G69" i="20"/>
  <c r="G142" i="20" s="1"/>
  <c r="F70" i="2"/>
  <c r="C71" i="2"/>
  <c r="G70" i="2"/>
  <c r="O51" i="17" l="1"/>
  <c r="Y130" i="17"/>
  <c r="Y131" i="17"/>
  <c r="Y132" i="17"/>
  <c r="Q51" i="17"/>
  <c r="AA132" i="17"/>
  <c r="AA131" i="17"/>
  <c r="AA130" i="17"/>
  <c r="P51" i="17"/>
  <c r="Z132" i="17"/>
  <c r="Z130" i="17"/>
  <c r="Z131" i="17"/>
  <c r="F71" i="2"/>
  <c r="G71" i="2"/>
  <c r="E71" i="20"/>
  <c r="F71" i="20"/>
  <c r="F144" i="20" s="1"/>
  <c r="I70" i="20"/>
  <c r="I143" i="20" s="1"/>
  <c r="H70" i="20"/>
  <c r="H143" i="20" s="1"/>
  <c r="G70" i="20"/>
  <c r="G143" i="20" s="1"/>
  <c r="I71" i="20" l="1"/>
  <c r="I144" i="20" s="1"/>
  <c r="H71" i="20"/>
  <c r="H144" i="20" s="1"/>
  <c r="G71" i="20"/>
  <c r="G144" i="20" s="1"/>
  <c r="AV75" i="7"/>
  <c r="AN75" i="7"/>
  <c r="AV77" i="7"/>
  <c r="AN77" i="7"/>
  <c r="AV78" i="7"/>
  <c r="AN78" i="7"/>
  <c r="AV76" i="7"/>
  <c r="AN76" i="7"/>
  <c r="AN26" i="7"/>
  <c r="AN37" i="7"/>
  <c r="AN44" i="7"/>
  <c r="AN19" i="7"/>
  <c r="AN36" i="7"/>
  <c r="AN31" i="7"/>
  <c r="AN38" i="7"/>
  <c r="AN29" i="7"/>
  <c r="AN35" i="7"/>
  <c r="AN20" i="7"/>
  <c r="AN25" i="7"/>
  <c r="AN32" i="7"/>
  <c r="AN41" i="7"/>
  <c r="AN30" i="7"/>
  <c r="AN42" i="7"/>
  <c r="AN43" i="7"/>
  <c r="AN24" i="7"/>
  <c r="AN17" i="7"/>
  <c r="AN23" i="7"/>
  <c r="AN18" i="7"/>
  <c r="AV31" i="7"/>
  <c r="AV37" i="7"/>
  <c r="AV18" i="7"/>
  <c r="AV35" i="7"/>
  <c r="AV24" i="7"/>
  <c r="AV43" i="7"/>
  <c r="AV42" i="7"/>
  <c r="AV20" i="7"/>
  <c r="AV30" i="7"/>
  <c r="AV44" i="7"/>
  <c r="AV25" i="7"/>
  <c r="AV41" i="7"/>
  <c r="AV38" i="7"/>
  <c r="AV17" i="7"/>
  <c r="AV19" i="7"/>
  <c r="AV32" i="7"/>
  <c r="AV36" i="7"/>
  <c r="AV29" i="7"/>
  <c r="AV23" i="7"/>
  <c r="AV26" i="7"/>
  <c r="AX75" i="7"/>
  <c r="AX18" i="7"/>
  <c r="AX41" i="7"/>
  <c r="AX20" i="7"/>
  <c r="AX42" i="7"/>
  <c r="AX37" i="7"/>
  <c r="AX19" i="7"/>
  <c r="AX24" i="7"/>
  <c r="AX35" i="7"/>
  <c r="AX78" i="7"/>
  <c r="AX77" i="7"/>
  <c r="AX38" i="7"/>
  <c r="AX30" i="7"/>
  <c r="AX43" i="7"/>
  <c r="AX76" i="7"/>
  <c r="AX29" i="7"/>
  <c r="AX36" i="7"/>
  <c r="AX25" i="7"/>
  <c r="AX32" i="7"/>
  <c r="AX17" i="7"/>
  <c r="AX26" i="7"/>
  <c r="AX44" i="7"/>
  <c r="AX23" i="7"/>
  <c r="AX31" i="7"/>
  <c r="AY36" i="7"/>
  <c r="AY17" i="7"/>
  <c r="AY42" i="7"/>
  <c r="AY31" i="7"/>
  <c r="AY18" i="7"/>
  <c r="AY38" i="7"/>
  <c r="AY26" i="7"/>
  <c r="AY75" i="7"/>
  <c r="AY19" i="7"/>
  <c r="AY35" i="7"/>
  <c r="AY25" i="7"/>
  <c r="AY41" i="7"/>
  <c r="AY76" i="7"/>
  <c r="AY29" i="7"/>
  <c r="AY30" i="7"/>
  <c r="AY78" i="7"/>
  <c r="AY43" i="7"/>
  <c r="AY32" i="7"/>
  <c r="AY20" i="7"/>
  <c r="AY37" i="7"/>
  <c r="AY24" i="7"/>
  <c r="AY44" i="7"/>
  <c r="AY23" i="7"/>
  <c r="AY77" i="7"/>
  <c r="AW19" i="7"/>
  <c r="AW42" i="7"/>
  <c r="AW17" i="7"/>
  <c r="AW20" i="7"/>
  <c r="AW38" i="7"/>
  <c r="AW44" i="7"/>
  <c r="AW76" i="7"/>
  <c r="AW43" i="7"/>
  <c r="AW41" i="7"/>
  <c r="AW37" i="7"/>
  <c r="AW32" i="7"/>
  <c r="AW26" i="7"/>
  <c r="AW29" i="7"/>
  <c r="AW18" i="7"/>
  <c r="AW31" i="7"/>
  <c r="AW77" i="7"/>
  <c r="AW24" i="7"/>
  <c r="AW36" i="7"/>
  <c r="AW30" i="7"/>
  <c r="AW75" i="7"/>
  <c r="AW35" i="7"/>
  <c r="AW78" i="7"/>
  <c r="AW23" i="7"/>
  <c r="AW25" i="7"/>
  <c r="AP24" i="7"/>
  <c r="AP29" i="7"/>
  <c r="AP38" i="7"/>
  <c r="AP30" i="7"/>
  <c r="AP25" i="7"/>
  <c r="AP75" i="7"/>
  <c r="AP44" i="7"/>
  <c r="AP37" i="7"/>
  <c r="AP43" i="7"/>
  <c r="AP17" i="7"/>
  <c r="AP32" i="7"/>
  <c r="AP31" i="7"/>
  <c r="AP35" i="7"/>
  <c r="AP76" i="7"/>
  <c r="AP36" i="7"/>
  <c r="AP18" i="7"/>
  <c r="AP41" i="7"/>
  <c r="AP26" i="7"/>
  <c r="AP20" i="7"/>
  <c r="AP77" i="7"/>
  <c r="AP42" i="7"/>
  <c r="AP19" i="7"/>
  <c r="AP23" i="7"/>
  <c r="AP78" i="7"/>
  <c r="AQ31" i="7"/>
  <c r="AQ42" i="7"/>
  <c r="AQ38" i="7"/>
  <c r="AQ20" i="7"/>
  <c r="AQ18" i="7"/>
  <c r="AQ30" i="7"/>
  <c r="AQ78" i="7"/>
  <c r="AQ37" i="7"/>
  <c r="AQ41" i="7"/>
  <c r="AQ43" i="7"/>
  <c r="AQ44" i="7"/>
  <c r="AQ17" i="7"/>
  <c r="AQ32" i="7"/>
  <c r="AQ24" i="7"/>
  <c r="AQ29" i="7"/>
  <c r="AQ19" i="7"/>
  <c r="AQ25" i="7"/>
  <c r="AQ36" i="7"/>
  <c r="AQ26" i="7"/>
  <c r="AQ75" i="7"/>
  <c r="AQ35" i="7"/>
  <c r="AQ77" i="7"/>
  <c r="AQ23" i="7"/>
  <c r="AQ76" i="7"/>
  <c r="AO30" i="7"/>
  <c r="AO20" i="7"/>
  <c r="AO32" i="7"/>
  <c r="AO41" i="7"/>
  <c r="AO18" i="7"/>
  <c r="AO36" i="7"/>
  <c r="AO43" i="7"/>
  <c r="AO29" i="7"/>
  <c r="AO25" i="7"/>
  <c r="AO75" i="7"/>
  <c r="AO26" i="7"/>
  <c r="AO24" i="7"/>
  <c r="AO78" i="7"/>
  <c r="AO42" i="7"/>
  <c r="AO19" i="7"/>
  <c r="AO37" i="7"/>
  <c r="AO17" i="7"/>
  <c r="AO44" i="7"/>
  <c r="AO31" i="7"/>
  <c r="AO38" i="7"/>
  <c r="AO35" i="7"/>
  <c r="AO76" i="7"/>
  <c r="AO23" i="7"/>
  <c r="AO7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P3" authorId="0" shapeId="0" xr:uid="{00000000-0006-0000-0D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因为宝石是玩家DIY所以匹配的10的属性系数3的放大系数,放大系数是指单独堆叠一个属性可以达到的单个属性值系数</t>
        </r>
      </text>
    </comment>
  </commentList>
</comments>
</file>

<file path=xl/sharedStrings.xml><?xml version="1.0" encoding="utf-8"?>
<sst xmlns="http://schemas.openxmlformats.org/spreadsheetml/2006/main" count="5421" uniqueCount="3089">
  <si>
    <t>人物属性</t>
  </si>
  <si>
    <t>基础属性</t>
  </si>
  <si>
    <t>血量</t>
  </si>
  <si>
    <t>攻击</t>
  </si>
  <si>
    <t>物理防御</t>
  </si>
  <si>
    <t>魔法防御</t>
  </si>
  <si>
    <t>属性占比</t>
  </si>
  <si>
    <t>血量占比</t>
  </si>
  <si>
    <t>血量最大值</t>
  </si>
  <si>
    <t>攻击最大值</t>
  </si>
  <si>
    <t>防御最大值</t>
  </si>
  <si>
    <t>宠物属性</t>
  </si>
  <si>
    <t>防御</t>
  </si>
  <si>
    <t>基础比例</t>
  </si>
  <si>
    <t>升级属性</t>
  </si>
  <si>
    <t>普通</t>
  </si>
  <si>
    <t>技能</t>
  </si>
  <si>
    <t>装备属性</t>
  </si>
  <si>
    <t>成长属性</t>
  </si>
  <si>
    <t>期待回合数</t>
  </si>
  <si>
    <t>宝石属性</t>
  </si>
  <si>
    <t>验证回合数</t>
  </si>
  <si>
    <t>总属性</t>
  </si>
  <si>
    <t>加点属性</t>
  </si>
  <si>
    <t>宠物之核</t>
  </si>
  <si>
    <t>等级</t>
  </si>
  <si>
    <t>血量系数</t>
  </si>
  <si>
    <t>属性系数</t>
  </si>
  <si>
    <t>物防</t>
  </si>
  <si>
    <t>魔防</t>
  </si>
  <si>
    <t>制造品质</t>
  </si>
  <si>
    <t>最高熟练度500</t>
  </si>
  <si>
    <t>熟练度上线</t>
  </si>
  <si>
    <t>制造1个提升1-3点</t>
  </si>
  <si>
    <t>魔杖</t>
  </si>
  <si>
    <t>单体攻击</t>
  </si>
  <si>
    <t>元素武士</t>
  </si>
  <si>
    <t>魔法书</t>
  </si>
  <si>
    <t>群体攻击</t>
  </si>
  <si>
    <t>增加一个法师分身</t>
  </si>
  <si>
    <t>怒气每秒10点怒气,上限是100点</t>
  </si>
  <si>
    <t>游侠</t>
  </si>
  <si>
    <t>武器</t>
  </si>
  <si>
    <t>弓箭</t>
  </si>
  <si>
    <t>剑</t>
  </si>
  <si>
    <t>战士</t>
  </si>
  <si>
    <t>需要怒气</t>
  </si>
  <si>
    <t>技能名称</t>
  </si>
  <si>
    <t>技能效果</t>
  </si>
  <si>
    <t>专精系统</t>
  </si>
  <si>
    <t>18级</t>
  </si>
  <si>
    <t>天赋1</t>
  </si>
  <si>
    <t>生命恢复</t>
  </si>
  <si>
    <t>新增技能生命回复,可以立即回复自身20%生命,15秒冷却时间</t>
  </si>
  <si>
    <t>转职专精</t>
  </si>
  <si>
    <t>速度专精：移动速度提升10%</t>
  </si>
  <si>
    <t>法师</t>
  </si>
  <si>
    <t>职业技能</t>
  </si>
  <si>
    <t>刀</t>
  </si>
  <si>
    <t>裂地斩</t>
  </si>
  <si>
    <t>对前方区域造成200%伤害。</t>
  </si>
  <si>
    <t>天赋2</t>
  </si>
  <si>
    <t>强击</t>
  </si>
  <si>
    <t>新增强击技能,立即对目标造成200%伤害</t>
  </si>
  <si>
    <t>装备精通：布甲</t>
  </si>
  <si>
    <t>魔法闪击</t>
  </si>
  <si>
    <t>对指定区域造成200%伤害</t>
  </si>
  <si>
    <t>魔导师</t>
  </si>
  <si>
    <t>不限</t>
  </si>
  <si>
    <t>瞬移闪击</t>
  </si>
  <si>
    <t>瞬间前往目标区域并在原地造成150%伤害,眩晕1秒</t>
  </si>
  <si>
    <t>伤害增幅</t>
  </si>
  <si>
    <t>魔法闪击和龙卷雨击伤害提升50%</t>
  </si>
  <si>
    <t>Eff_Skill_BaoZha_23(Clone)</t>
  </si>
  <si>
    <t>Bullet_BlazingRed_Big_Projectile</t>
  </si>
  <si>
    <t>震荡射击</t>
  </si>
  <si>
    <t>对前方区域射出一直强有力的震荡箭,造成200%伤害,并使其减速50%</t>
  </si>
  <si>
    <t>射击</t>
  </si>
  <si>
    <t>兽王</t>
  </si>
  <si>
    <t>裂地击</t>
  </si>
  <si>
    <t>对前方区域造成150%伤害,并让目标防御降低50%,持续6秒</t>
  </si>
  <si>
    <t>天赋3</t>
  </si>
  <si>
    <t>伤害上升</t>
  </si>
  <si>
    <t>裂地击和裂波击伤害提升50%</t>
  </si>
  <si>
    <t>移动光环：小队内移动速度提升10%</t>
  </si>
  <si>
    <t>E3D-Spell-Wind-Blue2(Clone)</t>
  </si>
  <si>
    <t>龙卷雨击</t>
  </si>
  <si>
    <t>对指定区域造成150%伤害,并降低目标移动速度50%,持续3秒</t>
  </si>
  <si>
    <t>E3D-Skill-Blast-Orange1</t>
  </si>
  <si>
    <t>E3D-Spell-Wind-Orange2</t>
  </si>
  <si>
    <t>冲击波</t>
  </si>
  <si>
    <t>向前方发射一个可移动的光球,触碰的单位造成200%伤害</t>
  </si>
  <si>
    <t>轰击</t>
  </si>
  <si>
    <t>新增技能:轰击 立即对目标及其范围造成200%伤害</t>
  </si>
  <si>
    <t>Daofeng_Atk_Q_DeBuff(Clone)</t>
  </si>
  <si>
    <t>Eff_Skill_FireWall_13</t>
  </si>
  <si>
    <t>奥义投掷</t>
  </si>
  <si>
    <t>像前方发射一个魔球,魔球在向前方飞行10秒会原路径返回,对触碰的单位造成150%伤害。</t>
  </si>
  <si>
    <t>审判者</t>
  </si>
  <si>
    <t>猎影</t>
  </si>
  <si>
    <t>驯兽师</t>
  </si>
  <si>
    <t>22级</t>
  </si>
  <si>
    <t>技能刷新</t>
  </si>
  <si>
    <t>每次攻击暴击后5%的概率自动触发裂地斩技能,且不影响主技能的冷却时间</t>
  </si>
  <si>
    <t>E3D-Skill-Direct-Front-Blue1(Clone)</t>
  </si>
  <si>
    <t>E3D-Ballistic-Continuous-Violet1(Clone)</t>
  </si>
  <si>
    <t>熔岩大地</t>
  </si>
  <si>
    <t>对目标区域释放火焰灼烧,每秒造成100%伤害,持续6秒</t>
  </si>
  <si>
    <t>减速之术</t>
  </si>
  <si>
    <t>普通攻击附带20%减速效果,持续3秒</t>
  </si>
  <si>
    <t>隐身</t>
  </si>
  <si>
    <t>回旋击</t>
  </si>
  <si>
    <t>对目标前方目标区域造成150%伤害，并造成1秒眩晕效果</t>
  </si>
  <si>
    <t>进退自由</t>
  </si>
  <si>
    <t>跳跃斩和冲锋斩会对目标区域内造成3秒眩晕的效果</t>
  </si>
  <si>
    <t>E3D-Skill-Blast-Violet1</t>
  </si>
  <si>
    <t>禁锢之术</t>
  </si>
  <si>
    <t>E3D-Skill-Blast-Orange</t>
  </si>
  <si>
    <t>E3D-Spell-Vertical-Orange2(Clone)</t>
  </si>
  <si>
    <t>魔导之身</t>
  </si>
  <si>
    <t>召唤一个自己的分身协助自身攻击</t>
  </si>
  <si>
    <t>龙卷增强</t>
  </si>
  <si>
    <t>攻击有5%概率对目标释放龙卷雨击</t>
  </si>
  <si>
    <t>Weien_Atk_W_Buff(Clone)</t>
  </si>
  <si>
    <t>召唤野兽</t>
  </si>
  <si>
    <t>可以召唤一只野兽协助自己攻击(还是说直接捕捉野外的怪物)</t>
  </si>
  <si>
    <t>旋风斩</t>
  </si>
  <si>
    <t>持续性的旋转每秒造成60%伤害，持续5秒，旋转时可自由移动</t>
  </si>
  <si>
    <t>圣光之速</t>
  </si>
  <si>
    <t>圣光之速,提升自身移动速度200%,持续6秒</t>
  </si>
  <si>
    <t>Eff_Skill_ChiXu_7</t>
  </si>
  <si>
    <t>烈焰灼烧</t>
  </si>
  <si>
    <t>对目标区域释放火焰灼烧,每秒造成50%伤害,持续6秒</t>
  </si>
  <si>
    <t>被动</t>
  </si>
  <si>
    <t>职业专属被动</t>
  </si>
  <si>
    <t>攻击有3%概率释放冲击波技能</t>
  </si>
  <si>
    <t>冰冻击</t>
  </si>
  <si>
    <t>新增技能:冰冻击 立即对前方矩形范围的目标造成200%伤害,并使其眩晕1秒</t>
  </si>
  <si>
    <t>奥义之击</t>
  </si>
  <si>
    <t>对于前方单体目标造成200%伤害，如目标生命低于30%的则造成伤害提升50%</t>
  </si>
  <si>
    <t>跟召唤兽合体</t>
  </si>
  <si>
    <t>每次攻击概率恢复己方一定生命值</t>
  </si>
  <si>
    <t>27级</t>
  </si>
  <si>
    <t>暴击上升</t>
  </si>
  <si>
    <t>暴击概率永久提升5%</t>
  </si>
  <si>
    <t>光之剑魂</t>
  </si>
  <si>
    <t>职业光环</t>
  </si>
  <si>
    <t>附近己方单位防御效果增加10%</t>
  </si>
  <si>
    <t>伤害增加</t>
  </si>
  <si>
    <t>守护之击和冰锥之击使目标受到伤害增加50%,持续6秒</t>
  </si>
  <si>
    <t>1技能寒冰箭:向前方发射一枚巨大的寒冰箭矢，命中敌人造成50%减速并冰冻敌方一秒。</t>
  </si>
  <si>
    <t>Eff_Skill_ChiXu_19</t>
  </si>
  <si>
    <t>凶猛</t>
  </si>
  <si>
    <t>立即提升己方和召唤兽的100%攻击速度,持续6秒</t>
  </si>
  <si>
    <t>跳跃斩</t>
  </si>
  <si>
    <t>跳跃至指定区域，对目标区域造成150%伤害</t>
  </si>
  <si>
    <t>职业专精</t>
  </si>
  <si>
    <t>职业专属被动技能效果提升至5%</t>
  </si>
  <si>
    <t>刀类专精：使用剑类武器伤害提升5%</t>
  </si>
  <si>
    <t>E3D-Buff-Continuous-Orange2(Clone)</t>
  </si>
  <si>
    <t>守护之击</t>
  </si>
  <si>
    <t>对己方周围区域造成150%伤害,并将其向后击退</t>
  </si>
  <si>
    <t>控制</t>
  </si>
  <si>
    <t>英勇守护</t>
  </si>
  <si>
    <t>受到伤害有5%概率触发守护之击</t>
  </si>
  <si>
    <t>震荡射击的伤害提升50%</t>
  </si>
  <si>
    <t>冲锋斩</t>
  </si>
  <si>
    <t>冲锋至前方区域，对目标区域造成150%伤害</t>
  </si>
  <si>
    <t>技能专精</t>
  </si>
  <si>
    <t>元素护盾: 护盾效果提升50%       光能斩:伤害提升50%        能量吸附:伤害提升50%</t>
  </si>
  <si>
    <t>装备精通：轻甲</t>
  </si>
  <si>
    <t>E3D-Damage-Sword-Orange1</t>
  </si>
  <si>
    <t>冰锥之击</t>
  </si>
  <si>
    <t>蓄力1秒,对前方区域造成300%伤害</t>
  </si>
  <si>
    <t>E3D-Skill-Front-Orange2(Clone)</t>
  </si>
  <si>
    <t>光灵使者</t>
  </si>
  <si>
    <t>精灵之击</t>
  </si>
  <si>
    <t>对当前目标造成300%伤害,并使其眩晕2秒</t>
  </si>
  <si>
    <t>魔法护盾: 护盾效果提升50%       精灵之击:伤害提升50%        治愈之术:伤害提升50%</t>
  </si>
  <si>
    <t>Eff_Skill_GongJian_Skill_1/Eff_Skill_GongJian_Skill_1_Hit</t>
  </si>
  <si>
    <t>散射</t>
  </si>
  <si>
    <t>射出扇形的散箭攻击目标造成200%伤害,并使攻击目标造成1秒眩晕</t>
  </si>
  <si>
    <t>布甲</t>
  </si>
  <si>
    <t>生存</t>
  </si>
  <si>
    <t>爆炸种子</t>
  </si>
  <si>
    <t>每次攻击会在目标种下一颗爆炸种子,3秒后发生爆炸对范围内的敌人造成250%伤害</t>
  </si>
  <si>
    <t>32级</t>
  </si>
  <si>
    <t>防御之盾</t>
  </si>
  <si>
    <t>每20秒自动自身释放一个护盾,护盾可以抵抗50%伤害,持续20秒</t>
  </si>
  <si>
    <t>暴击光环：小队内暴击概率提升5%</t>
  </si>
  <si>
    <t>E3D-Relive-Light-Green</t>
  </si>
  <si>
    <t>暴焰燃烧</t>
  </si>
  <si>
    <t>持续引导释放,对目标区域持续造成100%伤害,持续6秒，对造成伤害的目标移动速度降低50%,持续3秒</t>
  </si>
  <si>
    <t>意念之勇</t>
  </si>
  <si>
    <t>攻击有5%概率使自身获得10%伤害加成,持续10秒</t>
  </si>
  <si>
    <t>E3D-Ballistic-Blast-Green1(Clone)(自身跳一下)</t>
  </si>
  <si>
    <t>46_RFX_Straight_IceWall1</t>
  </si>
  <si>
    <t>奥义守护</t>
  </si>
  <si>
    <t>向后跳跃并向前方，对前方范围造成200%伤害,并使移动速度和命中降低30%,持续6秒</t>
  </si>
  <si>
    <t>Eff_Skill_BaoZha_23+Eff_Skill_BaoZha_21</t>
  </si>
  <si>
    <t>冰冻陷阱</t>
  </si>
  <si>
    <t>释放一个冰冻陷阱,3秒后陷阱进入准备状态,对触碰的单位造成伤害和减速效果</t>
  </si>
  <si>
    <t>Eff_Skill_BaoZha_44</t>
  </si>
  <si>
    <t>野兽强壮</t>
  </si>
  <si>
    <t>召唤的野兽攻击和血量提升20%</t>
  </si>
  <si>
    <t>猛击</t>
  </si>
  <si>
    <t>新增技能：猛击  立即对目标造成300%伤害,如果目标血量低于30%,伤害提升50%</t>
  </si>
  <si>
    <t>E3D-Buff-Absorb-Red</t>
  </si>
  <si>
    <t>点燃</t>
  </si>
  <si>
    <t>给目标释放点燃,点燃目标每2秒会在自己脚下生成1个灼烧，灼烧会对附近的己方单位造成100%伤害</t>
  </si>
  <si>
    <t>攻击提升</t>
  </si>
  <si>
    <t>攻击永久提升5%</t>
  </si>
  <si>
    <t>上面这个技能在天赋里附加一个,释放技能自身可以向后跳跃</t>
  </si>
  <si>
    <t>E3D-Ground-Skill-Boom(Clone)  E3D-Skill-Blast-Orange1(Clone)</t>
  </si>
  <si>
    <t>Mon_Zhadankongzei_Atk_Q(Clone)</t>
  </si>
  <si>
    <t>爆炸陷阱</t>
  </si>
  <si>
    <t>释放一个爆炸陷阱,3秒后陷阱进入准备状态，目标将造成伤害和眩晕效果</t>
  </si>
  <si>
    <t>Eff_Skill_BaoZha_45</t>
  </si>
  <si>
    <t>散射眩晕</t>
  </si>
  <si>
    <t>散射的技能伤害提升50%</t>
  </si>
  <si>
    <t>逐风者</t>
  </si>
  <si>
    <t>元素护盾</t>
  </si>
  <si>
    <r>
      <rPr>
        <sz val="10"/>
        <color theme="1"/>
        <rFont val="微软雅黑"/>
        <family val="2"/>
        <charset val="134"/>
      </rPr>
      <t>对自身释放一个护盾,护盾可以抵抗自身最大生命100%的伤害,持续</t>
    </r>
    <r>
      <rPr>
        <sz val="10"/>
        <color rgb="FFFF0000"/>
        <rFont val="微软雅黑"/>
        <family val="2"/>
        <charset val="134"/>
      </rPr>
      <t>30秒</t>
    </r>
  </si>
  <si>
    <t>技能升阶</t>
  </si>
  <si>
    <t>元素光球:对触碰到的玩家移动速度降低50%   光剑攻击:持续时间延长至10秒  狂魔状态:伤害提升至60%</t>
  </si>
  <si>
    <t>伤害</t>
  </si>
  <si>
    <t>光之魔导</t>
  </si>
  <si>
    <t>E3D-Ground-Blast-Violet1(Clone)</t>
  </si>
  <si>
    <t>精灵轰击</t>
  </si>
  <si>
    <t>吟唱2秒, 对目标区域造成300%伤害,并眩晕1秒</t>
  </si>
  <si>
    <t>瞬移闪击: 眩晕效果延长至2秒       爆焰燃烧:效果延长时间增加4秒        治愈之境:恢复效果由1%提升至2%</t>
  </si>
  <si>
    <t>近战/远程姿态切换</t>
  </si>
  <si>
    <t>Mon_Bingjuren_Atk_W(Clone)</t>
  </si>
  <si>
    <t>Common_XJ_bingci(Clone)</t>
  </si>
  <si>
    <t>冰封之地</t>
  </si>
  <si>
    <t>在一个大范围内,敌方目标持续降低移动速度和受到伤害</t>
  </si>
  <si>
    <t>Eff_Skill_ChiXu_14</t>
  </si>
  <si>
    <t>重击之力</t>
  </si>
  <si>
    <t>重击概率永久提升5%</t>
  </si>
  <si>
    <t>元素光球</t>
  </si>
  <si>
    <r>
      <rPr>
        <sz val="10"/>
        <color theme="1"/>
        <rFont val="微软雅黑"/>
        <family val="2"/>
        <charset val="134"/>
      </rPr>
      <t>向前方发射一颗移动缓慢的球体,球体每秒对附近玩家造成</t>
    </r>
    <r>
      <rPr>
        <sz val="10"/>
        <color rgb="FFFF0000"/>
        <rFont val="微软雅黑"/>
        <family val="2"/>
        <charset val="134"/>
      </rPr>
      <t>120%</t>
    </r>
    <r>
      <rPr>
        <sz val="10"/>
        <color theme="1"/>
        <rFont val="微软雅黑"/>
        <family val="2"/>
        <charset val="134"/>
      </rPr>
      <t>伤害,持续6秒,</t>
    </r>
    <r>
      <rPr>
        <sz val="10"/>
        <color rgb="FFFF0000"/>
        <rFont val="微软雅黑"/>
        <family val="2"/>
        <charset val="134"/>
      </rPr>
      <t>并降低目标移动速度50%</t>
    </r>
  </si>
  <si>
    <t>37级</t>
  </si>
  <si>
    <t>攻击恢复</t>
  </si>
  <si>
    <t>普通攻击有3%概率回复自身最大生命的1%</t>
  </si>
  <si>
    <t>精灵魔师</t>
  </si>
  <si>
    <t>暴击攻击有10%概率向目标触发精灵之击的技能</t>
  </si>
  <si>
    <t>坚韧</t>
  </si>
  <si>
    <t>当生命值降低至30%后,受到伤害减免30%</t>
  </si>
  <si>
    <t>消耗能量切换姿态？</t>
  </si>
  <si>
    <t>火舌守卫</t>
  </si>
  <si>
    <t>召唤一个毒蛇陷阱,每个毒蛇有自己的攻击,但是不能移动，只能在附近区域进行攻击</t>
  </si>
  <si>
    <t>冰寒之箭</t>
  </si>
  <si>
    <t>每次攻击有概率降低目标30%移动速度,持续5秒</t>
  </si>
  <si>
    <t>元素爆冰</t>
  </si>
  <si>
    <t>对前方区域造成250%伤害,并造成3秒眩晕</t>
  </si>
  <si>
    <t>生命护盾</t>
  </si>
  <si>
    <t>当生命低于30%时,自动获得一个护盾,可以抵抗相当于自身100%生命的伤害,30秒冷却时间</t>
  </si>
  <si>
    <t>魔神战士</t>
  </si>
  <si>
    <t>治疗</t>
  </si>
  <si>
    <t>心灵之师</t>
  </si>
  <si>
    <t>附近敌方单位移动速度降低10%</t>
  </si>
  <si>
    <t>新增技能:守护之击 立即对周围敌方目标造成200%伤害,并眩晕1秒</t>
  </si>
  <si>
    <t>冰冻陷阱: 冷却时间降低2秒       灼热之箭:伤害提升50%        野兽爆发:爆发状态延长3秒</t>
  </si>
  <si>
    <t>元素爆裂</t>
  </si>
  <si>
    <t>对目标区域造成300%伤害，并使目标区域移动速度降低50%,持续3秒</t>
  </si>
  <si>
    <t>元素烈波: 触碰到的目标移动速度降低50%,持续6秒  光之能量:伤害范围增加,伤害提升至75%  狂魔之球:伤害提升至125%</t>
  </si>
  <si>
    <t>刀类专精：使用刀类武器伤害提升5%</t>
  </si>
  <si>
    <t>冲击波: 对受到伤害的目标单位时期原地禁锢3秒,无法移动       灼烧轰击:效果延长时间增加4秒        心灵之击:伤害提升50%</t>
  </si>
  <si>
    <t>E3D-Skill-Continuous-Orange-Loop(Clone)</t>
  </si>
  <si>
    <t>觉醒</t>
  </si>
  <si>
    <t>在一个范围持续性伤害</t>
  </si>
  <si>
    <t>Eff_Skill_ChiXu_15</t>
  </si>
  <si>
    <t>暴击之力</t>
  </si>
  <si>
    <t>普通攻击暴击时会让自身伤害提升20%,持续6秒</t>
  </si>
  <si>
    <t>普通攻击有3%概率向目标发送元素裂波的技能</t>
  </si>
  <si>
    <t>42级</t>
  </si>
  <si>
    <t>最后希望</t>
  </si>
  <si>
    <t>在生命值低于5%时,立即回复自身20%最大生命,120秒冷却时间</t>
  </si>
  <si>
    <t>装备精通：重甲</t>
  </si>
  <si>
    <t>神圣牧师</t>
  </si>
  <si>
    <t>魔法护盾</t>
  </si>
  <si>
    <t>对自身释放一个护盾,护盾可以抵抗自身最大生命100%的伤害,持续10秒</t>
  </si>
  <si>
    <t>速度增幅</t>
  </si>
  <si>
    <t>移动速度永久提升10%</t>
  </si>
  <si>
    <t>近战状态</t>
  </si>
  <si>
    <t>怒气</t>
  </si>
  <si>
    <t>每次释放技能有一定概率恢复一定怒气值</t>
  </si>
  <si>
    <t>附近友方玩家命中概率提升+5%</t>
  </si>
  <si>
    <t>爆裂轰炸</t>
  </si>
  <si>
    <t>新增技能：爆裂轰炸  对自身范围内每秒持续造成100%伤害,持续6秒</t>
  </si>
  <si>
    <t>伤害光环：小队内造成伤害提升5%</t>
  </si>
  <si>
    <t>TX_DLD_chushengdian(Clone)</t>
  </si>
  <si>
    <t>Eff_Skill_QunLiao_1</t>
  </si>
  <si>
    <t>治愈之境</t>
  </si>
  <si>
    <t>对目标区域释放治愈权杖,附近单位每秒恢复最大生命值1%的生命值,怪物每秒损失30%的生命值,持续10秒</t>
  </si>
  <si>
    <t>暴击恢复</t>
  </si>
  <si>
    <t>每次攻击暴击后,立即回复己方最大生命的3%</t>
  </si>
  <si>
    <t>能量饥渴</t>
  </si>
  <si>
    <t>血量越少,攻击伤害越高</t>
  </si>
  <si>
    <t>爆炸陷阱:造成暴击后会对目标附加1秒眩晕   眩晕射击:技能伤害提升50%  狩猎标记:伤害提升10%</t>
  </si>
  <si>
    <t>职业升阶</t>
  </si>
  <si>
    <t>元素爆裂：技能的伤害范围增加增加,伤害提升至400%伤害 光之斩:技能伤害增加至400%,眩晕增加至3秒 狂魔之地:效果提升至50%</t>
  </si>
  <si>
    <t>召唤</t>
  </si>
  <si>
    <t>召唤魔师</t>
  </si>
  <si>
    <t>心灵之击</t>
  </si>
  <si>
    <t>对目标范围造成200%伤害,并使其收到伤害增加50%,持续6秒</t>
  </si>
  <si>
    <t>熔岩大地: 伤害提升25%       精灵轰击:眩晕效果延长至3秒        心灵治愈:治疗效果提升30%</t>
  </si>
  <si>
    <t>巨魔光环</t>
  </si>
  <si>
    <t>周围掉血</t>
  </si>
  <si>
    <t>物理穿透提升10%</t>
  </si>
  <si>
    <t>射击专精</t>
  </si>
  <si>
    <t>每次使用弓箭攻击目标有概率造成200%伤害</t>
  </si>
  <si>
    <t>驭剑士</t>
  </si>
  <si>
    <t>光能斩</t>
  </si>
  <si>
    <t>超大范围攻击,对附近区域造成200%伤害</t>
  </si>
  <si>
    <t>52级</t>
  </si>
  <si>
    <t>闪避之击</t>
  </si>
  <si>
    <t>每次闪避目标攻击有概率对目标造成一次攻击伤害</t>
  </si>
  <si>
    <t>E3D-Spell-Cure-Green2</t>
  </si>
  <si>
    <t>心灵治愈</t>
  </si>
  <si>
    <r>
      <rPr>
        <sz val="10"/>
        <color theme="1"/>
        <rFont val="微软雅黑"/>
        <family val="2"/>
        <charset val="134"/>
      </rPr>
      <t>对目标区域恢复相当于自身攻击100%的生命值</t>
    </r>
    <r>
      <rPr>
        <sz val="10"/>
        <color rgb="FFFF0000"/>
        <rFont val="微软雅黑"/>
        <family val="2"/>
        <charset val="134"/>
      </rPr>
      <t>,并对范围内己方玩家攻击提升25%,持续10秒</t>
    </r>
  </si>
  <si>
    <t>移动光球</t>
  </si>
  <si>
    <t>新增技能: 移动光球,对前方区域释放一个移动的光球,对触碰到的单位造成200%伤害</t>
  </si>
  <si>
    <t>每次攻击有概率触发震荡射击</t>
  </si>
  <si>
    <t>光剑攻击</t>
  </si>
  <si>
    <t>立即给自己的武器附带光电效果,攻击目标将降低目标30%防御和伤害效果,持续60秒</t>
  </si>
  <si>
    <t>元素引力波技能造成伤害提升50%;光之击冷却时间降低5秒;能量之地技能伤害提升20%</t>
  </si>
  <si>
    <t>受到攻击有3%概率给自己释放一个护盾</t>
  </si>
  <si>
    <t>大魔导师之影冷却时间降低20秒,精灵轰击取消吟唱改为立即施法,心灵治愈冷却时间缩减5秒</t>
  </si>
  <si>
    <t xml:space="preserve"> </t>
  </si>
  <si>
    <t>冰封之地: 伤害提升20%  蓄力一击:伤害提升50%  狂魔之球:伤害提升至50%</t>
  </si>
  <si>
    <t>光之能量</t>
  </si>
  <si>
    <t>对前方区域释放一个区域性伤害,每秒造成50%伤害,持续6秒</t>
  </si>
  <si>
    <t>时间掌握</t>
  </si>
  <si>
    <t>技能冷却时间降低10%</t>
  </si>
  <si>
    <t>无技能效果</t>
  </si>
  <si>
    <t>单体</t>
  </si>
  <si>
    <t>附近敌方单位受到伤害额外提升10%</t>
  </si>
  <si>
    <t>法术连击</t>
  </si>
  <si>
    <t>释放技能有15%概率连续释放2次</t>
  </si>
  <si>
    <t>远程被动</t>
  </si>
  <si>
    <t>射击穿透</t>
  </si>
  <si>
    <t>光之斩</t>
  </si>
  <si>
    <t>蓄力1秒,对目标快速突击,所经过的直线区域造成300%伤害,并眩晕1秒</t>
  </si>
  <si>
    <t>普通技能效果</t>
  </si>
  <si>
    <t>被动反击</t>
  </si>
  <si>
    <t>受到攻击有20%概率对目标造成2秒眩晕,此效果10秒触发一次</t>
  </si>
  <si>
    <t>精准射击</t>
  </si>
  <si>
    <t>攻击目标命中增加10%</t>
  </si>
  <si>
    <t>E3D-Skill-Blade-Orange1(Clone)</t>
  </si>
  <si>
    <t>轻甲</t>
  </si>
  <si>
    <t>怒气恢复</t>
  </si>
  <si>
    <t>怒气上限提升至120,怒气恢复速度提升10%</t>
  </si>
  <si>
    <t>普通攻击暴击后有10%概率给自己的武器附加光剑属性</t>
  </si>
  <si>
    <t>刃甲</t>
  </si>
  <si>
    <t>爆裂燃烧冷却CD降低3秒</t>
  </si>
  <si>
    <t>Jiansheng_Atk_Q(Clone)</t>
  </si>
  <si>
    <t>Binggong_Atk_W(Clone)（改）</t>
  </si>
  <si>
    <t>灼热之箭</t>
  </si>
  <si>
    <t>对目标区域造成伤害并附加灼热BUFF，每秒损失一定生命值,可叠加</t>
  </si>
  <si>
    <t>Eff_Skill_BaoZha_46</t>
  </si>
  <si>
    <r>
      <rPr>
        <sz val="10"/>
        <color theme="1"/>
        <rFont val="微软雅黑"/>
        <family val="2"/>
        <charset val="134"/>
      </rPr>
      <t xml:space="preserve">火舌守卫：冷却时间降低5秒 剑气:技能会使目标的移动速度降低30% </t>
    </r>
    <r>
      <rPr>
        <sz val="10"/>
        <color rgb="FFFF0000"/>
        <rFont val="微软雅黑"/>
        <family val="2"/>
        <charset val="134"/>
      </rPr>
      <t>野兽呼唤:怪物伤害提升20%</t>
    </r>
  </si>
  <si>
    <t>附近友方玩家暴击概率提升+5%</t>
  </si>
  <si>
    <t>特殊技能书</t>
  </si>
  <si>
    <t>基础剑术</t>
  </si>
  <si>
    <t>攻击有一定概率</t>
  </si>
  <si>
    <t>Binggong_Atk_W(Clone)</t>
  </si>
  <si>
    <t>50_RFX_Tonado_Elect</t>
  </si>
  <si>
    <t>眩晕射击</t>
  </si>
  <si>
    <t>对目标矩形范围内的敌人造成伤害并进行眩晕</t>
  </si>
  <si>
    <t>Eff_Skill_BaoZha_47</t>
  </si>
  <si>
    <t>攻击之力</t>
  </si>
  <si>
    <t>每次攻击目标会有一定概率使其所有防御降低为0,持续5秒</t>
  </si>
  <si>
    <t>缺点</t>
  </si>
  <si>
    <t>附加新技能</t>
  </si>
  <si>
    <t>破防一击</t>
  </si>
  <si>
    <t>攻击有一定概率完全忽视目标全部防御</t>
  </si>
  <si>
    <t>治愈之术</t>
  </si>
  <si>
    <t>立即对自己和目标恢复相当于自身攻击50%的生命值,如果目标是敌方单位,则造成100%伤害</t>
  </si>
  <si>
    <t>BlindBase(Clone) 蓄力</t>
  </si>
  <si>
    <t>蓄力一击</t>
  </si>
  <si>
    <t>蓄力对目标造成大量伤害</t>
  </si>
  <si>
    <t>Eff_Skill_ChiXu_16</t>
  </si>
  <si>
    <t>Eff_Skill_ChiXu_16_XuLi</t>
  </si>
  <si>
    <t>爆炸射击</t>
  </si>
  <si>
    <t>对目标发射散射攻击,散射攻击目标命中目标后会对附近单位造成200%范围伤害</t>
  </si>
  <si>
    <t>魔神武士</t>
  </si>
  <si>
    <t>能量吸附</t>
  </si>
  <si>
    <t>能把附近的怪物吸附到自身的脚下,并立即在脚下释放一个范围性技能,造成200%伤害</t>
  </si>
  <si>
    <t>缺少对团队之间的技能加成</t>
  </si>
  <si>
    <t>增强某个技能的伤害和持续时间,新增自己释放和目标释放的buff</t>
  </si>
  <si>
    <t>E3D-Skill-Continuous-Orange-Once(Clone)</t>
  </si>
  <si>
    <t>E3D-Strong-Distort-Spread-Blue(Clone)</t>
  </si>
  <si>
    <t>剑雨</t>
  </si>
  <si>
    <t>对目标区域造成持续性伤害,物伤加成</t>
  </si>
  <si>
    <t>Eff_Skill_ChiXu_17</t>
  </si>
  <si>
    <t>多重射击</t>
  </si>
  <si>
    <t>攻击会对目标及附近的单位同时攻击</t>
  </si>
  <si>
    <t>狂魔状态</t>
  </si>
  <si>
    <t>开启后,每秒损失当前5%血量,伤害提升40%,每次攻击可以吸取目标20%的生命来回复自身的血量</t>
  </si>
  <si>
    <t>增强属性值</t>
  </si>
  <si>
    <t>近战被动</t>
  </si>
  <si>
    <t>每次攻击有一定概率触发重击,无视目标防御造成伤害</t>
  </si>
  <si>
    <t>狂魔之球</t>
  </si>
  <si>
    <t>释放出6个法球,持续对周围造成每秒造成100%伤害,持续6秒</t>
  </si>
  <si>
    <t>替换技能</t>
  </si>
  <si>
    <t>职业被动</t>
  </si>
  <si>
    <t>E3D-Skill-Continuous-Blue(Clone)</t>
  </si>
  <si>
    <t>向前方发射5波射击阵</t>
  </si>
  <si>
    <t>Eff_Skill_ChiXu_18</t>
  </si>
  <si>
    <t>狂魔之地</t>
  </si>
  <si>
    <t>腐蚀脚下一块土地,在此范围内的目标每秒损失30%伤害,自身伤害提升30%,目标移动速度降低30%,持续10秒</t>
  </si>
  <si>
    <t>伤害评判</t>
  </si>
  <si>
    <t>附带</t>
  </si>
  <si>
    <t>增强某个Buff的属性和持续时间</t>
  </si>
  <si>
    <t>有技能效果</t>
  </si>
  <si>
    <t>闪避目标攻击后,有3%概率召唤出一个法球围绕自己飞行,法球会对碰撞的单位造成20%的伤害,每个法球持续6秒</t>
  </si>
  <si>
    <t>通用多余技能</t>
  </si>
  <si>
    <t>附近友方玩家攻击提升100点</t>
  </si>
  <si>
    <t>狂战士,血量越低,伤害越高,增加基础回血技能</t>
  </si>
  <si>
    <t>15平方</t>
  </si>
  <si>
    <t>沉睡效果</t>
  </si>
  <si>
    <t>沉睡过程中无法使用技能无法移动,但是被任意伤害攻击则会苏醒</t>
  </si>
  <si>
    <t>重击概率提升5%</t>
  </si>
  <si>
    <t>E3D-Skill-Blast-Blue(Clone)</t>
  </si>
  <si>
    <t>攻击有10%概率降低眩晕目标1秒</t>
  </si>
  <si>
    <t>饰品技能</t>
  </si>
  <si>
    <t>重甲</t>
  </si>
  <si>
    <t>熊</t>
  </si>
  <si>
    <t>嘲讽</t>
  </si>
  <si>
    <t>治愈之秋</t>
  </si>
  <si>
    <t>治愈</t>
  </si>
  <si>
    <t>恢复己方自身生命10%+1000点生命值</t>
  </si>
  <si>
    <t>效果</t>
  </si>
  <si>
    <t>54_RFX_TinkerbellLight1 / 53_RFX_TinkerbellLight1</t>
  </si>
  <si>
    <t>野兽爆发</t>
  </si>
  <si>
    <t>恢复召唤的野兽30%生命值,且自身和宝宝同时攻击速度和伤害提升50%,持续10秒</t>
  </si>
  <si>
    <t>Eff_Skill_BaoZha_48</t>
  </si>
  <si>
    <t>重殴(附带群体伤害)</t>
  </si>
  <si>
    <t>森之精灵</t>
  </si>
  <si>
    <t>对目标区域每秒造成100%伤害,持续9秒</t>
  </si>
  <si>
    <t>Zhaosange_defender_Q_1(Clone)</t>
  </si>
  <si>
    <t>visionBuff(Clone)</t>
  </si>
  <si>
    <t>狩猎标记</t>
  </si>
  <si>
    <t>对标记的目标,使其受到的伤害额外提升20%,并使野兽会持续性的攻击目标</t>
  </si>
  <si>
    <t>Eff_Skill_ShouLie</t>
  </si>
  <si>
    <t>Eff_Skill_ShouLieChiXu</t>
  </si>
  <si>
    <t>重击(附带概率眩晕)</t>
  </si>
  <si>
    <t>疾风之灵</t>
  </si>
  <si>
    <t>移动速度提升50%,持续12秒</t>
  </si>
  <si>
    <t>目前给与近战猎人的定位就是攻击会回血,或者用于逃跑给目标套一层buff？</t>
  </si>
  <si>
    <t>野兽灼烧</t>
  </si>
  <si>
    <t>让野兽和自身出发灼烧,对附近单位造成伤害</t>
  </si>
  <si>
    <t>Tanglang_Atk_E(Clone)</t>
  </si>
  <si>
    <t>Tanxianjia_Atk_E</t>
  </si>
  <si>
    <t>恢复,每隔一段时间恢复自身生命</t>
  </si>
  <si>
    <t>荒漠灵饰</t>
  </si>
  <si>
    <t>提审自身20%伤害,持续12秒</t>
  </si>
  <si>
    <t>猎人有一个宠物攻击的按钮,选中目标可以让宠物攻击</t>
  </si>
  <si>
    <t>野兽呼唤</t>
  </si>
  <si>
    <t>召唤出一只猎鹰协助自己战斗</t>
  </si>
  <si>
    <t>燃烧</t>
  </si>
  <si>
    <t>幽光之灵</t>
  </si>
  <si>
    <t>群体恢复</t>
  </si>
  <si>
    <t>群体恢复最大生命10%</t>
  </si>
  <si>
    <t>近战猎人攻击附带吸血</t>
  </si>
  <si>
    <t>Tanxianjia_Atk_E(Clone)</t>
  </si>
  <si>
    <t>魔影之柱</t>
  </si>
  <si>
    <t>提升自己伤害减免30%,持续10秒</t>
  </si>
  <si>
    <t>元素爆裂：技能的伤害范围增加,伤害提升至400%伤害 光之斩:技能伤害增加至400%,眩晕增加至3秒 狂魔之地:效果提升至50%</t>
  </si>
  <si>
    <t>猎人武器可不可以一直背在背后？</t>
  </si>
  <si>
    <t>Mon_Zibaojiqiren_Atk_Q(Clone)</t>
  </si>
  <si>
    <t>驯兽小队</t>
  </si>
  <si>
    <t>召唤一堆野兽协助自己战斗</t>
  </si>
  <si>
    <t>灰烬之灵</t>
  </si>
  <si>
    <t>立即对当前目标造成250%伤害</t>
  </si>
  <si>
    <t>幻魔之球</t>
  </si>
  <si>
    <t>对目标群体立即造成150%伤害</t>
  </si>
  <si>
    <t>鸟</t>
  </si>
  <si>
    <t>远程攻击</t>
  </si>
  <si>
    <t>幻影之灵</t>
  </si>
  <si>
    <t>对目标群体立即造成150% 伤害,并使其减速20%,持续6秒</t>
  </si>
  <si>
    <t>替换召唤的野兽,使其具有更强大的能力</t>
  </si>
  <si>
    <t>闪电链</t>
  </si>
  <si>
    <t>光明之镜</t>
  </si>
  <si>
    <t>恢复己方自身生命15%</t>
  </si>
  <si>
    <t>己方宠物和召唤兽造成伤害提升5%</t>
  </si>
  <si>
    <t>前方喷吐</t>
  </si>
  <si>
    <t>圣灵之灵</t>
  </si>
  <si>
    <t>对前方区域造成175%伤害</t>
  </si>
  <si>
    <t>敌人无法看见</t>
  </si>
  <si>
    <t>忽视目标防御</t>
  </si>
  <si>
    <t>强击光环 10%远程攻击</t>
  </si>
  <si>
    <t>天赋</t>
  </si>
  <si>
    <t>新职业技能建议</t>
  </si>
  <si>
    <t>Eff_Skill_ChiXu_5</t>
  </si>
  <si>
    <t>持续范围</t>
  </si>
  <si>
    <t>E3D-Absorb-Loop-Blue(Clone)</t>
  </si>
  <si>
    <t>E3D-Skill-Continuous-Violet1</t>
  </si>
  <si>
    <t>猎人印记</t>
  </si>
  <si>
    <t>普通攻击会给目标附加猎人印记,猎人印记对目标造成伤害额外提升10%</t>
  </si>
  <si>
    <t>群疗</t>
  </si>
  <si>
    <t>E3D-Skill-Blast-Green</t>
  </si>
  <si>
    <t>你的攻击距离延长2米</t>
  </si>
  <si>
    <t>武者可带拳套1技能八极崩对自身周围造成伤害并晕眩一秒2技能直冲拳，对直线距离敌人造成伤害3技能瞬身位移一大段距离，并使下次攻击必定暴击或者手环转职御气师手环专精（远程全力）视野拉远一点普攻距离远一点不然普攻没啥用:职业专精气功大师:普通攻击无视10%防御。</t>
  </si>
  <si>
    <t>Eff_Skill_QunLiao</t>
  </si>
  <si>
    <t>单疗</t>
  </si>
  <si>
    <t>Healing</t>
  </si>
  <si>
    <t>伪装</t>
  </si>
  <si>
    <t>转移自身仇恨</t>
  </si>
  <si>
    <t xml:space="preserve">大师光环，增加百分50%攻击速度  </t>
  </si>
  <si>
    <t>Eff_Skill_BaoZha_25</t>
  </si>
  <si>
    <t>单次群范围</t>
  </si>
  <si>
    <t>Ground explosion</t>
  </si>
  <si>
    <t>Lightning bolt(Clone)</t>
  </si>
  <si>
    <t>1技能震荡波:对前方发射一道拳印造成伤害和击退效果</t>
  </si>
  <si>
    <t>Eff_Skill_XuanFeng</t>
  </si>
  <si>
    <t>前范围</t>
  </si>
  <si>
    <t>E3D-Ballistic-Continuous-Blue1</t>
  </si>
  <si>
    <t>猎人守护技能4种守护只能切一种</t>
  </si>
  <si>
    <t>2技能年轻人好之为之:范围内双方不能使用技能。</t>
  </si>
  <si>
    <t>E3D-Skill-Continuous-Orange1</t>
  </si>
  <si>
    <t>实现恐惧效果</t>
  </si>
  <si>
    <t>3技能:气功波，对前方发射5枚光波每枚60%普攻伤害命中敌人解除4技能限制（此技能为普攻可在2技能范围内释放）</t>
  </si>
  <si>
    <t>Eff_Skill_HeYao</t>
  </si>
  <si>
    <t>喝药剂</t>
  </si>
  <si>
    <t>Magic ray</t>
  </si>
  <si>
    <t>SwordAOE</t>
  </si>
  <si>
    <t>刃甲技能？</t>
  </si>
  <si>
    <t>4技能:孤注一掷:对目标敌人发射巨型气功波造成10倍普攻伤害，并击溃敌方筋脉使敌方每秒持续掉20%普攻伤害血量，持续6秒。</t>
  </si>
  <si>
    <t>活体炸弹技能</t>
  </si>
  <si>
    <t>Eff_Buff_JiaSu_1</t>
  </si>
  <si>
    <t>加速Buff</t>
  </si>
  <si>
    <t>E3D-Buff-Loop-Blue3(Clone)</t>
  </si>
  <si>
    <t>装备效果</t>
  </si>
  <si>
    <t>每损失10%生命额外附加5%魔法抗性</t>
  </si>
  <si>
    <t>武者带手环（远程）1技能气旋击对前方发射光波命中禁锢敌人3秒2技能回天牵引周围敌人造成伤害3技能同上</t>
  </si>
  <si>
    <t>Eff_Buff_ShiXue</t>
  </si>
  <si>
    <t>群聊</t>
  </si>
  <si>
    <t>15_RFX_Magic_Buff2</t>
  </si>
  <si>
    <t>加速</t>
  </si>
  <si>
    <t>减速</t>
  </si>
  <si>
    <t>Eff_Buff_JianSu_1</t>
  </si>
  <si>
    <t>吟唱0.5秒,召唤一只强力的战熊协助自己进行攻击,分身继承自身80%属性,附加嘲讽技能</t>
  </si>
  <si>
    <t>持续性回血</t>
  </si>
  <si>
    <t>Common_Buff_huixue</t>
  </si>
  <si>
    <t>攻击上升</t>
  </si>
  <si>
    <t>Eff_Buff_Act_Add_1</t>
  </si>
  <si>
    <t>Eff_Buff_AddAct_2(圈)</t>
  </si>
  <si>
    <t>攻击降低</t>
  </si>
  <si>
    <t>Eff_Buff_Act_Cost_1</t>
  </si>
  <si>
    <t>20秒变身一次</t>
  </si>
  <si>
    <t>吟唱0.5秒,召唤一只强力的战熊协助自己进行攻击,分身继承自身90%属性,附加嘲讽、重殴技能</t>
  </si>
  <si>
    <t>防御上升</t>
  </si>
  <si>
    <t>Eff_Buff_Def_Add_1</t>
  </si>
  <si>
    <t>Common_Buff_fangyu</t>
  </si>
  <si>
    <t>吟唱0.5秒,召唤一只强力的战熊协助自己进行攻击,分身继承自身100%属性,附加嘲讽、重殴、重击技能</t>
  </si>
  <si>
    <t>防御降低</t>
  </si>
  <si>
    <t>Eff_Buff_Def_Cost_1</t>
  </si>
  <si>
    <t>Niutouren_Atk_W_Buff_End</t>
  </si>
  <si>
    <t>Daofeng_Atk_Q_DeBuff</t>
  </si>
  <si>
    <t>移动速度</t>
  </si>
  <si>
    <t>技能冷却时间</t>
  </si>
  <si>
    <t>吟唱0.5秒,召唤一只强力的战熊协助自己进行攻击,分身继承自身110%属性,附加嘲讽、重殴、重击、生命技能</t>
  </si>
  <si>
    <t>小虎</t>
  </si>
  <si>
    <t>怒吼</t>
  </si>
  <si>
    <t>对附近单位造成50%的减速效果</t>
  </si>
  <si>
    <t>吟唱0.5秒,召唤一只强力的战熊协助自己进行攻击,分身继承自身120%属性,附加嘲讽、重殴、重击、生命、燃烧技能</t>
  </si>
  <si>
    <t>鳄鱼先生</t>
  </si>
  <si>
    <t>甩尾</t>
  </si>
  <si>
    <t>对前方区域的玩家进行击退</t>
  </si>
  <si>
    <t>chixu毒替换E3D-Buff-Cure-Green1</t>
  </si>
  <si>
    <t>Eff_Buff_2</t>
  </si>
  <si>
    <t>懒龟</t>
  </si>
  <si>
    <t>石化</t>
  </si>
  <si>
    <t>附近单位进行眩晕5秒</t>
  </si>
  <si>
    <t>大力星星</t>
  </si>
  <si>
    <t>击退</t>
  </si>
  <si>
    <t>周围的敌人进行击退</t>
  </si>
  <si>
    <t>贪吃松鼠</t>
  </si>
  <si>
    <t>投掷松果</t>
  </si>
  <si>
    <t>对目标区域进行投掷陷阱,对触碰的玩家造成3秒眩晕</t>
  </si>
  <si>
    <t>爱心蜗牛</t>
  </si>
  <si>
    <t>别跑太远</t>
  </si>
  <si>
    <t>将一个目标强制拉回到你的身边</t>
  </si>
  <si>
    <t>蛙蛙</t>
  </si>
  <si>
    <t>跳跃</t>
  </si>
  <si>
    <t>向前方进行跳跃</t>
  </si>
  <si>
    <t>炸弹</t>
  </si>
  <si>
    <t>Mon_Zhadankongzei_Atk_Attack(Clone)</t>
  </si>
  <si>
    <t>冲锋?</t>
  </si>
  <si>
    <t>Guanghui_Atk_W(Clone)</t>
  </si>
  <si>
    <t>眩晕</t>
  </si>
  <si>
    <t>Binggong_Atk_W_DeBuff_xuanyun(Clone)</t>
  </si>
  <si>
    <t>猎人觉醒预留</t>
  </si>
  <si>
    <t>Mon_Juquanjiqiren_Atk_Q(Clone)</t>
  </si>
  <si>
    <t>Mon_Shuangdaokongzei_Atk_Q(Clone)</t>
  </si>
  <si>
    <t>E3D-Buff-Loop-Blue(Clone)+ chixu16</t>
  </si>
  <si>
    <t>E3D-Ballistic-Continuous-Violet1 第一个射击技能优化</t>
  </si>
  <si>
    <t>E3D-Spell-Blast-Violet2(Clone)</t>
  </si>
  <si>
    <t>召唤特效</t>
  </si>
  <si>
    <t>E3D-Skill-Continuous-Orange1(Clone)</t>
  </si>
  <si>
    <t>大招</t>
  </si>
  <si>
    <t>每周任务</t>
  </si>
  <si>
    <t>每周怪物</t>
  </si>
  <si>
    <t xml:space="preserve"> 6 命中 命中敌人概率提升 7 闪避 躲闪目标概率提升 8 各职业武器加成 9 一级属性 10 </t>
  </si>
  <si>
    <t>野外遇到宠物或精灵的概率</t>
  </si>
  <si>
    <t>大致规则</t>
  </si>
  <si>
    <t>周任务</t>
  </si>
  <si>
    <t>人生任务</t>
  </si>
  <si>
    <t>每次击败40级以上领主怪物涨1-5点</t>
  </si>
  <si>
    <t>赛季经验</t>
  </si>
  <si>
    <t>当前经验</t>
  </si>
  <si>
    <t>对应BOSS</t>
  </si>
  <si>
    <t>当前天数</t>
  </si>
  <si>
    <t>累计天数</t>
  </si>
  <si>
    <t>当前BOSS经验</t>
  </si>
  <si>
    <t>主线任务数量</t>
  </si>
  <si>
    <t>单个主线任务</t>
  </si>
  <si>
    <t>主线任务递增系数</t>
  </si>
  <si>
    <t>当前主线任务经验</t>
  </si>
  <si>
    <t>当前周数</t>
  </si>
  <si>
    <t>每周任务数量</t>
  </si>
  <si>
    <t>每周单个任务经验</t>
  </si>
  <si>
    <t>每周任务经验</t>
  </si>
  <si>
    <t>任务怪物比</t>
  </si>
  <si>
    <t>奖励</t>
  </si>
  <si>
    <t>每天打BOSS</t>
  </si>
  <si>
    <t>单独任务</t>
  </si>
  <si>
    <t>基础任务(5个)</t>
  </si>
  <si>
    <t>称号数量达到N个</t>
  </si>
  <si>
    <t>完成任务涨</t>
  </si>
  <si>
    <t>金币</t>
  </si>
  <si>
    <t>赛季货币</t>
  </si>
  <si>
    <t>洗练石</t>
  </si>
  <si>
    <t>奖励类</t>
  </si>
  <si>
    <t>挑战有一次深渊类型的副本</t>
  </si>
  <si>
    <t>在野外地区击败10名玩家</t>
  </si>
  <si>
    <t>精灵数量达到N个</t>
  </si>
  <si>
    <t>贪婪</t>
  </si>
  <si>
    <t>通过击败怪物获得的金币提升5%。</t>
  </si>
  <si>
    <t>打造一件传承的装备</t>
  </si>
  <si>
    <t>开启藏宝图10次</t>
  </si>
  <si>
    <t>坐骑数量达到N个</t>
  </si>
  <si>
    <t>爆率</t>
  </si>
  <si>
    <t>通过击败怪物获得的掉落奖励额外提升5%。</t>
  </si>
  <si>
    <t>合成1只战力达到8000点的宠物</t>
  </si>
  <si>
    <t>开启2次高级藏宝图</t>
  </si>
  <si>
    <t>宠物皮肤激活数量达到N个</t>
  </si>
  <si>
    <t>经验</t>
  </si>
  <si>
    <t>通过击败怪物获得的经验提升5%</t>
  </si>
  <si>
    <t>洗炼装备30次</t>
  </si>
  <si>
    <t>击败10个地狱级领主怪物</t>
  </si>
  <si>
    <t>战力达到N点</t>
  </si>
  <si>
    <t>鉴定出一个3条属性的装备</t>
  </si>
  <si>
    <t>封印之塔挑战10次</t>
  </si>
  <si>
    <t>属性类</t>
  </si>
  <si>
    <t>消费10000金币</t>
  </si>
  <si>
    <t>击败3000只怪物</t>
  </si>
  <si>
    <t>获得3只全新的宠物</t>
  </si>
  <si>
    <t>召唤的宠物属性上升5%点</t>
  </si>
  <si>
    <t>获得5只全新的宠物</t>
  </si>
  <si>
    <t>使用附魔道具给自己的装备附魔5次</t>
  </si>
  <si>
    <t>宠物合成出新宠物有问题</t>
  </si>
  <si>
    <t>命中</t>
  </si>
  <si>
    <t>命中敌人概率提升5%</t>
  </si>
  <si>
    <t>封印之塔挑战20次</t>
  </si>
  <si>
    <t>使用鉴定道具给自己的装备鉴定5次</t>
  </si>
  <si>
    <t>闪避</t>
  </si>
  <si>
    <t>使用鉴定道具给自己的装备鉴定15次</t>
  </si>
  <si>
    <t>宠物合成5次</t>
  </si>
  <si>
    <t>抗暴</t>
  </si>
  <si>
    <t>在60级副本通关,并使自身的总输出占比大于40%</t>
  </si>
  <si>
    <t>合成1只战力达到7000点的宠物</t>
  </si>
  <si>
    <t>暴击</t>
  </si>
  <si>
    <t>找到一个X点属性的装备</t>
  </si>
  <si>
    <t>开启30次普通藏宝图</t>
  </si>
  <si>
    <t>宠物使用宠之晶洗炼达到5次</t>
  </si>
  <si>
    <t>神佑</t>
  </si>
  <si>
    <t>钻石兑换金币10次</t>
  </si>
  <si>
    <t>宠物天梯战斗获胜次数达到10次</t>
  </si>
  <si>
    <t>物穿</t>
  </si>
  <si>
    <t>物理穿透5%</t>
  </si>
  <si>
    <t>击败30个领主级怪物</t>
  </si>
  <si>
    <t>装备洗炼达到10次</t>
  </si>
  <si>
    <t>魔穿</t>
  </si>
  <si>
    <t>魔法穿透5%</t>
  </si>
  <si>
    <t>在野外地区击败5名玩家</t>
  </si>
  <si>
    <t>生活技能制造出20个道具</t>
  </si>
  <si>
    <t>时间</t>
  </si>
  <si>
    <t>技能冷却5%</t>
  </si>
  <si>
    <t>宠物使用技能书替换自身技能10次</t>
  </si>
  <si>
    <t>成功孵化5次宠物</t>
  </si>
  <si>
    <t>物伤</t>
  </si>
  <si>
    <t>物理伤害减免提升5%</t>
  </si>
  <si>
    <t>使用附魔道具给自己的装备附魔15次</t>
  </si>
  <si>
    <t>魔伤</t>
  </si>
  <si>
    <t>魔法伤害减免提升5%</t>
  </si>
  <si>
    <t>洗炼10次装备</t>
  </si>
  <si>
    <t>洗练出1个带有隐藏技能的装备</t>
  </si>
  <si>
    <t>挑战任务(3个)</t>
  </si>
  <si>
    <t>普通攻击加成提升5%</t>
  </si>
  <si>
    <t>上交一个50级的橙色装备</t>
  </si>
  <si>
    <t>宠物合成10次</t>
  </si>
  <si>
    <t>挑战5次深渊类型的副本</t>
  </si>
  <si>
    <t>技能攻击加成提升5%</t>
  </si>
  <si>
    <t>合成1只战力达到9000点的宠物</t>
  </si>
  <si>
    <t>受到领主伤害降低5%</t>
  </si>
  <si>
    <t>挑战有3次深渊类型的副本</t>
  </si>
  <si>
    <t>攻击领主伤害提升5%</t>
  </si>
  <si>
    <t>在线时间达到X分钟</t>
  </si>
  <si>
    <t>装备洗炼达到100次</t>
  </si>
  <si>
    <t>使用90点及以上的鉴定符去鉴定2次装备</t>
  </si>
  <si>
    <t>抵抗负面属性概率5%</t>
  </si>
  <si>
    <t>上交30个炙热印记</t>
  </si>
  <si>
    <t>钻石兑换金币5次</t>
  </si>
  <si>
    <t>移动速度提升5%</t>
  </si>
  <si>
    <t>上交一只6技能以上的宠物</t>
  </si>
  <si>
    <t>上交一个50级橙色的装备</t>
  </si>
  <si>
    <t>提交一个攻击大于5点资质X技能的宠物</t>
  </si>
  <si>
    <t>开启3次高级藏宝图</t>
  </si>
  <si>
    <t>占领1个黄金矿</t>
  </si>
  <si>
    <t>武器加成</t>
  </si>
  <si>
    <t>需求10个灿烂的结晶</t>
  </si>
  <si>
    <t>装备洗炼达到30次</t>
  </si>
  <si>
    <t>使用武器:剑，可以使自身伤害提升5%</t>
  </si>
  <si>
    <t>鉴定出一个4条属性的装备</t>
  </si>
  <si>
    <t>使用珍贵的宠物蛋成功孵化两次宠物</t>
  </si>
  <si>
    <t>使用武器:刀，可以使自身伤害提升5%</t>
  </si>
  <si>
    <t>生活技能制造出50个道具</t>
  </si>
  <si>
    <t>法杖</t>
  </si>
  <si>
    <t>使用武器:法杖，可以使自身伤害提升5%</t>
  </si>
  <si>
    <t>封印之塔挑战30次</t>
  </si>
  <si>
    <t>使用武器:魔法书，可以使自身伤害提升5%</t>
  </si>
  <si>
    <t>上交20个炙热奖章</t>
  </si>
  <si>
    <t>高端任务(2个)</t>
  </si>
  <si>
    <t>使用武器:弓箭，可以使自身伤害提升5%</t>
  </si>
  <si>
    <t>合成1只战力达到10000点的宠物</t>
  </si>
  <si>
    <t>合成一只战力达到9000点的宠物</t>
  </si>
  <si>
    <t>试炼之地输出进入排行前10</t>
  </si>
  <si>
    <t>属性加成</t>
  </si>
  <si>
    <t>宠物天梯进入排行榜前10</t>
  </si>
  <si>
    <t>力量</t>
  </si>
  <si>
    <t>战力排行榜进入前10</t>
  </si>
  <si>
    <t>智力</t>
  </si>
  <si>
    <t>家园烹饪30次</t>
  </si>
  <si>
    <t>占领1个核心矿</t>
  </si>
  <si>
    <t>敏捷</t>
  </si>
  <si>
    <t>耐力</t>
  </si>
  <si>
    <t>*3</t>
  </si>
  <si>
    <t>体质</t>
  </si>
  <si>
    <t>上交一个50级以上鉴定4属性的装备一件</t>
  </si>
  <si>
    <t>主动技能</t>
  </si>
  <si>
    <t>使目标处于悬空状态,悬空状态无法攻击和被攻击,30秒冷却时间</t>
  </si>
  <si>
    <t>使目标处于恐惧状态,被恐惧的玩家会自己到处行走无法使用攻击和技能,30秒冷却时间</t>
  </si>
  <si>
    <t>使目标处于沉睡状态,沉睡状态无法攻击和释放技能,但是受到攻击会立即苏醒,30秒冷却时间</t>
  </si>
  <si>
    <t>强制将目标拉倒自己身边,20秒冷却时间</t>
  </si>
  <si>
    <t>使你普通攻击有概率造成一个爆炸性伤害</t>
  </si>
  <si>
    <t>使你普通攻击有概率造成一个2秒眩晕</t>
  </si>
  <si>
    <t>使你普通攻击</t>
  </si>
  <si>
    <t>隐身技能</t>
  </si>
  <si>
    <t>隐藏自己让敌人看不到自己,但是自己攻击会立即现身</t>
  </si>
  <si>
    <t>特殊属性</t>
  </si>
  <si>
    <t>隐藏属性</t>
  </si>
  <si>
    <t>携带部位</t>
  </si>
  <si>
    <t>生命</t>
  </si>
  <si>
    <t>英勇</t>
  </si>
  <si>
    <t>攻击时附带2%生命恢复效果</t>
  </si>
  <si>
    <t>天使复苏</t>
  </si>
  <si>
    <t>衣服</t>
  </si>
  <si>
    <t>当自身血量降低值0时,有10%概率恢复自身全部生命值,10分钟只能触发一次</t>
  </si>
  <si>
    <t>溅射</t>
  </si>
  <si>
    <t>每次攻击有概率对附近单位造成20%溅射伤害</t>
  </si>
  <si>
    <t>协助出战</t>
  </si>
  <si>
    <t>项链</t>
  </si>
  <si>
    <t>攻击时有概率召唤一个帮手协助你作战,帮手的属性根据自身属性变换</t>
  </si>
  <si>
    <t>格挡值</t>
  </si>
  <si>
    <t>不坏之身</t>
  </si>
  <si>
    <t>护符</t>
  </si>
  <si>
    <t>受到伤害时有概率立即回复自身5%生命值</t>
  </si>
  <si>
    <t>重击附加伤害</t>
  </si>
  <si>
    <t>渗透之伤</t>
  </si>
  <si>
    <t>饰品</t>
  </si>
  <si>
    <t>攻击时有概率让目标持续受到伤害,每秒使目标损失目标当前血量的1%</t>
  </si>
  <si>
    <t>重击概率</t>
  </si>
  <si>
    <t>缓慢</t>
  </si>
  <si>
    <t>攻击时有概率降低其移动速度30%,持续3秒</t>
  </si>
  <si>
    <t>真实伤害</t>
  </si>
  <si>
    <t>迅捷</t>
  </si>
  <si>
    <t>鞋</t>
  </si>
  <si>
    <t>恢复值</t>
  </si>
  <si>
    <t>百发百中</t>
  </si>
  <si>
    <t>物理攻击命中率100%,使目标无法躲避自身的任何攻击</t>
  </si>
  <si>
    <t>忽视目标防御值</t>
  </si>
  <si>
    <t>精神集中</t>
  </si>
  <si>
    <t>腰带</t>
  </si>
  <si>
    <t>使用技能时有10%概率不触发自身技能时间</t>
  </si>
  <si>
    <t>忽视目标魔防值</t>
  </si>
  <si>
    <t>奋力</t>
  </si>
  <si>
    <t>攻击时有概率提升自身20%攻击,持续5秒</t>
  </si>
  <si>
    <t>幸运值</t>
  </si>
  <si>
    <t>招摇</t>
  </si>
  <si>
    <t>头盔</t>
  </si>
  <si>
    <t>怪物发现目标距离+3</t>
  </si>
  <si>
    <t>暴击等级</t>
  </si>
  <si>
    <t>隐匿</t>
  </si>
  <si>
    <t>怪物发现目标距离-3</t>
  </si>
  <si>
    <t>命中等级</t>
  </si>
  <si>
    <t>忽视目标</t>
  </si>
  <si>
    <t>戒指</t>
  </si>
  <si>
    <t>攻击时有概率忽视目标身上对应的防御属性</t>
  </si>
  <si>
    <t>闪避等级</t>
  </si>
  <si>
    <t>手套</t>
  </si>
  <si>
    <t>释放技能时有概率造成1.5倍的伤害</t>
  </si>
  <si>
    <t>抗暴等级</t>
  </si>
  <si>
    <t>化解</t>
  </si>
  <si>
    <t>裤子</t>
  </si>
  <si>
    <t>受到伤害时有概率使本次伤害无效</t>
  </si>
  <si>
    <t>暴击概率</t>
  </si>
  <si>
    <t>冲刺</t>
  </si>
  <si>
    <t>使用冲锋技能移动距离+2</t>
  </si>
  <si>
    <t>命中概率</t>
  </si>
  <si>
    <t>闪避概率</t>
  </si>
  <si>
    <t>抗暴概率</t>
  </si>
  <si>
    <t>神农</t>
  </si>
  <si>
    <t>全身</t>
  </si>
  <si>
    <t>使用药剂恢复生命额外效果额外提升10%</t>
  </si>
  <si>
    <t>物理伤害</t>
  </si>
  <si>
    <t>珍宝</t>
  </si>
  <si>
    <t>出售给商店时获得20倍的金币价格</t>
  </si>
  <si>
    <t>魔法伤害</t>
  </si>
  <si>
    <t>简易</t>
  </si>
  <si>
    <t>穿戴此装备等级限制降低5级</t>
  </si>
  <si>
    <t>物理减免</t>
  </si>
  <si>
    <t>极品</t>
  </si>
  <si>
    <t>额外发挥对应部位的装备1.1倍属性</t>
  </si>
  <si>
    <t>魔法减免</t>
  </si>
  <si>
    <t>胜算</t>
  </si>
  <si>
    <t>装备最低属性和最高属性保持一致</t>
  </si>
  <si>
    <t>伤害加成</t>
  </si>
  <si>
    <t>无级别</t>
  </si>
  <si>
    <t>佩戴时没有任何等级和属性要求限制</t>
  </si>
  <si>
    <t>伤害减免</t>
  </si>
  <si>
    <t>虚弱</t>
  </si>
  <si>
    <t>当前部位的装备属性降低10%</t>
  </si>
  <si>
    <t>攻击穿透</t>
  </si>
  <si>
    <t>宝石专精</t>
  </si>
  <si>
    <t>镶嵌的宝石属性提升20%效果</t>
  </si>
  <si>
    <t>魔法穿透</t>
  </si>
  <si>
    <t>战斗恢复</t>
  </si>
  <si>
    <t>战斗中自动恢复血量的效果*2</t>
  </si>
  <si>
    <t>攻击领主物理伤害加成</t>
  </si>
  <si>
    <t>攻击之手</t>
  </si>
  <si>
    <t>攻击时有概率使己方全属性提升10%,持续10秒</t>
  </si>
  <si>
    <t>攻击领主魔法伤害加成</t>
  </si>
  <si>
    <t>防御之手</t>
  </si>
  <si>
    <t>受击时有概率使己方全属性提升10%,持续10秒</t>
  </si>
  <si>
    <t>受到领主物理攻击减免</t>
  </si>
  <si>
    <t>恢复之手</t>
  </si>
  <si>
    <t>生命恢复时,有概率使己方全属性提升10%,持续10秒</t>
  </si>
  <si>
    <t>受到领主魔法攻击减免</t>
  </si>
  <si>
    <t>急速</t>
  </si>
  <si>
    <t>当使用冲锋技能产生冷却时间时,可以使自身移动速度提升30%,持续3秒</t>
  </si>
  <si>
    <t>技能冷却时间缩减</t>
  </si>
  <si>
    <t>经验加成</t>
  </si>
  <si>
    <t>出售给商店时获得10倍的价格</t>
  </si>
  <si>
    <t>额外发挥部位1.2倍的属性</t>
  </si>
  <si>
    <t>锻造大师</t>
  </si>
  <si>
    <t>锻造类熟练度,出现隐藏属性的几率提高</t>
  </si>
  <si>
    <t>极品大师</t>
  </si>
  <si>
    <t>出现极品的属性提高</t>
  </si>
  <si>
    <t>药剂大师</t>
  </si>
  <si>
    <t>药剂类熟练度提高,生产药剂时有概率获得药剂暴击效果</t>
  </si>
  <si>
    <t>宝石大师</t>
  </si>
  <si>
    <t>锻造类熟练度,出现宝石孔位的装备提高</t>
  </si>
  <si>
    <t>洗炼时出现极品的属性提高</t>
  </si>
  <si>
    <t>装备等级</t>
  </si>
  <si>
    <t>系数</t>
  </si>
  <si>
    <t>属性偏向</t>
  </si>
  <si>
    <t>最大攻击</t>
  </si>
  <si>
    <t>最大物防</t>
  </si>
  <si>
    <t>最小魔防</t>
  </si>
  <si>
    <t>属性均衡系数</t>
  </si>
  <si>
    <t>护甲</t>
  </si>
  <si>
    <t>手镯</t>
  </si>
  <si>
    <t>鞋子</t>
  </si>
  <si>
    <t>布靴</t>
  </si>
  <si>
    <t>长裤</t>
  </si>
  <si>
    <t>穿戴类型</t>
  </si>
  <si>
    <t>转职名称</t>
  </si>
  <si>
    <t>品质</t>
  </si>
  <si>
    <t>套装</t>
  </si>
  <si>
    <t>多额外0.05(比护腿多一些好看,并且正好整体缺血量)</t>
  </si>
  <si>
    <t>极品套装</t>
  </si>
  <si>
    <t>累计总合</t>
  </si>
  <si>
    <t>地图章节</t>
  </si>
  <si>
    <t>对应章节</t>
  </si>
  <si>
    <t>对应等级</t>
  </si>
  <si>
    <t>掉落</t>
  </si>
  <si>
    <t>散件</t>
  </si>
  <si>
    <t>小木盔</t>
  </si>
  <si>
    <t>布巾</t>
  </si>
  <si>
    <t>铁盔</t>
  </si>
  <si>
    <t>玄木头盔</t>
  </si>
  <si>
    <t>暗影头盔</t>
  </si>
  <si>
    <t>精钢头盔</t>
  </si>
  <si>
    <t>制作</t>
  </si>
  <si>
    <t>战灵头盔</t>
  </si>
  <si>
    <t>灵纹头盔</t>
  </si>
  <si>
    <t>勇气之盔</t>
  </si>
  <si>
    <t>暴灵之盔</t>
  </si>
  <si>
    <t>英勇之盔</t>
  </si>
  <si>
    <t/>
  </si>
  <si>
    <t>皮质手套</t>
  </si>
  <si>
    <t>布料手套</t>
  </si>
  <si>
    <t>铁手套</t>
  </si>
  <si>
    <t>轻灵手套</t>
  </si>
  <si>
    <t>长者手套</t>
  </si>
  <si>
    <t>玄铁手套</t>
  </si>
  <si>
    <t>战灵手套</t>
  </si>
  <si>
    <t>灵纹手套</t>
  </si>
  <si>
    <t>勇气之手</t>
  </si>
  <si>
    <t>暴灵之手</t>
  </si>
  <si>
    <t>英勇之手</t>
  </si>
  <si>
    <t>皮质腰带</t>
  </si>
  <si>
    <t>布腰带</t>
  </si>
  <si>
    <t>铜腰带</t>
  </si>
  <si>
    <r>
      <rPr>
        <sz val="10"/>
        <color rgb="FF0070C0"/>
        <rFont val="宋体"/>
        <family val="3"/>
        <charset val="134"/>
      </rPr>
      <t>大地</t>
    </r>
    <r>
      <rPr>
        <sz val="10"/>
        <color rgb="FF0070C0"/>
        <rFont val="等线"/>
        <family val="3"/>
        <charset val="134"/>
      </rPr>
      <t>腰带</t>
    </r>
  </si>
  <si>
    <r>
      <rPr>
        <sz val="10"/>
        <color rgb="FF0070C0"/>
        <rFont val="宋体"/>
        <family val="3"/>
        <charset val="134"/>
      </rPr>
      <t>生命</t>
    </r>
    <r>
      <rPr>
        <sz val="10"/>
        <color rgb="FF0070C0"/>
        <rFont val="等线"/>
        <family val="3"/>
        <charset val="134"/>
      </rPr>
      <t>腰带</t>
    </r>
  </si>
  <si>
    <r>
      <rPr>
        <sz val="10"/>
        <color rgb="FF0070C0"/>
        <rFont val="宋体"/>
        <family val="3"/>
        <charset val="134"/>
      </rPr>
      <t>钢铁</t>
    </r>
    <r>
      <rPr>
        <sz val="10"/>
        <color rgb="FF0070C0"/>
        <rFont val="等线"/>
        <family val="3"/>
        <charset val="134"/>
      </rPr>
      <t>腰带</t>
    </r>
  </si>
  <si>
    <t>战灵腰带</t>
  </si>
  <si>
    <t>灵纹腰带</t>
  </si>
  <si>
    <t>勇气之带</t>
  </si>
  <si>
    <t>暴灵之带</t>
  </si>
  <si>
    <t>英勇之带</t>
  </si>
  <si>
    <t>皮质靴子</t>
  </si>
  <si>
    <t>岩石靴子</t>
  </si>
  <si>
    <t>银光靴</t>
  </si>
  <si>
    <t>宝石靴子</t>
  </si>
  <si>
    <t>力量战靴</t>
  </si>
  <si>
    <t>战灵靴子</t>
  </si>
  <si>
    <t>灵纹靴子</t>
  </si>
  <si>
    <t>勇气之靴</t>
  </si>
  <si>
    <t>暴灵之靴</t>
  </si>
  <si>
    <t>英勇之靴</t>
  </si>
  <si>
    <t>皮质护腿</t>
  </si>
  <si>
    <t>麻布护腿</t>
  </si>
  <si>
    <t>矿工护腿</t>
  </si>
  <si>
    <t>暴风长裤</t>
  </si>
  <si>
    <t>火焰长裤</t>
  </si>
  <si>
    <t>力量长裤</t>
  </si>
  <si>
    <t>战灵护腿</t>
  </si>
  <si>
    <t>灵纹护腿</t>
  </si>
  <si>
    <t>勇气之腿</t>
  </si>
  <si>
    <t>暴灵之腿</t>
  </si>
  <si>
    <t>英勇之腿</t>
  </si>
  <si>
    <t>银项链</t>
  </si>
  <si>
    <t>魔灵铃铛</t>
  </si>
  <si>
    <t>精灵之链</t>
  </si>
  <si>
    <t>疾风之链</t>
  </si>
  <si>
    <t>银戒指</t>
  </si>
  <si>
    <t>精金戒指</t>
  </si>
  <si>
    <r>
      <rPr>
        <sz val="10"/>
        <color rgb="FF0070C0"/>
        <rFont val="宋体"/>
        <family val="3"/>
        <charset val="134"/>
      </rPr>
      <t>树王</t>
    </r>
    <r>
      <rPr>
        <sz val="10"/>
        <color rgb="FF0070C0"/>
        <rFont val="等线"/>
        <family val="3"/>
        <charset val="134"/>
      </rPr>
      <t>戒指</t>
    </r>
  </si>
  <si>
    <t>疾风之戒</t>
  </si>
  <si>
    <t>耐力护符</t>
  </si>
  <si>
    <t>森林护符</t>
  </si>
  <si>
    <t>疾风之符</t>
  </si>
  <si>
    <t>短木剑</t>
  </si>
  <si>
    <t>钢刀</t>
  </si>
  <si>
    <t>精金剑</t>
  </si>
  <si>
    <t>精钢刀</t>
  </si>
  <si>
    <t>散件套装</t>
  </si>
  <si>
    <t>战灵战刃</t>
  </si>
  <si>
    <t>战灵之刃</t>
  </si>
  <si>
    <t>疾风之剑</t>
  </si>
  <si>
    <t>疾风之刀</t>
  </si>
  <si>
    <t>小皮衣</t>
  </si>
  <si>
    <t>麻布衣</t>
  </si>
  <si>
    <t>重盔甲</t>
  </si>
  <si>
    <t>妖灵护甲</t>
  </si>
  <si>
    <t>符文护甲</t>
  </si>
  <si>
    <t>玄铁战甲</t>
  </si>
  <si>
    <t>战灵护甲</t>
  </si>
  <si>
    <t>灵纹护甲</t>
  </si>
  <si>
    <t>勇气之甲</t>
  </si>
  <si>
    <t>暴灵之甲</t>
  </si>
  <si>
    <t>英勇之甲</t>
  </si>
  <si>
    <t>新增特殊制造</t>
  </si>
  <si>
    <t>用途</t>
  </si>
  <si>
    <t>制造装备</t>
  </si>
  <si>
    <t>特性</t>
  </si>
  <si>
    <t>最小值</t>
  </si>
  <si>
    <t>最大值</t>
  </si>
  <si>
    <t>实际数量</t>
  </si>
  <si>
    <t>1 武器</t>
  </si>
  <si>
    <t>攻速之爪</t>
  </si>
  <si>
    <t>攻击速度提升5%</t>
  </si>
  <si>
    <t>锻造</t>
  </si>
  <si>
    <t>锭</t>
  </si>
  <si>
    <t>武器护甲制造</t>
  </si>
  <si>
    <t>鉴定书</t>
  </si>
  <si>
    <t>分解装备获得材料</t>
  </si>
  <si>
    <t>2 衣服</t>
  </si>
  <si>
    <t>疾驰之靴</t>
  </si>
  <si>
    <t>裁缝</t>
  </si>
  <si>
    <t>布</t>
  </si>
  <si>
    <t>衣服防具制造</t>
  </si>
  <si>
    <t>3 护符</t>
  </si>
  <si>
    <t>墨竹之链</t>
  </si>
  <si>
    <t>移动速度提升2%</t>
  </si>
  <si>
    <t>炼金</t>
  </si>
  <si>
    <t>石</t>
  </si>
  <si>
    <t>项链戒指制作</t>
  </si>
  <si>
    <t>药剂合计</t>
  </si>
  <si>
    <t>4 戒指</t>
  </si>
  <si>
    <t>技能+1</t>
  </si>
  <si>
    <t>附魔</t>
  </si>
  <si>
    <t>尘</t>
  </si>
  <si>
    <t>附魔装备</t>
  </si>
  <si>
    <t>附魔属性</t>
  </si>
  <si>
    <t>附魔图纸掉落</t>
  </si>
  <si>
    <t>5 饰品</t>
  </si>
  <si>
    <t>使用召唤你的南瓜士兵</t>
  </si>
  <si>
    <t>6 鞋子</t>
  </si>
  <si>
    <t>反伤甲胄</t>
  </si>
  <si>
    <t>使用后反弹当前所有受到的伤害给与攻击方</t>
  </si>
  <si>
    <t>磨刀石</t>
  </si>
  <si>
    <t>可以给武器临时附加属性</t>
  </si>
  <si>
    <t>7 裤子</t>
  </si>
  <si>
    <t>防御降低10%,造成伤害提升5%</t>
  </si>
  <si>
    <t>金丝魔线</t>
  </si>
  <si>
    <t>项链和戒指FM</t>
  </si>
  <si>
    <t>8 腰带</t>
  </si>
  <si>
    <t>魔法免疫</t>
  </si>
  <si>
    <t>制造饰品</t>
  </si>
  <si>
    <t>属性加成较高的饰品</t>
  </si>
  <si>
    <t>每天额外制造</t>
  </si>
  <si>
    <t>9 手镯</t>
  </si>
  <si>
    <t>攻击有概率削弱目标防御</t>
  </si>
  <si>
    <t>饰品装备FM</t>
  </si>
  <si>
    <t>10 头盔</t>
  </si>
  <si>
    <t>附魔师的精华</t>
  </si>
  <si>
    <t>11 项链</t>
  </si>
  <si>
    <t>转化2比1转换1转换其他材料</t>
  </si>
  <si>
    <t>裁缝在额外制造一个装备？</t>
  </si>
  <si>
    <t>攻击强度</t>
  </si>
  <si>
    <t>暴击等级随机提升50-200点</t>
  </si>
  <si>
    <t>给项链随机附加10-50点法术强度</t>
  </si>
  <si>
    <t>绑定</t>
  </si>
  <si>
    <t>智力之石</t>
  </si>
  <si>
    <t>智力+20点  法术强度+30</t>
  </si>
  <si>
    <t>攻击提升10-60点</t>
  </si>
  <si>
    <t>攻击提升30-100点</t>
  </si>
  <si>
    <t>攻击提升50-150点</t>
  </si>
  <si>
    <t>命中等级随机提升50-200点</t>
  </si>
  <si>
    <t>天蓝魔线</t>
  </si>
  <si>
    <t>给项链随机附加10-50点攻击强度</t>
  </si>
  <si>
    <t>力量之石</t>
  </si>
  <si>
    <t>力量+20点  攻击强度+30</t>
  </si>
  <si>
    <t>暴击等级提升10-50点</t>
  </si>
  <si>
    <t>暴击等级提升30-75点</t>
  </si>
  <si>
    <t>暴击等级提升30-100点</t>
  </si>
  <si>
    <t>闪避等级随机提升50-200点</t>
  </si>
  <si>
    <t>金丝魔环</t>
  </si>
  <si>
    <t>给戒指随机附加10-50点法术强度</t>
  </si>
  <si>
    <t>格挡</t>
  </si>
  <si>
    <t>格挡值提升50-100</t>
  </si>
  <si>
    <t>物理闪避提升1%-3%</t>
  </si>
  <si>
    <t>重击概率提升1%-3%</t>
  </si>
  <si>
    <t>韧性等级随机提升50-200点</t>
  </si>
  <si>
    <t>天蓝魔环</t>
  </si>
  <si>
    <t>给戒指随机附加10-50点攻击强度</t>
  </si>
  <si>
    <t>生命提升50-300点</t>
  </si>
  <si>
    <t>生命提升150-500点</t>
  </si>
  <si>
    <t>生命提升250-750点</t>
  </si>
  <si>
    <t>精钢磨刀石</t>
  </si>
  <si>
    <t>暴击等级随机提升100-250点</t>
  </si>
  <si>
    <t>金色魔线</t>
  </si>
  <si>
    <t>给项链随机附加30-80点法术强度</t>
  </si>
  <si>
    <t>灵魂之石</t>
  </si>
  <si>
    <t>智力+30点  法术强度+50</t>
  </si>
  <si>
    <t>闪避等级提升10-50点</t>
  </si>
  <si>
    <t>闪避等级提升30-75点</t>
  </si>
  <si>
    <t>闪避等级提升30-100点</t>
  </si>
  <si>
    <t>命中等级随机提升100-250点</t>
  </si>
  <si>
    <t>碧蓝魔线</t>
  </si>
  <si>
    <t>给项链随机附加30-80点攻击强度</t>
  </si>
  <si>
    <t>试炼之石</t>
  </si>
  <si>
    <t>力量+30点  攻击强度+50</t>
  </si>
  <si>
    <t>韧性提升1-3%</t>
  </si>
  <si>
    <t>魔法闪避提升1%-3%</t>
  </si>
  <si>
    <t>伤害加成提升1-3%</t>
  </si>
  <si>
    <t>闪避等级随机提升100-250点</t>
  </si>
  <si>
    <t>金色魔环</t>
  </si>
  <si>
    <t>给戒指随机附加30-80点法术强度</t>
  </si>
  <si>
    <t>韧性等级随机提升100-250点</t>
  </si>
  <si>
    <t>碧蓝魔环</t>
  </si>
  <si>
    <t>给戒指随机附加30-80点攻击强度</t>
  </si>
  <si>
    <t>忽视目标防御10-60点</t>
  </si>
  <si>
    <t>忽视目标防御30-100点</t>
  </si>
  <si>
    <t>忽视目标防御50-150点</t>
  </si>
  <si>
    <t>忽视目标魔防10-60点</t>
  </si>
  <si>
    <t>忽视目标魔防30-100点</t>
  </si>
  <si>
    <t>忽视目标魔防50-150点</t>
  </si>
  <si>
    <t>锋利磨刀石</t>
  </si>
  <si>
    <t>暴击等级随机提升150-300点</t>
  </si>
  <si>
    <t>辉煌魔线</t>
  </si>
  <si>
    <t>给项链随机附加50-120点法术强度</t>
  </si>
  <si>
    <t>光灵之石</t>
  </si>
  <si>
    <t>智力+50点  法术强度+80</t>
  </si>
  <si>
    <t>冷却时间缩减1-3%</t>
  </si>
  <si>
    <t>攻击速度提升1%-3%</t>
  </si>
  <si>
    <t>固定伤害提升50-150点</t>
  </si>
  <si>
    <t>旋风击</t>
  </si>
  <si>
    <t>命中等级随机提升150-300点</t>
  </si>
  <si>
    <t>闪光魔线</t>
  </si>
  <si>
    <t>给项链随机附加50-120点攻击强度</t>
  </si>
  <si>
    <t>勇猛之石</t>
  </si>
  <si>
    <t>力量+50点  攻击强度+80</t>
  </si>
  <si>
    <t>战士石魔法书</t>
  </si>
  <si>
    <t>闪避等级随机提升150-300点</t>
  </si>
  <si>
    <t>辉煌魔环</t>
  </si>
  <si>
    <t>给戒指随机附加50-120点法术强度</t>
  </si>
  <si>
    <t>耐力提升3-12点</t>
  </si>
  <si>
    <t>耐力提升5-20点</t>
  </si>
  <si>
    <t>耐力提升8-30点</t>
  </si>
  <si>
    <t>韧性等级随机提升150-300点</t>
  </si>
  <si>
    <t>闪光魔环</t>
  </si>
  <si>
    <t>给戒指随机附加50-120点攻击强度</t>
  </si>
  <si>
    <t>敏捷提升3-12点</t>
  </si>
  <si>
    <t>敏捷提升5-20点</t>
  </si>
  <si>
    <t>敏捷提升8-30点</t>
  </si>
  <si>
    <t>体质提升3-12点</t>
  </si>
  <si>
    <t>体质提升5-20点</t>
  </si>
  <si>
    <t>体质提升8-30点</t>
  </si>
  <si>
    <t>命中率提升1%-3%</t>
  </si>
  <si>
    <t>生命上限提升1%-3%</t>
  </si>
  <si>
    <t>15个</t>
  </si>
  <si>
    <t>力量提升3-12点</t>
  </si>
  <si>
    <t>力量提升5-20点</t>
  </si>
  <si>
    <t>力量提升8-30点</t>
  </si>
  <si>
    <t>智力提升3-12点</t>
  </si>
  <si>
    <t>智力提升5-20点</t>
  </si>
  <si>
    <t>智力提升8-30点</t>
  </si>
  <si>
    <t>真实伤害提升10-60点</t>
  </si>
  <si>
    <t>物理伤害加成提升1%-3%</t>
  </si>
  <si>
    <t>魔法伤害加成提升1%-3%</t>
  </si>
  <si>
    <t>传承:新月神链</t>
  </si>
  <si>
    <t>传承:勇者的无畏</t>
  </si>
  <si>
    <t>旋风击+1</t>
  </si>
  <si>
    <t>物防提升10-60点</t>
  </si>
  <si>
    <t>物防提升30-100点</t>
  </si>
  <si>
    <t>物防提升50-150点</t>
  </si>
  <si>
    <t>传承:勇者的意志</t>
  </si>
  <si>
    <t>攻击恢复当前造成伤害的5%</t>
  </si>
  <si>
    <t>魔防提升10-60点</t>
  </si>
  <si>
    <t>魔防提升30-100点</t>
  </si>
  <si>
    <t>魔防提升50-150点</t>
  </si>
  <si>
    <t>传承:守护者的神杖</t>
  </si>
  <si>
    <t>攻击概率提升自身10%攻击,持续6秒</t>
  </si>
  <si>
    <t>野猪之速</t>
  </si>
  <si>
    <t>移动速度提升1%-3%</t>
  </si>
  <si>
    <t>暴击概率提升1-3%</t>
  </si>
  <si>
    <t>闪避率+1-3%</t>
  </si>
  <si>
    <t>传承:圣灵的魔法书</t>
  </si>
  <si>
    <t>守护之击+1</t>
  </si>
  <si>
    <t>传承:疾风者的疯狂</t>
  </si>
  <si>
    <t>有5%概率躲避敌人的法术攻击</t>
  </si>
  <si>
    <t>传承:圣域的记忆</t>
  </si>
  <si>
    <t>有5%概率躲避敌人的物理攻击</t>
  </si>
  <si>
    <t>传承:米希尔之力</t>
  </si>
  <si>
    <t>提升自身5%的最大生命值</t>
  </si>
  <si>
    <t>传承:恒心使徒的魔链</t>
  </si>
  <si>
    <t>装备:攻击提升100点</t>
  </si>
  <si>
    <t>传承:碧蓝之歌</t>
  </si>
  <si>
    <t>装备:暴击概率提升5%</t>
  </si>
  <si>
    <t>传承:有坚不摧之力</t>
  </si>
  <si>
    <t>使用裂波击技能冷却时间减少2秒</t>
  </si>
  <si>
    <t>传承:炽热燃烧权杖</t>
  </si>
  <si>
    <t>魔法闪击造成伤害提升50%</t>
  </si>
  <si>
    <t>传承:毁灭之书</t>
  </si>
  <si>
    <t>攻击忽略目标5%防御</t>
  </si>
  <si>
    <t>传承:光之怒</t>
  </si>
  <si>
    <t>所有技能的冷却时间缩减5%</t>
  </si>
  <si>
    <t>传承:神灵启示者</t>
  </si>
  <si>
    <t>反击伤害+10%</t>
  </si>
  <si>
    <t>传承:降魔护卫者</t>
  </si>
  <si>
    <t>受到攻击有一定概率恢复自身的生命值</t>
  </si>
  <si>
    <t>传承:末日的启示者</t>
  </si>
  <si>
    <t>传承:寒冰使者的佩剑</t>
  </si>
  <si>
    <t>使用裂地击会附加2秒眩晕效果</t>
  </si>
  <si>
    <t>传承:黎明的护卫者</t>
  </si>
  <si>
    <t>使用裂波击技能伤害提升50%</t>
  </si>
  <si>
    <t>传承:冰灵惩戒之杖</t>
  </si>
  <si>
    <t>龙卷雨击+1</t>
  </si>
  <si>
    <t>传承:王者的愤怒</t>
  </si>
  <si>
    <t>冰锥之击会额外对目标造成2秒眩晕</t>
  </si>
  <si>
    <t>传承:正义的呼唤</t>
  </si>
  <si>
    <t>暴击概率提升5%</t>
  </si>
  <si>
    <t>传承:暴灵的守护</t>
  </si>
  <si>
    <t>攻击提升5%</t>
  </si>
  <si>
    <t>传承:神官的黄昏</t>
  </si>
  <si>
    <t>受到伤害有概率对目标造成1000点伤害</t>
  </si>
  <si>
    <t>职业</t>
  </si>
  <si>
    <t>传承:女王项链</t>
  </si>
  <si>
    <t>攻击有概率使自身攻击速度提升30%,持续5秒</t>
  </si>
  <si>
    <t>传承:黑暗毁灭者</t>
  </si>
  <si>
    <t>使用跳跃击技能会使自身移动速度提升30%,持续3秒</t>
  </si>
  <si>
    <t>传承:末日的决战</t>
  </si>
  <si>
    <t>回旋击+1</t>
  </si>
  <si>
    <t>其他技能+1</t>
  </si>
  <si>
    <t>传承:堕落的使者</t>
  </si>
  <si>
    <t>守护之击冷却时间缩减2秒</t>
  </si>
  <si>
    <t>传承:上层精灵的魔法</t>
  </si>
  <si>
    <t>光能灼烧+1</t>
  </si>
  <si>
    <t>传承:尽头之声</t>
  </si>
  <si>
    <t>受到伤害有概率出发抵抗状态,抵抗造成的异常状态,持续5秒</t>
  </si>
  <si>
    <t>抵抗状态</t>
  </si>
  <si>
    <t>传承:天籁长袍</t>
  </si>
  <si>
    <t>每次受到伤害有概率提升自身10%攻击,持续6秒</t>
  </si>
  <si>
    <t>传承:不败的意志</t>
  </si>
  <si>
    <t>受到普通攻击有10%概率免除自身造成的伤害</t>
  </si>
  <si>
    <t>传承:力量的召唤</t>
  </si>
  <si>
    <t>暴击率+5%</t>
  </si>
  <si>
    <t>传承:圣焰之剑</t>
  </si>
  <si>
    <t>使用跳跃击技能,冷却时间降低2秒</t>
  </si>
  <si>
    <t>传承:远古王者之刃</t>
  </si>
  <si>
    <t>使用冲锋击技能伤害提升50%</t>
  </si>
  <si>
    <t>传承:天堂的权杖</t>
  </si>
  <si>
    <t>攻击有一定概率提升自身的20%攻击速度,持续6秒</t>
  </si>
  <si>
    <t>传承:时光能量魔法</t>
  </si>
  <si>
    <t>使用龙卷雨击技能伤害提升50%</t>
  </si>
  <si>
    <t>传承:噩梦裁决者</t>
  </si>
  <si>
    <t>受到伤害有概率使攻击者移动速度降低30%,持续5秒</t>
  </si>
  <si>
    <t>传承:祝福者外衣</t>
  </si>
  <si>
    <t>提升自身攻击5%</t>
  </si>
  <si>
    <t>传承:怒之烈焰</t>
  </si>
  <si>
    <t>提升闪避概率+5%</t>
  </si>
  <si>
    <t>技能加成</t>
  </si>
  <si>
    <t>元素烈焰</t>
  </si>
  <si>
    <t>光能击</t>
  </si>
  <si>
    <t>攻</t>
  </si>
  <si>
    <t>提升伤害加成5%</t>
  </si>
  <si>
    <t>元素法球</t>
  </si>
  <si>
    <t>爆发状态</t>
  </si>
  <si>
    <t>爆焰燃烧</t>
  </si>
  <si>
    <t>防</t>
  </si>
  <si>
    <t>提升伤害减免5%</t>
  </si>
  <si>
    <t>跳跃击</t>
  </si>
  <si>
    <t>能量之球</t>
  </si>
  <si>
    <t>灼烧轰击</t>
  </si>
  <si>
    <t>技</t>
  </si>
  <si>
    <t>提升闪避率2%</t>
  </si>
  <si>
    <t>裂波击</t>
  </si>
  <si>
    <t>元素引力波</t>
  </si>
  <si>
    <t>光之击</t>
  </si>
  <si>
    <t>能量之地</t>
  </si>
  <si>
    <t>光能灼烧</t>
  </si>
  <si>
    <t>大魔导之影</t>
  </si>
  <si>
    <t>提升命中率2%</t>
  </si>
  <si>
    <t>不加</t>
  </si>
  <si>
    <t>冲锋击</t>
  </si>
  <si>
    <t>提升攻击穿透2%</t>
  </si>
  <si>
    <t>提升暴击率2%</t>
  </si>
  <si>
    <t>属性</t>
  </si>
  <si>
    <t>职业对应4</t>
  </si>
  <si>
    <t>提升抗暴率2%</t>
  </si>
  <si>
    <t>攻击15%概率提升自身10%攻击,持续6秒</t>
  </si>
  <si>
    <t>法术躲避</t>
  </si>
  <si>
    <t>提升魔法穿透2%</t>
  </si>
  <si>
    <t>物防提升5%</t>
  </si>
  <si>
    <t>忽视防御</t>
  </si>
  <si>
    <t>攻击时忽略目标5%防御</t>
  </si>
  <si>
    <t>物理躲避</t>
  </si>
  <si>
    <t>提升物理伤害加成2%</t>
  </si>
  <si>
    <t>魔防提升5%</t>
  </si>
  <si>
    <t>忽视魔防</t>
  </si>
  <si>
    <t>攻击时忽略目标5%魔防</t>
  </si>
  <si>
    <t>反击</t>
  </si>
  <si>
    <t>受到攻击后将10%的伤害反击给攻击者</t>
  </si>
  <si>
    <t>血量提升5%</t>
  </si>
  <si>
    <t>攻速</t>
  </si>
  <si>
    <t>抵抗</t>
  </si>
  <si>
    <t>暴击提升5%</t>
  </si>
  <si>
    <t>使你的暴击造成的伤害提高20%</t>
  </si>
  <si>
    <t>渐冻</t>
  </si>
  <si>
    <t>命中提升5%</t>
  </si>
  <si>
    <t>浴血奋战</t>
  </si>
  <si>
    <t>生命每降低10%,造成的伤害提升3%</t>
  </si>
  <si>
    <t>生命守护</t>
  </si>
  <si>
    <t>当生命降低至5%时获得3秒的无敌时间，10分钟生效一次。</t>
  </si>
  <si>
    <t>抗暴提升5%</t>
  </si>
  <si>
    <t>蓄势</t>
  </si>
  <si>
    <t>每次使用技能有5%概率触发聚精会神,下次攻击必定暴击,聚精会神状态持续30秒</t>
  </si>
  <si>
    <t>坚固</t>
  </si>
  <si>
    <t>每3秒,自身受到的伤害减少5%,可以累计10层，移动后清空所有伤害降低。</t>
  </si>
  <si>
    <t>闪避提升5%</t>
  </si>
  <si>
    <t>熟能生巧</t>
  </si>
  <si>
    <t>使用技能时有10%概率连续触发</t>
  </si>
  <si>
    <t>生命降低至30%时,防御力提高30%</t>
  </si>
  <si>
    <t>技能伤害提升5%</t>
  </si>
  <si>
    <t>重生</t>
  </si>
  <si>
    <t>受到最后一击时有5%概率立即恢复当前全部血量</t>
  </si>
  <si>
    <t>重击率提升5%</t>
  </si>
  <si>
    <t>暴击转换</t>
  </si>
  <si>
    <t>每次暴击有30%概率提升自身10%攻击,持续6秒</t>
  </si>
  <si>
    <t>闪避恢复</t>
  </si>
  <si>
    <t>每次闪避目标攻击有20%概率恢复自身最大生命的5%</t>
  </si>
  <si>
    <t>使用刀类武器提升5%</t>
  </si>
  <si>
    <t>使用剑类武器提升5%</t>
  </si>
  <si>
    <t>传承独有属性</t>
  </si>
  <si>
    <t>使用书类武器提升5%</t>
  </si>
  <si>
    <t>使用杖类武器提升5%</t>
  </si>
  <si>
    <t>禁锢之术冷却时间缩减2秒</t>
  </si>
  <si>
    <t>光能灼烧在成伤害提升25%</t>
  </si>
  <si>
    <t>效果:攻击有一定概率提升自身的20%攻击速度,持续6秒</t>
  </si>
  <si>
    <t>通用</t>
  </si>
  <si>
    <t>增强能力</t>
  </si>
  <si>
    <t>你的召唤物属性提升10%</t>
  </si>
  <si>
    <t>物伤增加</t>
  </si>
  <si>
    <t>物理伤害加成提升5%</t>
  </si>
  <si>
    <t>物伤减免</t>
  </si>
  <si>
    <t>魔伤增加</t>
  </si>
  <si>
    <t>魔法伤害加成提升5%</t>
  </si>
  <si>
    <t>魔伤减免</t>
  </si>
  <si>
    <t>冷却缩减</t>
  </si>
  <si>
    <t>双防提升10%，自动回复生命效果翻倍。</t>
  </si>
  <si>
    <t>新的饰品技能</t>
  </si>
  <si>
    <t>10级</t>
  </si>
  <si>
    <t>一个圆形技能,延迟2秒造成高额伤害</t>
  </si>
  <si>
    <t>1.5秒后对目标范围释放法术造成275%伤害</t>
  </si>
  <si>
    <t>延迟技能</t>
  </si>
  <si>
    <t>燃烧之火</t>
  </si>
  <si>
    <t>20级</t>
  </si>
  <si>
    <t>自己扣血,并持续对周围玩家造成伤害的技能</t>
  </si>
  <si>
    <t>自身每秒损失当前生命的1%,持续对周围每秒造成100%伤害</t>
  </si>
  <si>
    <t>开关技能</t>
  </si>
  <si>
    <t>守护者的准则</t>
  </si>
  <si>
    <t>30级</t>
  </si>
  <si>
    <t>攻击时有一定概率立即对目标造成当前血量1%的伤害</t>
  </si>
  <si>
    <t>对自身范围内的敌方单位造成200%伤害,并产生击退效果</t>
  </si>
  <si>
    <t>神圣战斗之锚</t>
  </si>
  <si>
    <t>40级</t>
  </si>
  <si>
    <t>攻击时有一定概率使自身攻击速度提升20%</t>
  </si>
  <si>
    <t>对前方区域发射一个缓慢移动的飓风，飓风对触碰到的单位造成200%伤害,并眩晕1秒</t>
  </si>
  <si>
    <t>已有效果</t>
  </si>
  <si>
    <t>图腾之灵</t>
  </si>
  <si>
    <t>50级</t>
  </si>
  <si>
    <t>对自身范围内的敌方单位造成300%伤害,并产生击退效果</t>
  </si>
  <si>
    <t>在图腾范围内,己方单位的伤害和攻击速度提升10%,目标伤害和移动速度降低10%,每秒造成50%伤害</t>
  </si>
  <si>
    <t>禁术召唤</t>
  </si>
  <si>
    <t>远程移动光球</t>
  </si>
  <si>
    <t>召唤一个自爆士兵,自爆士兵会自动靠近单位，对目标范围内造成300%伤害并眩晕1秒,士兵继承召唤者10%的血量</t>
  </si>
  <si>
    <t>攻击阵法</t>
  </si>
  <si>
    <t>对目标区域每秒造成75%伤害,持续9秒</t>
  </si>
  <si>
    <t>提升自身20%伤害,持续12秒</t>
  </si>
  <si>
    <t>咏歌者护符</t>
  </si>
  <si>
    <t>10级护符</t>
  </si>
  <si>
    <t>生命上限提升3%</t>
  </si>
  <si>
    <t>追光狩猎之戒</t>
  </si>
  <si>
    <t>20级戒指</t>
  </si>
  <si>
    <t>移动速度+3%</t>
  </si>
  <si>
    <t>闪电灵巧护符</t>
  </si>
  <si>
    <t>30级护符</t>
  </si>
  <si>
    <t>闪避概率+3%</t>
  </si>
  <si>
    <t>立即对当前目标造成275%伤害</t>
  </si>
  <si>
    <t>无尽时光戒指</t>
  </si>
  <si>
    <t>40级戒指</t>
  </si>
  <si>
    <t>每次使用技能有一定概率不消耗技能冷却时间</t>
  </si>
  <si>
    <t>对目标群体立即造成250%伤害</t>
  </si>
  <si>
    <t>生命永恒之符</t>
  </si>
  <si>
    <t>50级护符</t>
  </si>
  <si>
    <t>受到伤害有概率回复自身5%最大生命值</t>
  </si>
  <si>
    <t>对目标群体立即造成200%伤害,并使其减速20%,持续6秒</t>
  </si>
  <si>
    <t>雷鸣攻击之戒</t>
  </si>
  <si>
    <t>50级戒指</t>
  </si>
  <si>
    <t>己方附近单位造成伤害提升2%</t>
  </si>
  <si>
    <t>消逝者的腰带</t>
  </si>
  <si>
    <t>10级腰带</t>
  </si>
  <si>
    <t>冷却时间缩减5%</t>
  </si>
  <si>
    <t>对前方区域造成300%伤害</t>
  </si>
  <si>
    <t>幸运者之手</t>
  </si>
  <si>
    <t>10级手套</t>
  </si>
  <si>
    <t>幸运值+1</t>
  </si>
  <si>
    <t>破军冲锋护腿</t>
  </si>
  <si>
    <t>20级护腿</t>
  </si>
  <si>
    <t>前冲距离+1</t>
  </si>
  <si>
    <t>速之灵手套</t>
  </si>
  <si>
    <t>30级手套</t>
  </si>
  <si>
    <t>攻击速度+3%</t>
  </si>
  <si>
    <t>战斗爆裂头盔</t>
  </si>
  <si>
    <t>40级头盔</t>
  </si>
  <si>
    <t>暴击率+3%</t>
  </si>
  <si>
    <t>重力灵犀腰带</t>
  </si>
  <si>
    <t>50级腰带</t>
  </si>
  <si>
    <t>重击5%腰带</t>
  </si>
  <si>
    <t>史诗宝石？带技能的,最多只能装备3个？史诗宝石一旦装备无法拆卸</t>
  </si>
  <si>
    <t>十二生肖</t>
  </si>
  <si>
    <t>子·鼠</t>
  </si>
  <si>
    <t>丑·牛</t>
  </si>
  <si>
    <t>寅·虎</t>
  </si>
  <si>
    <t>卯·兔</t>
  </si>
  <si>
    <t>辰·龙</t>
  </si>
  <si>
    <t>巳·蛇</t>
  </si>
  <si>
    <t>午·马</t>
  </si>
  <si>
    <t>未·羊</t>
  </si>
  <si>
    <t>申·猴</t>
  </si>
  <si>
    <t>酉·鸡</t>
  </si>
  <si>
    <t>戌·狗</t>
  </si>
  <si>
    <t>亥·猪</t>
  </si>
  <si>
    <t>1-10</t>
  </si>
  <si>
    <t>子鼠</t>
  </si>
  <si>
    <t>破晓</t>
  </si>
  <si>
    <t>5-15</t>
  </si>
  <si>
    <t>丑牛</t>
  </si>
  <si>
    <t>破风</t>
  </si>
  <si>
    <t>10-20</t>
  </si>
  <si>
    <t>寅虎</t>
  </si>
  <si>
    <t>破军</t>
  </si>
  <si>
    <t>卯兔</t>
  </si>
  <si>
    <t>洪流</t>
  </si>
  <si>
    <t>辰龙</t>
  </si>
  <si>
    <t>挽歌</t>
  </si>
  <si>
    <t>体质+耐力</t>
  </si>
  <si>
    <t>力量+智力</t>
  </si>
  <si>
    <t>巳蛇</t>
  </si>
  <si>
    <t>逐风</t>
  </si>
  <si>
    <t>智力+敏捷</t>
  </si>
  <si>
    <t>午马</t>
  </si>
  <si>
    <t>利刃</t>
  </si>
  <si>
    <t>力量+耐力</t>
  </si>
  <si>
    <t>耐力+敏捷</t>
  </si>
  <si>
    <t>未羊</t>
  </si>
  <si>
    <t>战魂</t>
  </si>
  <si>
    <t>体质+敏捷</t>
  </si>
  <si>
    <t>申猴</t>
  </si>
  <si>
    <t>清风</t>
  </si>
  <si>
    <t>体质+智力</t>
  </si>
  <si>
    <t>酉鸡</t>
  </si>
  <si>
    <t>天刺</t>
  </si>
  <si>
    <t>力量+敏捷</t>
  </si>
  <si>
    <t>戌狗</t>
  </si>
  <si>
    <t>惊鸿</t>
  </si>
  <si>
    <t>亥猪</t>
  </si>
  <si>
    <t>寒裂</t>
  </si>
  <si>
    <t>智力+耐力</t>
  </si>
  <si>
    <t>天启</t>
  </si>
  <si>
    <t>1301 子·鼠3级</t>
  </si>
  <si>
    <t>天正</t>
  </si>
  <si>
    <t>1302 丑·牛3级</t>
  </si>
  <si>
    <t>天罡</t>
  </si>
  <si>
    <t>1303 寅·虎3级</t>
  </si>
  <si>
    <t>白鸿</t>
  </si>
  <si>
    <t>1304 卯·兔3级</t>
  </si>
  <si>
    <t>紫金</t>
  </si>
  <si>
    <t>1305 辰·龙3级</t>
  </si>
  <si>
    <t>修罗</t>
  </si>
  <si>
    <t>1306 巳·蛇3级</t>
  </si>
  <si>
    <t>金甲</t>
  </si>
  <si>
    <t>1307 午·马3级</t>
  </si>
  <si>
    <t>苍穹</t>
  </si>
  <si>
    <t>1308 未·羊3级</t>
  </si>
  <si>
    <t>龙牙</t>
  </si>
  <si>
    <t>1309 申·猴3级</t>
  </si>
  <si>
    <t>漠灵</t>
  </si>
  <si>
    <t>1310 酉·鸡3级</t>
  </si>
  <si>
    <t>无尽</t>
  </si>
  <si>
    <t>1311 戌·狗3级</t>
  </si>
  <si>
    <t>焚天</t>
  </si>
  <si>
    <t>1312 亥·猪3级</t>
  </si>
  <si>
    <t>生肖之灵</t>
  </si>
  <si>
    <t xml:space="preserve">暴击+1%   魔防+1%   法术+1%  </t>
  </si>
  <si>
    <t>每天产出</t>
  </si>
  <si>
    <t xml:space="preserve">命中+1%   物防+1%   攻击+1%   </t>
  </si>
  <si>
    <t>闪避+1%   抗暴+1%   血量+1%</t>
  </si>
  <si>
    <t>分解</t>
  </si>
  <si>
    <t xml:space="preserve">伤害+1%  </t>
  </si>
  <si>
    <t>合成</t>
  </si>
  <si>
    <t>boss掉率</t>
  </si>
  <si>
    <t>30级后开掉率</t>
  </si>
  <si>
    <t>每天杀</t>
  </si>
  <si>
    <t>生肖之灵掉落</t>
  </si>
  <si>
    <t>子鼠·破晓</t>
  </si>
  <si>
    <t>丑牛·破风</t>
  </si>
  <si>
    <t>寅虎·破军</t>
  </si>
  <si>
    <t>卯兔·洪流</t>
  </si>
  <si>
    <t>辰龙·挽歌</t>
  </si>
  <si>
    <t>巳蛇·逐风</t>
  </si>
  <si>
    <t>午马·利刃</t>
  </si>
  <si>
    <t>未羊·战魂</t>
  </si>
  <si>
    <t>申猴·清风</t>
  </si>
  <si>
    <t>酉鸡·天刺</t>
  </si>
  <si>
    <t>戌狗·惊鸿</t>
  </si>
  <si>
    <t>亥猪·寒裂</t>
  </si>
  <si>
    <t>子鼠·天启</t>
  </si>
  <si>
    <t>丑牛·天正</t>
  </si>
  <si>
    <t>寅虎·天罡</t>
  </si>
  <si>
    <t>卯兔·白鸿</t>
  </si>
  <si>
    <t>辰龙·紫金</t>
  </si>
  <si>
    <t>巳蛇·修罗</t>
  </si>
  <si>
    <t>午马·金甲</t>
  </si>
  <si>
    <t>未羊·苍穹</t>
  </si>
  <si>
    <t>申猴·龙牙</t>
  </si>
  <si>
    <t>酉鸡·漠灵</t>
  </si>
  <si>
    <t>戌狗·无尽</t>
  </si>
  <si>
    <t>亥猪·焚天</t>
  </si>
  <si>
    <t>60开启</t>
  </si>
  <si>
    <t>第一步</t>
  </si>
  <si>
    <t>开启觉醒</t>
  </si>
  <si>
    <t>金币500万开启</t>
  </si>
  <si>
    <t>通过最后一个副本</t>
  </si>
  <si>
    <t>击杀怪物</t>
  </si>
  <si>
    <t>1000个</t>
  </si>
  <si>
    <t>上交灿烂的精华</t>
  </si>
  <si>
    <t>30个</t>
  </si>
  <si>
    <t>寻人</t>
  </si>
  <si>
    <t>击败领主级怪物</t>
  </si>
  <si>
    <t>需要无色</t>
  </si>
  <si>
    <t>评分达到</t>
  </si>
  <si>
    <t>封印之塔</t>
  </si>
  <si>
    <t>55层</t>
  </si>
  <si>
    <t>击败第六章地狱难度</t>
  </si>
  <si>
    <t>1次</t>
  </si>
  <si>
    <t>终</t>
  </si>
  <si>
    <t>释放觉醒需要消耗2个无色晶体</t>
  </si>
  <si>
    <t>觉醒技能设计</t>
  </si>
  <si>
    <t>觉醒技能对怪物伤害提升3倍</t>
  </si>
  <si>
    <t>觉醒技能不占技能格子 愤怒值到了就可以用？</t>
  </si>
  <si>
    <t>元素</t>
  </si>
  <si>
    <t>向前方发一波法球,一排发5个 发6排</t>
  </si>
  <si>
    <t>元素:能量之源</t>
  </si>
  <si>
    <t>每次超前方释放5个法球，每个法球可以对目标造成300%伤害，持续3个波次</t>
  </si>
  <si>
    <t>Eff_Skill_QiuMove_1</t>
  </si>
  <si>
    <t>受到攻击增加5点</t>
  </si>
  <si>
    <t>御剑</t>
  </si>
  <si>
    <t>对一个地方释放剑气,大范围进行攻击,在范围内的目标无法移动</t>
  </si>
  <si>
    <t>驭剑:剑气磁场</t>
  </si>
  <si>
    <t>对一个地方释放剑气，强大的磁场使目标无法移动,每秒造成200%伤害,持续5秒</t>
  </si>
  <si>
    <t>Eff_Skill_BaoZha_27(单独放大) + Eff_Skill_BaoZha_42</t>
  </si>
  <si>
    <t>普通攻击攻击别人增加5点</t>
  </si>
  <si>
    <t>狂战士</t>
  </si>
  <si>
    <t>觉醒模式,达到一定阈值,开始释放对目标持续范围进行轰击并无法移动</t>
  </si>
  <si>
    <t>魔神:洪荒之力</t>
  </si>
  <si>
    <t>每次普通攻击会在目标身上产生爆炸,对目标范围造成200%伤害,持续6秒</t>
  </si>
  <si>
    <t>Eff_Skill_BaoZha_11(</t>
  </si>
  <si>
    <t>技能攻击目标增加1点</t>
  </si>
  <si>
    <t>累计300点进行释放</t>
  </si>
  <si>
    <t>魔导</t>
  </si>
  <si>
    <t>量子炸弹</t>
  </si>
  <si>
    <t>魔导:量子炸弹</t>
  </si>
  <si>
    <t>在目标区域释放一个光柱，光柱会跟随目标移动，每秒造成180%伤害,持续5秒</t>
  </si>
  <si>
    <t>Eff_Skill_ChuanSong_1b 做多</t>
  </si>
  <si>
    <t>光灵</t>
  </si>
  <si>
    <t>对一个区域持续性的造成大量的伤害,并使其范围内禁止移动</t>
  </si>
  <si>
    <t>光灵:契约风暴</t>
  </si>
  <si>
    <t>对一个区域释放契约风暴,对范围内的怪物每秒造成200%伤害,持续6秒</t>
  </si>
  <si>
    <t>Eff_Skill_BaoZha_32</t>
  </si>
  <si>
    <t>5分钟内 只能释放一次</t>
  </si>
  <si>
    <t>牧师</t>
  </si>
  <si>
    <t>绝对领域,在领域范围内不时有技能落下,对目标造成伤害</t>
  </si>
  <si>
    <t>神圣:绝对领域</t>
  </si>
  <si>
    <t>在领域范围内不时有雷击落下,对目标造成300%伤害,持续12秒</t>
  </si>
  <si>
    <t>Eff_Skill_ChiXu_4(变透明)</t>
  </si>
  <si>
    <t>备用</t>
  </si>
  <si>
    <t>释放一个巨大的能量球,在能量球附近的怪物都会吸引过来</t>
  </si>
  <si>
    <t>对前方区域持续轰击,轰击的目标</t>
  </si>
  <si>
    <t>被动技能</t>
  </si>
  <si>
    <t>霸体</t>
  </si>
  <si>
    <t>受到眩晕攻击有概率触发自身霸体状态,持续3秒</t>
  </si>
  <si>
    <t>大恶魔属性</t>
  </si>
  <si>
    <t>当前血量X10倍</t>
  </si>
  <si>
    <t>丢前面范围技能</t>
  </si>
  <si>
    <t>技能闪避</t>
  </si>
  <si>
    <t>受到技能伤害有5%/10%的概率进行闪避</t>
  </si>
  <si>
    <t>攻击属性*3</t>
  </si>
  <si>
    <t>跳跃技能+眩晕</t>
  </si>
  <si>
    <t>普通闪避</t>
  </si>
  <si>
    <t>受到伤害有2.5%/5%概率进行闪避</t>
  </si>
  <si>
    <t>免疫眩晕</t>
  </si>
  <si>
    <t>恢复己方20%的生命值</t>
  </si>
  <si>
    <t>抗暴抵抗</t>
  </si>
  <si>
    <t>受到暴击有5%/10%的概率进行抵抗</t>
  </si>
  <si>
    <t>强化力量</t>
  </si>
  <si>
    <t>强化敏捷</t>
  </si>
  <si>
    <t>强化智力</t>
  </si>
  <si>
    <t>强化耐力</t>
  </si>
  <si>
    <t>强化体质</t>
  </si>
  <si>
    <t>小恶魔属性</t>
  </si>
  <si>
    <t>当前血量X3倍</t>
  </si>
  <si>
    <t>攻击属性*2</t>
  </si>
  <si>
    <t>出售获得金币</t>
  </si>
  <si>
    <t>第一章</t>
  </si>
  <si>
    <t>第二章</t>
  </si>
  <si>
    <t>第三章</t>
  </si>
  <si>
    <t>魔御</t>
  </si>
  <si>
    <t>技能伤害</t>
  </si>
  <si>
    <t>章节</t>
  </si>
  <si>
    <t>出售金币</t>
  </si>
  <si>
    <t>特殊增幅</t>
  </si>
  <si>
    <t>幸运</t>
  </si>
  <si>
    <t>龙鸣之盔</t>
  </si>
  <si>
    <t>贤者之盔</t>
  </si>
  <si>
    <t>无畏之盔</t>
  </si>
  <si>
    <t>龙鸣之手</t>
  </si>
  <si>
    <t>贤者之手</t>
  </si>
  <si>
    <t>无畏之手</t>
  </si>
  <si>
    <t>龙鸣之带</t>
  </si>
  <si>
    <t>贤者之带</t>
  </si>
  <si>
    <t>无畏之带</t>
  </si>
  <si>
    <t>龙鸣之靴</t>
  </si>
  <si>
    <t>贤者之靴</t>
  </si>
  <si>
    <t>无畏之靴</t>
  </si>
  <si>
    <t>龙鸣之腿</t>
  </si>
  <si>
    <t>贤者之腿</t>
  </si>
  <si>
    <t>无畏之腿</t>
  </si>
  <si>
    <t>森灵之链</t>
  </si>
  <si>
    <t>森灵之戒</t>
  </si>
  <si>
    <t>森灵之坠</t>
  </si>
  <si>
    <t>森灵之符</t>
  </si>
  <si>
    <t>森灵之剑</t>
  </si>
  <si>
    <t>森灵之刃</t>
  </si>
  <si>
    <t>森灵权杖</t>
  </si>
  <si>
    <t>森灵之书</t>
  </si>
  <si>
    <t>龙鸣之甲</t>
  </si>
  <si>
    <t>贤者之衣</t>
  </si>
  <si>
    <t>无畏之甲</t>
  </si>
  <si>
    <t>森林晶体</t>
  </si>
  <si>
    <t>森林印记</t>
  </si>
  <si>
    <t>森林奖章</t>
  </si>
  <si>
    <t>龙脊之盔</t>
  </si>
  <si>
    <t>魔灵之盔</t>
  </si>
  <si>
    <t>秩序之盔</t>
  </si>
  <si>
    <t>龙脊之手</t>
  </si>
  <si>
    <t>魔灵之手</t>
  </si>
  <si>
    <t>秩序之手</t>
  </si>
  <si>
    <t>龙脊之带</t>
  </si>
  <si>
    <t>魔灵之带</t>
  </si>
  <si>
    <t>秩序之带</t>
  </si>
  <si>
    <t>龙脊之靴</t>
  </si>
  <si>
    <t>魔灵之靴</t>
  </si>
  <si>
    <t>秩序之靴</t>
  </si>
  <si>
    <t>龙脊之腿</t>
  </si>
  <si>
    <t>魔灵之腿</t>
  </si>
  <si>
    <t>秩序之腿</t>
  </si>
  <si>
    <t>流光之链</t>
  </si>
  <si>
    <t>流光之戒</t>
  </si>
  <si>
    <t>流光之灵</t>
  </si>
  <si>
    <t>流光之符</t>
  </si>
  <si>
    <t>流光之剑</t>
  </si>
  <si>
    <t>流光战刃</t>
  </si>
  <si>
    <t>流光之杖</t>
  </si>
  <si>
    <t>流光之书</t>
  </si>
  <si>
    <t>龙脊之甲</t>
  </si>
  <si>
    <t>魔灵之甲</t>
  </si>
  <si>
    <t>秩序之甲</t>
  </si>
  <si>
    <t>荒漠晶体</t>
  </si>
  <si>
    <t>荒漠印记</t>
  </si>
  <si>
    <t>荒漠奖章</t>
  </si>
  <si>
    <t>银月之盔</t>
  </si>
  <si>
    <t>风暴之盔</t>
  </si>
  <si>
    <t>无尽之盔</t>
  </si>
  <si>
    <t>银月之手</t>
  </si>
  <si>
    <t>风暴之手</t>
  </si>
  <si>
    <t>无尽之手</t>
  </si>
  <si>
    <t>银月之带</t>
  </si>
  <si>
    <t>风暴之带</t>
  </si>
  <si>
    <t>无尽之带</t>
  </si>
  <si>
    <t>银月之靴</t>
  </si>
  <si>
    <t>风暴之靴</t>
  </si>
  <si>
    <t>无尽之靴</t>
  </si>
  <si>
    <t>银月之腿</t>
  </si>
  <si>
    <t>风暴之腿</t>
  </si>
  <si>
    <t>无尽之腿</t>
  </si>
  <si>
    <t>冰封之链</t>
  </si>
  <si>
    <t>冰封之戒</t>
  </si>
  <si>
    <t>冰封之灵</t>
  </si>
  <si>
    <t>冰封之符</t>
  </si>
  <si>
    <t>冰封之剑</t>
  </si>
  <si>
    <t>冰封战刃</t>
  </si>
  <si>
    <t>冰封之仗</t>
  </si>
  <si>
    <t>冰封之书</t>
  </si>
  <si>
    <t>银月之甲</t>
  </si>
  <si>
    <t>风暴之甲</t>
  </si>
  <si>
    <t>无尽之甲</t>
  </si>
  <si>
    <t>冰封晶体</t>
  </si>
  <si>
    <t>冰封印记</t>
  </si>
  <si>
    <t>冰封奖章</t>
  </si>
  <si>
    <t>第四章</t>
  </si>
  <si>
    <t>命运之盔</t>
  </si>
  <si>
    <t>圣灵之盔</t>
  </si>
  <si>
    <t>破灵之盔</t>
  </si>
  <si>
    <t>命运之手</t>
  </si>
  <si>
    <t>圣灵之手</t>
  </si>
  <si>
    <t>破灵之手</t>
  </si>
  <si>
    <t>命运之带</t>
  </si>
  <si>
    <t>圣灵之带</t>
  </si>
  <si>
    <t>破灵之带</t>
  </si>
  <si>
    <t>命运之靴</t>
  </si>
  <si>
    <t>圣灵之靴</t>
  </si>
  <si>
    <t>破灵之靴</t>
  </si>
  <si>
    <t>命运之腿</t>
  </si>
  <si>
    <t>圣灵之腿</t>
  </si>
  <si>
    <t>破灵之腿</t>
  </si>
  <si>
    <t>唤灵之链</t>
  </si>
  <si>
    <t>唤灵之戒</t>
  </si>
  <si>
    <t>唤灵之灵</t>
  </si>
  <si>
    <t>唤灵之符</t>
  </si>
  <si>
    <t>唤灵之剑</t>
  </si>
  <si>
    <t>唤灵之刀</t>
  </si>
  <si>
    <t>唤灵之杖</t>
  </si>
  <si>
    <t>唤灵之书</t>
  </si>
  <si>
    <t>命运之甲</t>
  </si>
  <si>
    <t>圣灵之甲</t>
  </si>
  <si>
    <t>破灵之甲</t>
  </si>
  <si>
    <t>暮色晶体</t>
  </si>
  <si>
    <t>暮色印记</t>
  </si>
  <si>
    <t>暮色奖章</t>
  </si>
  <si>
    <t>第五章</t>
  </si>
  <si>
    <t>风灵之盔</t>
  </si>
  <si>
    <t>神谕之盔</t>
  </si>
  <si>
    <t>永恒之盔</t>
  </si>
  <si>
    <t>风灵之手</t>
  </si>
  <si>
    <t>神谕之手</t>
  </si>
  <si>
    <t>永恒之手</t>
  </si>
  <si>
    <t>风灵之带</t>
  </si>
  <si>
    <t>神谕之带</t>
  </si>
  <si>
    <t>永恒之带</t>
  </si>
  <si>
    <t>风灵之靴</t>
  </si>
  <si>
    <t>神谕之靴</t>
  </si>
  <si>
    <t>永恒之靴</t>
  </si>
  <si>
    <t>风灵之腿</t>
  </si>
  <si>
    <t>神谕之腿</t>
  </si>
  <si>
    <t>永恒之腿</t>
  </si>
  <si>
    <t>炙热之链</t>
  </si>
  <si>
    <t>炙热之戒</t>
  </si>
  <si>
    <t>炙热之灵</t>
  </si>
  <si>
    <t>炙热之符</t>
  </si>
  <si>
    <t>炙热之剑</t>
  </si>
  <si>
    <t>炙热战刃</t>
  </si>
  <si>
    <t>炙热之杖</t>
  </si>
  <si>
    <t>炙热之书</t>
  </si>
  <si>
    <t>风灵之甲</t>
  </si>
  <si>
    <t>神谕之甲</t>
  </si>
  <si>
    <t>永恒之甲</t>
  </si>
  <si>
    <t>炙热晶体</t>
  </si>
  <si>
    <t>炙热印记</t>
  </si>
  <si>
    <t>炙热奖章</t>
  </si>
  <si>
    <t>拾取金币</t>
  </si>
  <si>
    <t>加血</t>
  </si>
  <si>
    <t>加攻击</t>
  </si>
  <si>
    <t>加防御</t>
  </si>
  <si>
    <t>加移动速度</t>
  </si>
  <si>
    <t>释放前冲技能</t>
  </si>
  <si>
    <t>抓捕概率</t>
  </si>
  <si>
    <t>宠物被动属性-全属性提高10点</t>
  </si>
  <si>
    <t>饥饿</t>
  </si>
  <si>
    <t>获取系数</t>
  </si>
  <si>
    <t>获取方式</t>
  </si>
  <si>
    <t>需要喂食</t>
  </si>
  <si>
    <t>野外遇到</t>
  </si>
  <si>
    <t>幸运星</t>
  </si>
  <si>
    <t>每天会随机给你一些金币！</t>
  </si>
  <si>
    <t>浣熊精灵</t>
  </si>
  <si>
    <t>帮助玩家主动拾取地上的金币</t>
  </si>
  <si>
    <t>充值</t>
  </si>
  <si>
    <t>贪婪龟</t>
  </si>
  <si>
    <t>帮助玩家主动拾取地上的金币和道具</t>
  </si>
  <si>
    <t>每次玩家进入战斗,会有概率召唤自己的一个分身协助玩家进行战斗</t>
  </si>
  <si>
    <t>灯鱼精灵</t>
  </si>
  <si>
    <t>每次玩家在战斗中受到伤害，有概率释放自己的治愈能力,恢复一定生命值.</t>
  </si>
  <si>
    <t>提升玩家自身10%主属性(会在力量、智力、敏捷、体质、耐力中选择最高的一个)</t>
  </si>
  <si>
    <t>金钱豹</t>
  </si>
  <si>
    <t>在敌人身上获得金币的数量提升5%</t>
  </si>
  <si>
    <t>抓</t>
  </si>
  <si>
    <t>1万5充值</t>
  </si>
  <si>
    <t>芭比扣</t>
  </si>
  <si>
    <t>远程打开仓库</t>
  </si>
  <si>
    <t>提升20%的暴击造成的伤害</t>
  </si>
  <si>
    <t>不抓</t>
  </si>
  <si>
    <t>熊熊</t>
  </si>
  <si>
    <t>每次玩家进入战斗会给起释放一个防御状态,使其攻击受到伤害降低5%,持续30秒</t>
  </si>
  <si>
    <t>每间隔一段时间会解除玩家身上所有的异常状态</t>
  </si>
  <si>
    <t>精灵碎片</t>
  </si>
  <si>
    <t>魔焰</t>
  </si>
  <si>
    <t>在玩家附近有敌人出现会出现随机火焰攻击命中敌人</t>
  </si>
  <si>
    <t>1-3碎片</t>
  </si>
  <si>
    <t>签到</t>
  </si>
  <si>
    <t>波比</t>
  </si>
  <si>
    <t>每次玩家进入战斗会释放一个攻击状态,使其攻击上升5%,持续30秒</t>
  </si>
  <si>
    <t>鬼鬼</t>
  </si>
  <si>
    <t>当玩家身上血量降低至30%时会在玩家周围释放一个范围技能,造成2秒眩晕</t>
  </si>
  <si>
    <t>1天产出</t>
  </si>
  <si>
    <t>调皮精灵</t>
  </si>
  <si>
    <t>每次使用技能都有概率额外向前释放一个冲击波技能</t>
  </si>
  <si>
    <t>100碎片</t>
  </si>
  <si>
    <t>换一个</t>
  </si>
  <si>
    <t>波波</t>
  </si>
  <si>
    <t>在敌人身上总能多发现一些无色晶体</t>
  </si>
  <si>
    <t>精灵可以被打死</t>
  </si>
  <si>
    <t>华华</t>
  </si>
  <si>
    <t>每天遇到3-5个</t>
  </si>
  <si>
    <t>呆呆</t>
  </si>
  <si>
    <t>每次玩家受到攻击伤害,有概率会在玩家附近释放一个范围技能,造成伤害</t>
  </si>
  <si>
    <t>抓捕成功概率</t>
  </si>
  <si>
    <t>南瓜恶人</t>
  </si>
  <si>
    <t>每天碎片</t>
  </si>
  <si>
    <t>碎片产出天数</t>
  </si>
  <si>
    <t>抓球概率</t>
  </si>
  <si>
    <t>宠物</t>
  </si>
  <si>
    <t>每天</t>
  </si>
  <si>
    <t>成功率</t>
  </si>
  <si>
    <t>每天出现</t>
  </si>
  <si>
    <t>战斗血量恢复速度</t>
  </si>
  <si>
    <t>抗暴率</t>
  </si>
  <si>
    <t>血量加成</t>
  </si>
  <si>
    <t>暴击伤害加成</t>
  </si>
  <si>
    <t>命中率</t>
  </si>
  <si>
    <t>暴击加成</t>
  </si>
  <si>
    <t>4,4</t>
  </si>
  <si>
    <t>5,5</t>
  </si>
  <si>
    <t>攻击+物防</t>
  </si>
  <si>
    <t>暴击率</t>
  </si>
  <si>
    <t>8,4</t>
  </si>
  <si>
    <t>10,5</t>
  </si>
  <si>
    <t>技能伤害+魔防</t>
  </si>
  <si>
    <t>技能伤害加成</t>
  </si>
  <si>
    <r>
      <rPr>
        <sz val="10"/>
        <color theme="1"/>
        <rFont val="等线"/>
        <family val="3"/>
        <charset val="134"/>
      </rPr>
      <t>6</t>
    </r>
    <r>
      <rPr>
        <sz val="10"/>
        <color theme="1"/>
        <rFont val="等线"/>
        <family val="3"/>
        <charset val="134"/>
      </rPr>
      <t>,6</t>
    </r>
  </si>
  <si>
    <t>物防+魔防</t>
  </si>
  <si>
    <t>闪避率</t>
  </si>
  <si>
    <t>二级属性</t>
  </si>
  <si>
    <t>三级属性</t>
  </si>
  <si>
    <t>生活技能</t>
  </si>
  <si>
    <t>韧性概率</t>
  </si>
  <si>
    <t>宝石</t>
  </si>
  <si>
    <t>伤害见面</t>
  </si>
  <si>
    <t>破甲：攻击忽视受击方防御的百分比</t>
  </si>
  <si>
    <t>单个装备宝石孔位系数</t>
  </si>
  <si>
    <t>调整系数</t>
  </si>
  <si>
    <t>单个宝石血量</t>
  </si>
  <si>
    <t>单个宝石攻击</t>
  </si>
  <si>
    <t>单个宝石防御</t>
  </si>
  <si>
    <t>装备数量</t>
  </si>
  <si>
    <t>孔位颜色</t>
  </si>
  <si>
    <t>名字</t>
  </si>
  <si>
    <t>属性放大系数</t>
  </si>
  <si>
    <t>黄色孔位</t>
  </si>
  <si>
    <t>优秀的防护石</t>
  </si>
  <si>
    <t>优良的赤尖石</t>
  </si>
  <si>
    <t>攻击+6  魔防+4</t>
  </si>
  <si>
    <t>紫色孔</t>
  </si>
  <si>
    <t>优秀</t>
  </si>
  <si>
    <t>赤精石</t>
  </si>
  <si>
    <t>单属性最大系数</t>
  </si>
  <si>
    <t>紫色孔位</t>
  </si>
  <si>
    <t>精良的防护石</t>
  </si>
  <si>
    <t>优良的碧蓝石</t>
  </si>
  <si>
    <t>暴击等级+6  命中等级+6</t>
  </si>
  <si>
    <t>蓝色孔</t>
  </si>
  <si>
    <t>精良</t>
  </si>
  <si>
    <t>防护石</t>
  </si>
  <si>
    <t>蓝色孔位</t>
  </si>
  <si>
    <t>精致的防护石</t>
  </si>
  <si>
    <t>优良的红曜石</t>
  </si>
  <si>
    <t xml:space="preserve">暴击等级+10  </t>
  </si>
  <si>
    <t>白色孔</t>
  </si>
  <si>
    <t>精致</t>
  </si>
  <si>
    <t>魔能石</t>
  </si>
  <si>
    <t>宝石等级</t>
  </si>
  <si>
    <t>绿色孔位</t>
  </si>
  <si>
    <t>完美的防护石</t>
  </si>
  <si>
    <t>优良的冲击石</t>
  </si>
  <si>
    <t xml:space="preserve">攻击+10  </t>
  </si>
  <si>
    <t>完美</t>
  </si>
  <si>
    <t>碧莹石</t>
  </si>
  <si>
    <t>体制</t>
  </si>
  <si>
    <t>精致的赤尖石</t>
  </si>
  <si>
    <t>攻击+12  魔防+8</t>
  </si>
  <si>
    <t>冲击石</t>
  </si>
  <si>
    <t>对应孔位</t>
  </si>
  <si>
    <t>宝石名称</t>
  </si>
  <si>
    <t>成长宝石</t>
  </si>
  <si>
    <t>数量</t>
  </si>
  <si>
    <t>精致的碧蓝石</t>
  </si>
  <si>
    <t>暴击等级+10  命中等级+10</t>
  </si>
  <si>
    <t>黎明石</t>
  </si>
  <si>
    <t>优秀的赤精石</t>
  </si>
  <si>
    <t>攻击+20</t>
  </si>
  <si>
    <t>1级宝石</t>
  </si>
  <si>
    <t>精致的红曜石</t>
  </si>
  <si>
    <t xml:space="preserve">暴击等级+20  </t>
  </si>
  <si>
    <t>碧蓝石</t>
  </si>
  <si>
    <t>生命+40 物理防御+10 魔法防御+10</t>
  </si>
  <si>
    <t>2级宝石</t>
  </si>
  <si>
    <t>精致的冲击石</t>
  </si>
  <si>
    <t xml:space="preserve">攻击+20  </t>
  </si>
  <si>
    <t>精韧石</t>
  </si>
  <si>
    <t>优秀的生命石</t>
  </si>
  <si>
    <t>生命+110</t>
  </si>
  <si>
    <t>3级宝石</t>
  </si>
  <si>
    <t>闪耀的赤尖石</t>
  </si>
  <si>
    <t>攻击+24  魔防+16</t>
  </si>
  <si>
    <t>优秀的碧莹石</t>
  </si>
  <si>
    <t>生命+75 物理防御+10</t>
  </si>
  <si>
    <t>4级宝石</t>
  </si>
  <si>
    <t>闪耀的碧蓝石</t>
  </si>
  <si>
    <t>暴击等级+16  命中等级+16</t>
  </si>
  <si>
    <t>优化宝石属性</t>
  </si>
  <si>
    <t>优秀的黎明石</t>
  </si>
  <si>
    <t>生命+75 魔法防御+10</t>
  </si>
  <si>
    <t>5级宝石</t>
  </si>
  <si>
    <t>闪耀的红曜石</t>
  </si>
  <si>
    <t xml:space="preserve">暴击等级+30  </t>
  </si>
  <si>
    <t>优秀的绿光石</t>
  </si>
  <si>
    <t>攻击+10 物理防御+10</t>
  </si>
  <si>
    <t>6级宝石</t>
  </si>
  <si>
    <t>闪耀的冲击石</t>
  </si>
  <si>
    <t xml:space="preserve">攻击+40  </t>
  </si>
  <si>
    <t>装备宝石孔位出现概率</t>
  </si>
  <si>
    <t>出现概率</t>
  </si>
  <si>
    <t>紫色</t>
  </si>
  <si>
    <t>优秀的尖韧石</t>
  </si>
  <si>
    <t>攻击+10 魔法防御+10</t>
  </si>
  <si>
    <t>7级宝石</t>
  </si>
  <si>
    <t>完美的赤尖石</t>
  </si>
  <si>
    <t>攻击+36  魔防+24</t>
  </si>
  <si>
    <t>优秀的红曜石</t>
  </si>
  <si>
    <t>攻击+10 生命+60</t>
  </si>
  <si>
    <t>8级宝石</t>
  </si>
  <si>
    <t>完美的碧蓝石</t>
  </si>
  <si>
    <t>暴击等级+20  命中等级+20</t>
  </si>
  <si>
    <t>优秀的冲击石</t>
  </si>
  <si>
    <t>暴击等级+10</t>
  </si>
  <si>
    <t>9级宝石</t>
  </si>
  <si>
    <t>完美的红曜石</t>
  </si>
  <si>
    <t xml:space="preserve">暴击等级+40  </t>
  </si>
  <si>
    <t>优秀的精韧石</t>
  </si>
  <si>
    <t>抗暴等级+10</t>
  </si>
  <si>
    <t>10级宝石</t>
  </si>
  <si>
    <t>完美的冲击石</t>
  </si>
  <si>
    <t xml:space="preserve">攻击+60  </t>
  </si>
  <si>
    <t>优秀的碧绿石</t>
  </si>
  <si>
    <t>闪避等级+10</t>
  </si>
  <si>
    <t>宝石等级属性(优化后)</t>
  </si>
  <si>
    <t>优秀的瞄准石</t>
  </si>
  <si>
    <t>命中等级+10</t>
  </si>
  <si>
    <t>1级攻击石</t>
  </si>
  <si>
    <t>优良的碧莹石</t>
  </si>
  <si>
    <t>技能伤害+6  物防+4</t>
  </si>
  <si>
    <t>2级攻击石</t>
  </si>
  <si>
    <t>优良的血耀石</t>
  </si>
  <si>
    <t>韧性等级+6  闪避等级+6</t>
  </si>
  <si>
    <t>3级攻击石</t>
  </si>
  <si>
    <t>优良的尖韧石</t>
  </si>
  <si>
    <t xml:space="preserve">韧性等级+10  </t>
  </si>
  <si>
    <t>4级攻击石</t>
  </si>
  <si>
    <t>优良的光能石</t>
  </si>
  <si>
    <t xml:space="preserve">技能伤害+10  </t>
  </si>
  <si>
    <t>精良的赤精石</t>
  </si>
  <si>
    <t>攻击+30</t>
  </si>
  <si>
    <t>5级攻击石</t>
  </si>
  <si>
    <t>精致的碧莹石</t>
  </si>
  <si>
    <t>技能伤害+12  物防+8</t>
  </si>
  <si>
    <t>生命+75 物理防御+15 魔法防御+15</t>
  </si>
  <si>
    <t>6级攻击石</t>
  </si>
  <si>
    <t>精致的血耀石</t>
  </si>
  <si>
    <t>韧性等级+10  闪避等级+10</t>
  </si>
  <si>
    <t>精良的生命石</t>
  </si>
  <si>
    <t>生命+225</t>
  </si>
  <si>
    <t>7级攻击石</t>
  </si>
  <si>
    <t>精致的尖韧石</t>
  </si>
  <si>
    <t xml:space="preserve">韧性等级+20  </t>
  </si>
  <si>
    <t>史诗宝石</t>
  </si>
  <si>
    <t>镶嵌无法取回？ 个别的可取回</t>
  </si>
  <si>
    <t>身上最多4颗史诗宝石</t>
  </si>
  <si>
    <t>标准模型</t>
  </si>
  <si>
    <t>精良的碧莹石</t>
  </si>
  <si>
    <t>生命+150 物理防御+15</t>
  </si>
  <si>
    <t>8级攻击石</t>
  </si>
  <si>
    <t>精致的光能石</t>
  </si>
  <si>
    <t xml:space="preserve">技能伤害+20  </t>
  </si>
  <si>
    <t>付费   传承宝石</t>
  </si>
  <si>
    <t>攻击石</t>
  </si>
  <si>
    <t>精良的黎明石</t>
  </si>
  <si>
    <t>生命+150 魔法防御+15</t>
  </si>
  <si>
    <t>9级攻击石</t>
  </si>
  <si>
    <t>闪耀的碧莹石</t>
  </si>
  <si>
    <t>技能伤害+24  物防+16</t>
  </si>
  <si>
    <t>攻击+120   幸运+1</t>
  </si>
  <si>
    <t>防御石</t>
  </si>
  <si>
    <t>精良的绿光石</t>
  </si>
  <si>
    <t>攻击+15 物理防御+15</t>
  </si>
  <si>
    <t>10级攻击石</t>
  </si>
  <si>
    <t>闪耀的血耀石</t>
  </si>
  <si>
    <t>韧性等级+16  闪避等级+16</t>
  </si>
  <si>
    <t>暴击+5%</t>
  </si>
  <si>
    <t>血量石</t>
  </si>
  <si>
    <t>精良的尖韧石</t>
  </si>
  <si>
    <t>攻击+15 魔法防御+15</t>
  </si>
  <si>
    <t>闪耀的尖韧石</t>
  </si>
  <si>
    <t xml:space="preserve">韧性等级+30  </t>
  </si>
  <si>
    <t>攻击速度+5%</t>
  </si>
  <si>
    <t>精良的红曜石</t>
  </si>
  <si>
    <t>攻击+15 生命+90</t>
  </si>
  <si>
    <t>闪耀的光能石</t>
  </si>
  <si>
    <t xml:space="preserve">技能伤害+40  </t>
  </si>
  <si>
    <t>20级宝石</t>
  </si>
  <si>
    <t>精良的冲击石</t>
  </si>
  <si>
    <t>暴击等级+15</t>
  </si>
  <si>
    <t>1级生命石</t>
  </si>
  <si>
    <t>完美的碧莹石</t>
  </si>
  <si>
    <t>技能伤害+36  物防+24</t>
  </si>
  <si>
    <t>精良的精韧石</t>
  </si>
  <si>
    <t>抗暴等级+15</t>
  </si>
  <si>
    <t>2级生命石</t>
  </si>
  <si>
    <t>完美的血耀石</t>
  </si>
  <si>
    <t>韧性等级+20  闪避等级+20</t>
  </si>
  <si>
    <t>免费    史诗宝石</t>
  </si>
  <si>
    <t>精良的碧绿石</t>
  </si>
  <si>
    <t>闪避等级+15</t>
  </si>
  <si>
    <t>3级生命石</t>
  </si>
  <si>
    <t>完美的尖韧石</t>
  </si>
  <si>
    <t xml:space="preserve">韧性等级+40  </t>
  </si>
  <si>
    <t>攻击领主级怪物时造成伤害提升5%</t>
  </si>
  <si>
    <t>狂野之石</t>
  </si>
  <si>
    <t>精良的瞄准石</t>
  </si>
  <si>
    <t>命中等级+15</t>
  </si>
  <si>
    <t>4级生命石</t>
  </si>
  <si>
    <t>完美的光能石</t>
  </si>
  <si>
    <t xml:space="preserve">技能伤害+60  </t>
  </si>
  <si>
    <t>受到领主级怪物的伤害时降低5%</t>
  </si>
  <si>
    <t>防护之石</t>
  </si>
  <si>
    <t>30级宝石</t>
  </si>
  <si>
    <t>5级生命石</t>
  </si>
  <si>
    <t>技能冷却时间缩减5%</t>
  </si>
  <si>
    <t>时间之石</t>
  </si>
  <si>
    <t>6级生命石</t>
  </si>
  <si>
    <t>优良的血色石</t>
  </si>
  <si>
    <t>血量+24  战斗血量恢复提升2.5%</t>
  </si>
  <si>
    <t>受到最后一击攻击有2.5%概率恢复满血状态</t>
  </si>
  <si>
    <t>重生之石</t>
  </si>
  <si>
    <t>7级生命石</t>
  </si>
  <si>
    <t>优良的精准石</t>
  </si>
  <si>
    <t xml:space="preserve">命中等级+10  </t>
  </si>
  <si>
    <t>技能造成伤害提升10%</t>
  </si>
  <si>
    <t>魔天之石</t>
  </si>
  <si>
    <t>闪耀的赤精石</t>
  </si>
  <si>
    <t>攻击+40</t>
  </si>
  <si>
    <t>8级生命石</t>
  </si>
  <si>
    <t>优良的防护石</t>
  </si>
  <si>
    <t xml:space="preserve">血量+40  </t>
  </si>
  <si>
    <t>受到技能伤害进行闪避概率提升2%</t>
  </si>
  <si>
    <t>天闪之石</t>
  </si>
  <si>
    <t>40级宝石</t>
  </si>
  <si>
    <t>闪耀的防护石</t>
  </si>
  <si>
    <t>生命+110 物理防御+20 魔法防御+20</t>
  </si>
  <si>
    <t>9级生命石</t>
  </si>
  <si>
    <t>精致的血色石</t>
  </si>
  <si>
    <t>血量+48  战斗血量恢复提升5%</t>
  </si>
  <si>
    <t>普通攻击造成伤害提升5%</t>
  </si>
  <si>
    <t>残月之石</t>
  </si>
  <si>
    <t>闪耀的生命石</t>
  </si>
  <si>
    <t>生命+340</t>
  </si>
  <si>
    <t>10级生命石</t>
  </si>
  <si>
    <t>精致的精准石</t>
  </si>
  <si>
    <t xml:space="preserve">命中等级+20  </t>
  </si>
  <si>
    <t>每次攻击有2%概率造成重击</t>
  </si>
  <si>
    <t>灭裂之石</t>
  </si>
  <si>
    <t>生命+220 物理防御+20</t>
  </si>
  <si>
    <t xml:space="preserve">血量+80  </t>
  </si>
  <si>
    <t>闪耀的黎明石</t>
  </si>
  <si>
    <t>生命+220 魔法防御+20</t>
  </si>
  <si>
    <t>1级物防石</t>
  </si>
  <si>
    <t>闪耀的血色石</t>
  </si>
  <si>
    <t>血量+84  战斗血量恢复提升7.5%</t>
  </si>
  <si>
    <t>史诗宝石箱子</t>
  </si>
  <si>
    <t>50级宝石</t>
  </si>
  <si>
    <t>闪耀的绿光石</t>
  </si>
  <si>
    <t>攻击+20 物理防御+20</t>
  </si>
  <si>
    <t>2级物防石</t>
  </si>
  <si>
    <t>闪耀的精准石</t>
  </si>
  <si>
    <t xml:space="preserve">命中等级+30  </t>
  </si>
  <si>
    <t>攻击+20 魔法防御+20</t>
  </si>
  <si>
    <t>3级物防石</t>
  </si>
  <si>
    <t xml:space="preserve">血量+140  </t>
  </si>
  <si>
    <t>攻击+20 生命+120</t>
  </si>
  <si>
    <t>4级物防石</t>
  </si>
  <si>
    <t>完美的血色石</t>
  </si>
  <si>
    <t>血量+120  战斗血量恢复提升10%</t>
  </si>
  <si>
    <t>暴击等级+20</t>
  </si>
  <si>
    <t>5级物防石</t>
  </si>
  <si>
    <t>完美的精准石</t>
  </si>
  <si>
    <t xml:space="preserve">命中等级+40  </t>
  </si>
  <si>
    <t>闪耀的精韧石</t>
  </si>
  <si>
    <t>抗暴等级+20</t>
  </si>
  <si>
    <t>6级物防石</t>
  </si>
  <si>
    <t xml:space="preserve">血量+200  </t>
  </si>
  <si>
    <t>只取一级属性</t>
  </si>
  <si>
    <t>闪耀的碧绿石</t>
  </si>
  <si>
    <t>闪避等级+20</t>
  </si>
  <si>
    <t>7级物防石</t>
  </si>
  <si>
    <t>取的40级的</t>
  </si>
  <si>
    <t>闪耀的瞄准石</t>
  </si>
  <si>
    <t>命中等级+20</t>
  </si>
  <si>
    <t>8级物防石</t>
  </si>
  <si>
    <t>优良的物御石</t>
  </si>
  <si>
    <t xml:space="preserve">物防+10  </t>
  </si>
  <si>
    <t>9级物防石</t>
  </si>
  <si>
    <t>优良的法御石</t>
  </si>
  <si>
    <t xml:space="preserve">魔防+10  </t>
  </si>
  <si>
    <t>10级物防石</t>
  </si>
  <si>
    <t>优良的风灵石</t>
  </si>
  <si>
    <t>物防+6  魔防+6</t>
  </si>
  <si>
    <t>优良的闪烁石</t>
  </si>
  <si>
    <t xml:space="preserve">闪避等级+10  </t>
  </si>
  <si>
    <t>完美的赤精石</t>
  </si>
  <si>
    <t>攻击+50</t>
  </si>
  <si>
    <t>1级魔防石</t>
  </si>
  <si>
    <t>精致的物御石</t>
  </si>
  <si>
    <t xml:space="preserve">物防+20  </t>
  </si>
  <si>
    <t>生命+150 物理防御+25 魔法防御+25</t>
  </si>
  <si>
    <t>2级魔防石</t>
  </si>
  <si>
    <t>精致的法御石</t>
  </si>
  <si>
    <t xml:space="preserve">魔防+20  </t>
  </si>
  <si>
    <t>完美的生命石</t>
  </si>
  <si>
    <t>生命+450</t>
  </si>
  <si>
    <t>3级魔防石</t>
  </si>
  <si>
    <t>精致的风灵石</t>
  </si>
  <si>
    <t>物防+10  魔防+10</t>
  </si>
  <si>
    <t>生命+330 物理防御+25</t>
  </si>
  <si>
    <t>4级魔防石</t>
  </si>
  <si>
    <t>精致的闪烁石</t>
  </si>
  <si>
    <t xml:space="preserve">闪避等级+20  </t>
  </si>
  <si>
    <t>完美的黎明石</t>
  </si>
  <si>
    <t>生命+330 魔法防御+25</t>
  </si>
  <si>
    <t>5级魔防石</t>
  </si>
  <si>
    <t>闪耀的物御石</t>
  </si>
  <si>
    <t xml:space="preserve">物防+40  </t>
  </si>
  <si>
    <t>完美的绿光石</t>
  </si>
  <si>
    <t>攻击+25 物理防御+25</t>
  </si>
  <si>
    <t>6级魔防石</t>
  </si>
  <si>
    <t>闪耀的法御石</t>
  </si>
  <si>
    <t xml:space="preserve">魔防+40  </t>
  </si>
  <si>
    <t>攻击+25 魔法防御+25</t>
  </si>
  <si>
    <t>7级魔防石</t>
  </si>
  <si>
    <t>闪耀的风灵石</t>
  </si>
  <si>
    <t>物防+20  魔防+20</t>
  </si>
  <si>
    <t>攻击+25 生命+150</t>
  </si>
  <si>
    <t>8级魔防石</t>
  </si>
  <si>
    <t>闪耀的闪烁石</t>
  </si>
  <si>
    <t xml:space="preserve">闪避等级+30  </t>
  </si>
  <si>
    <t>暴击等级+25</t>
  </si>
  <si>
    <t>9级魔防石</t>
  </si>
  <si>
    <t>完美的物御石</t>
  </si>
  <si>
    <t xml:space="preserve">物防+60  </t>
  </si>
  <si>
    <t>完美的精韧石</t>
  </si>
  <si>
    <t>抗暴等级+25</t>
  </si>
  <si>
    <t>10级魔防石</t>
  </si>
  <si>
    <t>完美的法御石</t>
  </si>
  <si>
    <t xml:space="preserve">魔防+60  </t>
  </si>
  <si>
    <t>完美的碧绿石</t>
  </si>
  <si>
    <t>闪避等级+25</t>
  </si>
  <si>
    <t>完美的风灵石</t>
  </si>
  <si>
    <t>物防+30  魔防+30</t>
  </si>
  <si>
    <t>完美的瞄准石</t>
  </si>
  <si>
    <t>命中等级+25</t>
  </si>
  <si>
    <t>完美的闪烁石</t>
  </si>
  <si>
    <t xml:space="preserve">闪避等级+40  </t>
  </si>
  <si>
    <t>优良的朴素宝石</t>
  </si>
  <si>
    <t>血量+24  暴击等级+4</t>
  </si>
  <si>
    <t>优良的黎明宝石</t>
  </si>
  <si>
    <t>血量+24  攻击+4</t>
  </si>
  <si>
    <t>优良的天蓝宝石</t>
  </si>
  <si>
    <t>血量+24  技能伤害+4</t>
  </si>
  <si>
    <t>优良的魔能宝石</t>
  </si>
  <si>
    <t>技能伤害+6  命中等级+4</t>
  </si>
  <si>
    <t>优良的巨大宝石</t>
  </si>
  <si>
    <t>物防+6  闪避等级+4</t>
  </si>
  <si>
    <t>优良的黄晶宝石</t>
  </si>
  <si>
    <t>魔防+6  韧性等级+4</t>
  </si>
  <si>
    <t>精致的朴素宝石</t>
  </si>
  <si>
    <t>血量+48  暴击等级+8</t>
  </si>
  <si>
    <t>精致的黎明宝石</t>
  </si>
  <si>
    <t>血量+48  攻击+8</t>
  </si>
  <si>
    <t>精致的天蓝宝石</t>
  </si>
  <si>
    <t>血量+48  技能伤害+8</t>
  </si>
  <si>
    <t>精致的魔能宝石</t>
  </si>
  <si>
    <t>技能伤害+12  命中等级+8</t>
  </si>
  <si>
    <t>精致的巨大宝石</t>
  </si>
  <si>
    <t>物防+12  闪避等级+8</t>
  </si>
  <si>
    <t>精致的黄晶宝石</t>
  </si>
  <si>
    <t>魔防+12  韧性等级+8</t>
  </si>
  <si>
    <t>闪耀的朴素宝石</t>
  </si>
  <si>
    <t>血量+84  暴击等级+16</t>
  </si>
  <si>
    <t>闪耀的黎明宝石</t>
  </si>
  <si>
    <t>血量+84  攻击+16</t>
  </si>
  <si>
    <t>闪耀的天蓝宝石</t>
  </si>
  <si>
    <t>血量+84  技能伤害+16</t>
  </si>
  <si>
    <t>闪耀的魔能宝石</t>
  </si>
  <si>
    <t>技能伤害+24  命中等级+16</t>
  </si>
  <si>
    <t>闪耀的巨大宝石</t>
  </si>
  <si>
    <t>物防+24  闪避等级+16</t>
  </si>
  <si>
    <t>闪耀的黄晶宝石</t>
  </si>
  <si>
    <t>魔防+24  韧性等级+16</t>
  </si>
  <si>
    <t>完美的朴素宝石</t>
  </si>
  <si>
    <t>血量+120  暴击等级+24</t>
  </si>
  <si>
    <t>完美的黎明宝石</t>
  </si>
  <si>
    <t>血量+120  攻击+24</t>
  </si>
  <si>
    <t>完美的天蓝宝石</t>
  </si>
  <si>
    <t>血量+120  技能伤害+24</t>
  </si>
  <si>
    <t>完美的魔能宝石</t>
  </si>
  <si>
    <t>技能伤害+36  命中等级+24</t>
  </si>
  <si>
    <t>完美的巨大宝石</t>
  </si>
  <si>
    <t>物防+36  闪避等级+24</t>
  </si>
  <si>
    <t>完美的黄晶宝石</t>
  </si>
  <si>
    <t>魔防+36  韧性等级+24</t>
  </si>
  <si>
    <t>永恒之风暴钻石</t>
  </si>
  <si>
    <t>造成伤害提升+3%  移动速度+3%;提示:此宝石一旦镶嵌将无法取回!</t>
  </si>
  <si>
    <t>永恒之紫玉钻石</t>
  </si>
  <si>
    <t>生命提升+3%  经验加成+3%;提示:此宝石一旦镶嵌将无法取回!</t>
  </si>
  <si>
    <t>永恒之天灵钻石</t>
  </si>
  <si>
    <t>暴击+3%  金币加成+3%;提示:此宝石一旦镶嵌将无法取回!</t>
  </si>
  <si>
    <t>残酷之风暴钻石</t>
  </si>
  <si>
    <t>造成伤害提升+2%  暴击伤害+2%;提示:此宝石一旦镶嵌将无法取回!</t>
  </si>
  <si>
    <t>残酷之紫玉钻石</t>
  </si>
  <si>
    <t>生命提升+2%  法术反射+2%;提示:此宝石一旦镶嵌将无法取回!</t>
  </si>
  <si>
    <t>神秘之风暴钻石</t>
  </si>
  <si>
    <t>造成伤害提升+1%  移动速度+1%;提示:此宝石一旦镶嵌将无法取回!</t>
  </si>
  <si>
    <t>神秘之紫玉钻石</t>
  </si>
  <si>
    <t>生命提升+1%  经验获取+1%;提示:此宝石一旦镶嵌将无法取回!</t>
  </si>
  <si>
    <t>五行</t>
  </si>
  <si>
    <t>金</t>
  </si>
  <si>
    <t>状态</t>
  </si>
  <si>
    <t>幼年</t>
  </si>
  <si>
    <t>宠物阵位</t>
  </si>
  <si>
    <t>继承10%的攻击属性</t>
  </si>
  <si>
    <t>技能有啥用</t>
  </si>
  <si>
    <t>功能列表</t>
  </si>
  <si>
    <t>列表</t>
  </si>
  <si>
    <t>木</t>
  </si>
  <si>
    <t>青年</t>
  </si>
  <si>
    <t>每多一个技能继承比例+1% 高级技能+1.5%</t>
  </si>
  <si>
    <t>重塑</t>
  </si>
  <si>
    <t>水</t>
  </si>
  <si>
    <t>魔法攻击</t>
  </si>
  <si>
    <t>进化</t>
  </si>
  <si>
    <t>火</t>
  </si>
  <si>
    <t>融合</t>
  </si>
  <si>
    <t>土</t>
  </si>
  <si>
    <t>攻击+ 魔防</t>
  </si>
  <si>
    <t>宠物激活</t>
  </si>
  <si>
    <t>孵化</t>
  </si>
  <si>
    <t>宠物天赋</t>
  </si>
  <si>
    <t>皮肤激活</t>
  </si>
  <si>
    <t>宠物增加防守玩法的模式</t>
  </si>
  <si>
    <t>增加道具奖励</t>
  </si>
  <si>
    <t>防守玩法排名</t>
  </si>
  <si>
    <t>防守玩法属性</t>
  </si>
  <si>
    <t>宠物增加天梯对抗</t>
  </si>
  <si>
    <t>装备附带元素属性</t>
  </si>
  <si>
    <t>天资</t>
  </si>
  <si>
    <t>血量资质</t>
  </si>
  <si>
    <t>元素属性</t>
  </si>
  <si>
    <t>宠物技能</t>
  </si>
  <si>
    <t>攻击资质</t>
  </si>
  <si>
    <t>爆裂击</t>
  </si>
  <si>
    <t>宠物技能有等级？</t>
  </si>
  <si>
    <t>魔法</t>
  </si>
  <si>
    <t>魔法资质</t>
  </si>
  <si>
    <t>角色有个大招可以直接把5个召唤兽同时召唤上场15秒</t>
  </si>
  <si>
    <t>物防资质</t>
  </si>
  <si>
    <t>法防</t>
  </si>
  <si>
    <t>法防资质</t>
  </si>
  <si>
    <t>宠物合成玩法</t>
  </si>
  <si>
    <t>攻速资质</t>
  </si>
  <si>
    <t>宠物之核等级</t>
  </si>
  <si>
    <t>需要数量</t>
  </si>
  <si>
    <t>需要总数量</t>
  </si>
  <si>
    <t>颜色</t>
  </si>
  <si>
    <t>宠物分类</t>
  </si>
  <si>
    <t>攻击相克属性有10%易伤</t>
  </si>
  <si>
    <t>白色</t>
  </si>
  <si>
    <t>恢复性</t>
  </si>
  <si>
    <t>生命之核</t>
  </si>
  <si>
    <t>生命最大值提升1%</t>
  </si>
  <si>
    <t>近战</t>
  </si>
  <si>
    <t>绿色</t>
  </si>
  <si>
    <t>闪避之核</t>
  </si>
  <si>
    <t>闪避概率提升1%</t>
  </si>
  <si>
    <t>进攻型</t>
  </si>
  <si>
    <t>攻击之核</t>
  </si>
  <si>
    <t>攻击提升1%</t>
  </si>
  <si>
    <t>远程法术</t>
  </si>
  <si>
    <t>移动</t>
  </si>
  <si>
    <t>蓝色</t>
  </si>
  <si>
    <t>魔法之核</t>
  </si>
  <si>
    <t>魔法提升1%</t>
  </si>
  <si>
    <t>靠近前排</t>
  </si>
  <si>
    <t>金：增强金系法术伤害，增强法术攻击，提升金系法术抗性。</t>
  </si>
  <si>
    <t>暴击之核</t>
  </si>
  <si>
    <t>暴击概率提升1%</t>
  </si>
  <si>
    <t>控制系</t>
  </si>
  <si>
    <t>嘲讽系</t>
  </si>
  <si>
    <t>木：增强木系法术伤害，增加气血和法力上限，提升木系法术抗性。</t>
  </si>
  <si>
    <t>防御型</t>
  </si>
  <si>
    <t>物防之核</t>
  </si>
  <si>
    <t>物防提升1% 生命提升0.5%</t>
  </si>
  <si>
    <t>土：增强突袭法术伤害，增强物理攻击伤害、提升命中率，提升土系法术抗性。</t>
  </si>
  <si>
    <t>法防之核</t>
  </si>
  <si>
    <t>法防提升1% 生命提升0.5%</t>
  </si>
  <si>
    <t>水：增强水系法术伤害，增强防御，提升水系法术抗性。</t>
  </si>
  <si>
    <t>火：增强火系法术伤害，提升攻击速度，提升火系法术抗性。</t>
  </si>
  <si>
    <t>特殊之核</t>
  </si>
  <si>
    <t>附带特殊技能的,无需升级,稀有道具</t>
  </si>
  <si>
    <t>怪物技能</t>
  </si>
  <si>
    <t>召唤己方的助手协助自己攻击</t>
  </si>
  <si>
    <t>普通攻击形式</t>
  </si>
  <si>
    <t>宠物加点</t>
  </si>
  <si>
    <t>小鸭鸭</t>
  </si>
  <si>
    <t>对当前直线单位造成伤害</t>
  </si>
  <si>
    <t>勇猛</t>
  </si>
  <si>
    <t>物理攻击提升10%</t>
  </si>
  <si>
    <t>小松鼠</t>
  </si>
  <si>
    <t>远程</t>
  </si>
  <si>
    <t>恢复</t>
  </si>
  <si>
    <t>暴击概率提升10%</t>
  </si>
  <si>
    <t>小灰狼</t>
  </si>
  <si>
    <t>单体目标伤害</t>
  </si>
  <si>
    <t>魔法攻击提升10%</t>
  </si>
  <si>
    <t>仙人掌</t>
  </si>
  <si>
    <t>范围会持续伤害</t>
  </si>
  <si>
    <t>集中</t>
  </si>
  <si>
    <t>闪避概率提升10%,命中概率提升10%</t>
  </si>
  <si>
    <t>团团</t>
  </si>
  <si>
    <t>范围型伤害</t>
  </si>
  <si>
    <t>移动速度提升10%</t>
  </si>
  <si>
    <t>企鹅</t>
  </si>
  <si>
    <t>队友加攻击buff</t>
  </si>
  <si>
    <t>连击</t>
  </si>
  <si>
    <t>连击攻击目标两次</t>
  </si>
  <si>
    <t>蛇蛇</t>
  </si>
  <si>
    <t>毒圈</t>
  </si>
  <si>
    <t>受到攻击时有20%概率立即对目标造成一次伤害</t>
  </si>
  <si>
    <t>萝卜头</t>
  </si>
  <si>
    <t>反震</t>
  </si>
  <si>
    <t>受到物理攻击有30%概率给与攻击者反震,造成的反正伤害为受到伤害的50%</t>
  </si>
  <si>
    <t>受到魔法技能攻击有10%概率进行抵抗</t>
  </si>
  <si>
    <t>血量提升10%</t>
  </si>
  <si>
    <t>再生</t>
  </si>
  <si>
    <t>每秒恢复最大生命值的1%</t>
  </si>
  <si>
    <t>神迹</t>
  </si>
  <si>
    <t>受到异常状态有50%概率进行抵抗</t>
  </si>
  <si>
    <t>灵巧</t>
  </si>
  <si>
    <t>受到技能攻击有20%概率进行闪避</t>
  </si>
  <si>
    <t>生命变为0时有10%概率立即恢复全部生命值</t>
  </si>
  <si>
    <t>破咒</t>
  </si>
  <si>
    <t>当目标有神佑技能时,造成伤害提升50%</t>
  </si>
  <si>
    <t>物防和魔防提升10%</t>
  </si>
  <si>
    <t>受到目标攻击有10%概率恢复造成伤害的50%生命值</t>
  </si>
  <si>
    <t>强力</t>
  </si>
  <si>
    <t>攻击目标造成的伤害提升10%</t>
  </si>
  <si>
    <t>防护</t>
  </si>
  <si>
    <t>受到目标攻击造成的伤害降低10%</t>
  </si>
  <si>
    <t>专注</t>
  </si>
  <si>
    <t>释放技能时有10%概率连续释放2次</t>
  </si>
  <si>
    <t>属性吸收</t>
  </si>
  <si>
    <t>受到金属性的攻击有20%概率免疫目标的一切攻击,并恢复50%攻击伤害为己方生命值</t>
  </si>
  <si>
    <t xml:space="preserve">            </t>
  </si>
  <si>
    <t>弱点</t>
  </si>
  <si>
    <t>受到金属性攻击将额外承受30%伤害</t>
  </si>
  <si>
    <t>受到木属性攻击将额外承受30%伤害</t>
  </si>
  <si>
    <t>受到水属性攻击将额外承受30%伤害</t>
  </si>
  <si>
    <t>受到火属性攻击将额外承受30%伤害</t>
  </si>
  <si>
    <t>受到土属性攻击将额外承受30%伤害</t>
  </si>
  <si>
    <t>高阶反击</t>
  </si>
  <si>
    <t>高阶连击</t>
  </si>
  <si>
    <t>高阶强力</t>
  </si>
  <si>
    <t>破甲</t>
  </si>
  <si>
    <t>高阶破咒</t>
  </si>
  <si>
    <t>奋勇</t>
  </si>
  <si>
    <t>雷霆猪</t>
  </si>
  <si>
    <t>高阶勇猛</t>
  </si>
  <si>
    <t>崩裂</t>
  </si>
  <si>
    <t>高阶破甲</t>
  </si>
  <si>
    <t>乌贼女士</t>
  </si>
  <si>
    <t>高阶防护</t>
  </si>
  <si>
    <t>魔法精灵</t>
  </si>
  <si>
    <t>高阶暴击</t>
  </si>
  <si>
    <t>嫁祸</t>
  </si>
  <si>
    <t>高阶魔焰</t>
  </si>
  <si>
    <t>魔法娃娃</t>
  </si>
  <si>
    <t>高阶闪击</t>
  </si>
  <si>
    <t>高阶生命</t>
  </si>
  <si>
    <t>高阶魔法</t>
  </si>
  <si>
    <t>缓速</t>
  </si>
  <si>
    <t>高阶嫁祸</t>
  </si>
  <si>
    <t>淘气包</t>
  </si>
  <si>
    <t>高阶集中</t>
  </si>
  <si>
    <t>高阶防御</t>
  </si>
  <si>
    <t>高阶嘲讽</t>
  </si>
  <si>
    <t>光明天使</t>
  </si>
  <si>
    <t>高阶抵抗</t>
  </si>
  <si>
    <t>高阶灵巧</t>
  </si>
  <si>
    <t>闪击</t>
  </si>
  <si>
    <t>精灵麋鹿</t>
  </si>
  <si>
    <t>高阶幸运</t>
  </si>
  <si>
    <t>高阶神佑</t>
  </si>
  <si>
    <t>高阶反震</t>
  </si>
  <si>
    <t>幽光晴晴</t>
  </si>
  <si>
    <t>高阶奋勇</t>
  </si>
  <si>
    <t>高阶再生</t>
  </si>
  <si>
    <t>高阶崩裂</t>
  </si>
  <si>
    <t>吸收:金</t>
  </si>
  <si>
    <t>吸收:木</t>
  </si>
  <si>
    <t>吸收:水</t>
  </si>
  <si>
    <t>吸收:火</t>
  </si>
  <si>
    <t>高阶移动</t>
  </si>
  <si>
    <t>吸收:土</t>
  </si>
  <si>
    <t>弱势:金</t>
  </si>
  <si>
    <t>弱势:木</t>
  </si>
  <si>
    <t>弱势:水</t>
  </si>
  <si>
    <t>弱势:火</t>
  </si>
  <si>
    <t>弱势:土</t>
  </si>
  <si>
    <t>高阶神迹</t>
  </si>
  <si>
    <t>高阶专注</t>
  </si>
  <si>
    <t>低级品质</t>
  </si>
  <si>
    <t>高阶缓速</t>
  </si>
  <si>
    <t>10点攻击</t>
  </si>
  <si>
    <t>10点魔法</t>
  </si>
  <si>
    <t>40点生命</t>
  </si>
  <si>
    <t>20生命+5点物理防御+5点魔法防御</t>
  </si>
  <si>
    <t>5点属性</t>
  </si>
  <si>
    <t>魔焰之击</t>
  </si>
  <si>
    <t>群体魔法</t>
  </si>
  <si>
    <t>远程攻击时5%概率触发,对目标区域造成200%伤害</t>
  </si>
  <si>
    <t>法术控制</t>
  </si>
  <si>
    <t>降低目标的防御10%</t>
  </si>
  <si>
    <t>近战攻击时有10%概率触发,强迫目标立即攻击自身5秒</t>
  </si>
  <si>
    <t>奋勇之击</t>
  </si>
  <si>
    <t>目标生命低于35%伤害提升20%</t>
  </si>
  <si>
    <t>单体技能</t>
  </si>
  <si>
    <t>远程攻击时5%概率触发,立即对当前目标造成250%伤害</t>
  </si>
  <si>
    <t>单体减速</t>
  </si>
  <si>
    <t>攻击时概率降低目标移动速度10%</t>
  </si>
  <si>
    <t>降低自身攻击造成的15%的仇恨</t>
  </si>
  <si>
    <t>蹦击</t>
  </si>
  <si>
    <t>近战攻击时5%概率触发,立即对前方区域造成200%伤害</t>
  </si>
  <si>
    <t>神兽</t>
  </si>
  <si>
    <t>每次攻击造成120%的范围伤害</t>
  </si>
  <si>
    <t>每次攻击有概率对前方区域造成300%伤害</t>
  </si>
  <si>
    <t>麋鹿治愈</t>
  </si>
  <si>
    <t>恢复己方范围内所有友方玩家10%的生命值</t>
  </si>
  <si>
    <t>爬塔层数</t>
  </si>
  <si>
    <t>是否BOSS</t>
  </si>
  <si>
    <t>攻击系数</t>
  </si>
  <si>
    <t>孔位</t>
  </si>
  <si>
    <t>所属类型</t>
  </si>
  <si>
    <t>类型</t>
  </si>
  <si>
    <t>进攻能量</t>
  </si>
  <si>
    <t>守护能量</t>
  </si>
  <si>
    <t>进攻之核</t>
  </si>
  <si>
    <t>生命能量</t>
  </si>
  <si>
    <t>防御之核</t>
  </si>
  <si>
    <t>魔防之核</t>
  </si>
  <si>
    <t>实力值</t>
  </si>
  <si>
    <t>来源</t>
  </si>
  <si>
    <t>单人副本掉落的全部道具为绑定道具</t>
  </si>
  <si>
    <t>单人副本紫装</t>
  </si>
  <si>
    <t>多人掉落的道具和装备为非绑定道具</t>
  </si>
  <si>
    <t>传承紫装</t>
  </si>
  <si>
    <t>橙装</t>
  </si>
  <si>
    <t>装备宝石</t>
  </si>
  <si>
    <t>宝石空位</t>
  </si>
  <si>
    <t>如何开放</t>
  </si>
  <si>
    <t>基础宝石</t>
  </si>
  <si>
    <t>附加属性</t>
  </si>
  <si>
    <t>紫宝石</t>
  </si>
  <si>
    <t>蓝宝石</t>
  </si>
  <si>
    <t>特殊宝石</t>
  </si>
  <si>
    <t>技能宝石</t>
  </si>
  <si>
    <t>攻击时有概率….</t>
  </si>
  <si>
    <t>索引系数</t>
  </si>
  <si>
    <t>怪物等级</t>
  </si>
  <si>
    <t>递增系数</t>
  </si>
  <si>
    <t>怪物名称</t>
  </si>
  <si>
    <t>副本血量系数</t>
  </si>
  <si>
    <t>副本属性系数</t>
  </si>
  <si>
    <t>副本怪物</t>
  </si>
  <si>
    <t>狼人宝宝</t>
  </si>
  <si>
    <t>森林野狼</t>
  </si>
  <si>
    <t>野狼先锋</t>
  </si>
  <si>
    <t>狼王</t>
  </si>
  <si>
    <t>紫蝙蝠</t>
  </si>
  <si>
    <t>黑夜蝙蝠</t>
  </si>
  <si>
    <t>小蝙蝠</t>
  </si>
  <si>
    <t>矿鼠先锋</t>
  </si>
  <si>
    <t>蝙蝠王</t>
  </si>
  <si>
    <t>红玉蜘蛛</t>
  </si>
  <si>
    <t>野狼头领</t>
  </si>
  <si>
    <t>森林护卫</t>
  </si>
  <si>
    <t>森林之王</t>
  </si>
  <si>
    <t>地下护卫</t>
  </si>
  <si>
    <t>地下刺客</t>
  </si>
  <si>
    <t>地下盗贼</t>
  </si>
  <si>
    <t>地下士兵</t>
  </si>
  <si>
    <t>地下弓箭手</t>
  </si>
  <si>
    <t>地下教主</t>
  </si>
  <si>
    <t>洞穴魔怪</t>
  </si>
  <si>
    <t>洞穴护卫</t>
  </si>
  <si>
    <t>石墓领主</t>
  </si>
  <si>
    <t>沙漠蟹将</t>
  </si>
  <si>
    <t>沙漠鳄鱼</t>
  </si>
  <si>
    <t>螃蟹将军</t>
  </si>
  <si>
    <t>绷带士兵</t>
  </si>
  <si>
    <t>蝙蝠守卫</t>
  </si>
  <si>
    <t>沙漠女王—孵化</t>
  </si>
  <si>
    <t>沙漠女王</t>
  </si>
  <si>
    <t>地牢守护者</t>
  </si>
  <si>
    <t>地牢地精</t>
  </si>
  <si>
    <t>地牢地精头领</t>
  </si>
  <si>
    <t>地牢魔怪</t>
  </si>
  <si>
    <t>地牢领主</t>
  </si>
  <si>
    <t>冰雪野狼</t>
  </si>
  <si>
    <t>冰雪蜘蛛</t>
  </si>
  <si>
    <t>冰雪狼王</t>
  </si>
  <si>
    <t>冰精灵</t>
  </si>
  <si>
    <t>水精灵</t>
  </si>
  <si>
    <t>冰封守护者-艾瑞达</t>
  </si>
  <si>
    <t>千针野狼</t>
  </si>
  <si>
    <t>千针蜘蛛</t>
  </si>
  <si>
    <t>冰宫野狼</t>
  </si>
  <si>
    <t>0</t>
  </si>
  <si>
    <t>冰宫蜘蛛</t>
  </si>
  <si>
    <t>白熊战士</t>
  </si>
  <si>
    <t>冰封守护者-艾瑞克</t>
  </si>
  <si>
    <t>62000101,62000102,62000103</t>
  </si>
  <si>
    <t>白熊守卫</t>
  </si>
  <si>
    <t>冰精灵守卫</t>
  </si>
  <si>
    <t>水精灵守卫</t>
  </si>
  <si>
    <t>61000005</t>
  </si>
  <si>
    <t>冰封魔王-阿兹里斯</t>
  </si>
  <si>
    <t>树怪</t>
  </si>
  <si>
    <t>62000201,62000202,62000203</t>
  </si>
  <si>
    <t>巨魔首领-卡特</t>
  </si>
  <si>
    <t>精英树怪</t>
  </si>
  <si>
    <t>精英白熊守卫</t>
  </si>
  <si>
    <t>62000301,62000302,62000303,62000304</t>
  </si>
  <si>
    <t>黑暗操纵者-萨洛</t>
  </si>
  <si>
    <t>矿洞卫兵</t>
  </si>
  <si>
    <t>矿洞蝙蝠</t>
  </si>
  <si>
    <t>巨鼠矿工</t>
  </si>
  <si>
    <t>虚幻者-雷洛</t>
  </si>
  <si>
    <t>60020002</t>
  </si>
  <si>
    <t>巨石岩怪</t>
  </si>
  <si>
    <t>62000401,62000402,62000403,62000404</t>
  </si>
  <si>
    <t>峡谷石怪</t>
  </si>
  <si>
    <t>裂石领主-艾力克斯</t>
  </si>
  <si>
    <t>火地龙</t>
  </si>
  <si>
    <t>62000501,62000503,62000504,62000505</t>
  </si>
  <si>
    <t>熔岩法师</t>
  </si>
  <si>
    <t>熔岩操纵者-克斯</t>
  </si>
  <si>
    <t>守护领主</t>
  </si>
  <si>
    <t>62001101,62001102</t>
  </si>
  <si>
    <t>熔岩蝙蝠</t>
  </si>
  <si>
    <t>炙热地龙</t>
  </si>
  <si>
    <t>巡逻卫兵</t>
  </si>
  <si>
    <t>62001201,62001202,62001203</t>
  </si>
  <si>
    <t>上古守护</t>
  </si>
  <si>
    <t>62001204,62001205,62001206,62001207,62001208</t>
  </si>
  <si>
    <t>灼烧法师</t>
  </si>
  <si>
    <t>BOSS血量系数</t>
  </si>
  <si>
    <t>BOSS属性系数</t>
  </si>
  <si>
    <t>黑暗巨锤领主</t>
  </si>
  <si>
    <t>邪恶博士-埃克</t>
  </si>
  <si>
    <t>黑暗魔王-卡利兹</t>
  </si>
  <si>
    <t>62001301,62001302,62001303,62001304,62001305</t>
  </si>
  <si>
    <t>62002001,62002002,62002003</t>
  </si>
  <si>
    <t>62002101,62002102,62002103,62002104</t>
  </si>
  <si>
    <t>62002201,62002202,62002203,62002204,62002205,62002206,62002207,62002208,62002209,62002210,62002211,62002212,62002213</t>
  </si>
  <si>
    <t>62002301,62002302,62002303,62002304</t>
  </si>
  <si>
    <t>62003001,62003002,62003003,62003004</t>
  </si>
  <si>
    <t>62003101,62003102,62003103,62003105</t>
  </si>
  <si>
    <t>62003201,62003202,62003203,62003204</t>
  </si>
  <si>
    <t>62003301,62003302,62003303,62003304,62003305,62003306</t>
  </si>
  <si>
    <t>60020002,62004001,62004002,62004003,62004004,62004005</t>
  </si>
  <si>
    <t>62004101,62004102,62004103,62004104</t>
  </si>
  <si>
    <t>62004302,62004303,62004304,62004305,62004307,62004308,62004309,62004310</t>
  </si>
  <si>
    <t>62004401,62004402,62004403,62004404,62004405,62004406,62004407,62004408,62004409,62004410</t>
  </si>
  <si>
    <t>护卫将军领主</t>
  </si>
  <si>
    <t>巨大史莱姆</t>
  </si>
  <si>
    <t>寒冰魔导师</t>
  </si>
  <si>
    <t>邪恶之树</t>
  </si>
  <si>
    <t>史莱姆分身</t>
  </si>
  <si>
    <t>点名冲锋眩晕</t>
  </si>
  <si>
    <t>每10秒对当前对方单位立即造成一次300%攻击的伤害</t>
  </si>
  <si>
    <t>史莱姆自爆</t>
  </si>
  <si>
    <t>随机几个区域释放雷击</t>
  </si>
  <si>
    <t>召唤邪恶树妖协助自己攻击,树妖拥有高级属性,普通攻击</t>
  </si>
  <si>
    <t>毒水</t>
  </si>
  <si>
    <t>定时旋风斩</t>
  </si>
  <si>
    <t>自身大范围伤害</t>
  </si>
  <si>
    <t>每次攻击5%概率触发,对目标立即造成200%伤害,并眩晕目标3秒</t>
  </si>
  <si>
    <t>大暗魔法师领主</t>
  </si>
  <si>
    <t>石人领主</t>
  </si>
  <si>
    <t>寒冰树王</t>
  </si>
  <si>
    <t>邪恶勇士领主</t>
  </si>
  <si>
    <t>周围4方向攻击技能</t>
  </si>
  <si>
    <t>copy巨石领主的技能</t>
  </si>
  <si>
    <t>所有人持续跑动技能</t>
  </si>
  <si>
    <t>指向性冲锋</t>
  </si>
  <si>
    <t>永久地圈</t>
  </si>
  <si>
    <t>冰裂</t>
  </si>
  <si>
    <t>随机指向一名玩家,不断的损失当前生命的10%,持续10秒</t>
  </si>
  <si>
    <t>随机大范围火</t>
  </si>
  <si>
    <t>自身大范围AOE</t>
  </si>
  <si>
    <t>群体大范围魔法</t>
  </si>
  <si>
    <t>召唤远程怪</t>
  </si>
  <si>
    <t>2秒前方区域释放冰裂斩</t>
  </si>
  <si>
    <t>目标3人释放毒水</t>
  </si>
  <si>
    <t>远程怪放火</t>
  </si>
  <si>
    <t>天怒将军领主</t>
  </si>
  <si>
    <t>黑暗巫师</t>
  </si>
  <si>
    <t>不移动的BOSS</t>
  </si>
  <si>
    <t>寒冰之王领主</t>
  </si>
  <si>
    <t>火焰之王领主</t>
  </si>
  <si>
    <t>火冲</t>
  </si>
  <si>
    <t>自身4方向冲击波</t>
  </si>
  <si>
    <t>旋转喷吐</t>
  </si>
  <si>
    <t>给敌方全部人释放连续跑动</t>
  </si>
  <si>
    <t>冲锋</t>
  </si>
  <si>
    <t>召唤冰花</t>
  </si>
  <si>
    <t>冰花具有远程攻击,并且释放冰球移动</t>
  </si>
  <si>
    <t>周围6方向攻击技能</t>
  </si>
  <si>
    <t>召唤大军</t>
  </si>
  <si>
    <t>永久3火圈</t>
  </si>
  <si>
    <t>禁锢</t>
  </si>
  <si>
    <t>随机指向一个人,使其不能移动</t>
  </si>
  <si>
    <t>前方区域喷吐火焰</t>
  </si>
  <si>
    <t>顺发裂地</t>
  </si>
  <si>
    <t>恢复生命</t>
  </si>
  <si>
    <t>目标大范围AOE</t>
  </si>
  <si>
    <t>灼烧</t>
  </si>
  <si>
    <t>给前方区域人员附加,每秒损失当前生命的10%,持续10秒累加</t>
  </si>
  <si>
    <t>攻击加成</t>
  </si>
  <si>
    <t>狂暴</t>
  </si>
  <si>
    <t>周围移动速度逐渐降低</t>
  </si>
  <si>
    <t>单体伤害5秒眩晕</t>
  </si>
  <si>
    <t>武林新丁</t>
  </si>
  <si>
    <t>文字</t>
  </si>
  <si>
    <t>60级</t>
  </si>
  <si>
    <t>无名之辈</t>
  </si>
  <si>
    <t>首冲</t>
  </si>
  <si>
    <t>绝世英豪</t>
  </si>
  <si>
    <t>成就</t>
  </si>
  <si>
    <t>武林俊杰</t>
  </si>
  <si>
    <t>红尘本无道</t>
  </si>
  <si>
    <t>战场</t>
  </si>
  <si>
    <t>时效</t>
  </si>
  <si>
    <t>勇者无敌</t>
  </si>
  <si>
    <t>竞技场</t>
  </si>
  <si>
    <t>武林至尊</t>
  </si>
  <si>
    <t>98令牌</t>
  </si>
  <si>
    <t>独孤求败</t>
  </si>
  <si>
    <t>充值奖励</t>
  </si>
  <si>
    <t>九霄风云</t>
  </si>
  <si>
    <t>世人笑我太疯癫</t>
  </si>
  <si>
    <t>排行榜第一奖励</t>
  </si>
  <si>
    <t>排行榜前五</t>
  </si>
  <si>
    <t>宠物天梯第一奖励</t>
  </si>
  <si>
    <t>一刃横天</t>
  </si>
  <si>
    <t>名震八方</t>
  </si>
  <si>
    <t>成就特殊奖励</t>
  </si>
  <si>
    <t>特殊</t>
  </si>
  <si>
    <t>抽奖</t>
  </si>
  <si>
    <t>拍卖行交易频繁</t>
  </si>
  <si>
    <t>猎杀怪物数量</t>
  </si>
  <si>
    <t>宠物技能很多的</t>
  </si>
  <si>
    <t>登录第5天</t>
  </si>
  <si>
    <t>名扬四海</t>
  </si>
  <si>
    <t>天下无双</t>
  </si>
  <si>
    <t>八荒雷动</t>
  </si>
  <si>
    <t>免费签到30天</t>
  </si>
  <si>
    <t>亿</t>
  </si>
  <si>
    <t>递增</t>
  </si>
  <si>
    <t>回收经验</t>
  </si>
  <si>
    <t>普通材料</t>
  </si>
  <si>
    <t>稀有材料1</t>
  </si>
  <si>
    <t>稀有材料2</t>
  </si>
  <si>
    <t>上下浮20%</t>
  </si>
  <si>
    <t>生命提升1%</t>
    <phoneticPr fontId="35" type="noConversion"/>
  </si>
  <si>
    <t>闪避概率提升1%</t>
    <phoneticPr fontId="35" type="noConversion"/>
  </si>
  <si>
    <t>攻击提升1%</t>
    <phoneticPr fontId="35" type="noConversion"/>
  </si>
  <si>
    <t>魔法提升1%</t>
    <phoneticPr fontId="35" type="noConversion"/>
  </si>
  <si>
    <t>物防提升1%</t>
    <phoneticPr fontId="35" type="noConversion"/>
  </si>
  <si>
    <t>魔防提升1%</t>
    <phoneticPr fontId="35" type="noConversion"/>
  </si>
  <si>
    <t>暴击概率提升1%</t>
    <phoneticPr fontId="35" type="noConversion"/>
  </si>
  <si>
    <t xml:space="preserve">   </t>
    <phoneticPr fontId="35" type="noConversion"/>
  </si>
  <si>
    <t>生命</t>
    <phoneticPr fontId="35" type="noConversion"/>
  </si>
  <si>
    <t>攻击</t>
    <phoneticPr fontId="35" type="noConversion"/>
  </si>
  <si>
    <t>魔法</t>
    <phoneticPr fontId="35" type="noConversion"/>
  </si>
  <si>
    <t>物防</t>
    <phoneticPr fontId="35" type="noConversion"/>
  </si>
  <si>
    <t>魔防</t>
    <phoneticPr fontId="35" type="noConversion"/>
  </si>
  <si>
    <t>3个5级以上激活</t>
    <phoneticPr fontId="35" type="noConversion"/>
  </si>
  <si>
    <t>3个8级以上激活</t>
    <phoneticPr fontId="35" type="noConversion"/>
  </si>
  <si>
    <t>3个10级以上激活</t>
    <phoneticPr fontId="35" type="noConversion"/>
  </si>
  <si>
    <t>生命提升5%</t>
    <phoneticPr fontId="35" type="noConversion"/>
  </si>
  <si>
    <t>受到伤害降低5%</t>
    <phoneticPr fontId="35" type="noConversion"/>
  </si>
  <si>
    <t>造成伤害提升5%</t>
    <phoneticPr fontId="35" type="noConversion"/>
  </si>
  <si>
    <t>皮肤</t>
    <phoneticPr fontId="35" type="noConversion"/>
  </si>
  <si>
    <t>全属性提升5%</t>
    <phoneticPr fontId="35" type="noConversion"/>
  </si>
  <si>
    <t>全属性提升3%</t>
    <phoneticPr fontId="35" type="noConversion"/>
  </si>
  <si>
    <t>无</t>
    <phoneticPr fontId="35" type="noConversion"/>
  </si>
  <si>
    <t>全属性提升1.5%</t>
    <phoneticPr fontId="35" type="noConversion"/>
  </si>
  <si>
    <t>物防+50</t>
    <phoneticPr fontId="35" type="noConversion"/>
  </si>
  <si>
    <t>魔防+50</t>
    <phoneticPr fontId="35" type="noConversion"/>
  </si>
  <si>
    <t>神兽:精灵麋鹿</t>
  </si>
  <si>
    <t>神兽:幽光晴晴</t>
  </si>
  <si>
    <t>神兽:仙界魔龙</t>
  </si>
  <si>
    <t>铁甲勇士</t>
  </si>
  <si>
    <t>迷狐之妖</t>
  </si>
  <si>
    <t>爱心之灵</t>
  </si>
  <si>
    <t>尖刺刺身</t>
    <phoneticPr fontId="35" type="noConversion"/>
  </si>
  <si>
    <t>近战之击</t>
    <phoneticPr fontId="35" type="noConversion"/>
  </si>
  <si>
    <t>重击</t>
  </si>
  <si>
    <t>高阶重击</t>
  </si>
  <si>
    <t>攻击时有10%概率忽视目标身上对应的防御属性</t>
  </si>
  <si>
    <t>受到异常状态有25%概率进行抵抗</t>
  </si>
  <si>
    <t>受到技能攻击有10%概率进行闪避</t>
  </si>
  <si>
    <t>受到目标攻击有10%概率恢复自身攻击的50%生命值</t>
  </si>
  <si>
    <t>远程攻击时10%概率触发,对目标区域造成200%伤害</t>
  </si>
  <si>
    <t>普通攻击时,概率降低目标10%的防御和魔防,持续6秒</t>
  </si>
  <si>
    <t>近战攻击时有15%概率触发,强迫目标立即攻击自身6秒</t>
  </si>
  <si>
    <t>目标生命低于30%伤害提升20%</t>
  </si>
  <si>
    <t>近战攻击时概率降低目标移动速度10%,持续6秒</t>
  </si>
  <si>
    <t>物理攻击提升20%</t>
  </si>
  <si>
    <t>暴击概率提升20%</t>
  </si>
  <si>
    <t>魔法攻击提升20%</t>
  </si>
  <si>
    <t>闪避概率提升15%,命中概率提升15%</t>
  </si>
  <si>
    <t>移动速度提升20%</t>
  </si>
  <si>
    <t>攻击时有20%概率忽视目标身上对应的防御属性</t>
  </si>
  <si>
    <t>受到物理攻击有50%概率给与攻击者反震,造成的反正伤害为受到伤害的50%</t>
  </si>
  <si>
    <t>受到魔法技能攻击有20%概率进行抵抗</t>
  </si>
  <si>
    <t>血量提升20%</t>
  </si>
  <si>
    <t>每秒恢复最大生命值的2%</t>
  </si>
  <si>
    <t>生命变为0时有20%概率立即恢复全部生命值</t>
  </si>
  <si>
    <t>物防和魔防提升20%</t>
  </si>
  <si>
    <t>受到目标攻击有20%概率恢复自身攻击的50%生命值</t>
  </si>
  <si>
    <t>攻击目标造成的伤害提升20%</t>
  </si>
  <si>
    <t>受到目标攻击造成的伤害降低20%</t>
  </si>
  <si>
    <t>释放技能时有20%概率连续释放2次</t>
  </si>
  <si>
    <t>远程攻击时20%概率触发,对目标区域造成200%伤害</t>
  </si>
  <si>
    <t>普通攻击时,概率降低目标20%的防御和魔防,持续6秒</t>
  </si>
  <si>
    <t>近战攻击时有30%概率触发,强迫目标立即攻击自身6秒</t>
  </si>
  <si>
    <t>目标生命低于30%伤害提升40%</t>
  </si>
  <si>
    <t>攻击时10%概率触发,立即对当前目标造成250%伤害</t>
  </si>
  <si>
    <t>攻击时概率降低目标移动速度20%,持续6秒</t>
  </si>
  <si>
    <t>降低自身攻击造成的30%的仇恨</t>
  </si>
  <si>
    <t>近战攻击时10%概率触发,立即对前方区域造成200%伤害</t>
  </si>
  <si>
    <t>雷霆冲锋</t>
    <phoneticPr fontId="35" type="noConversion"/>
  </si>
  <si>
    <t>缓速</t>
    <phoneticPr fontId="35" type="noConversion"/>
  </si>
  <si>
    <t>毒墨攻击</t>
    <phoneticPr fontId="35" type="noConversion"/>
  </si>
  <si>
    <t>魔法召唤</t>
    <phoneticPr fontId="35" type="noConversion"/>
  </si>
  <si>
    <t>蛇击</t>
    <phoneticPr fontId="35" type="noConversion"/>
  </si>
  <si>
    <t>对前方发起冲锋,并造成200%伤害和附带1秒眩晕</t>
    <phoneticPr fontId="35" type="noConversion"/>
  </si>
  <si>
    <t>天使之翼</t>
  </si>
  <si>
    <t>铁甲之力</t>
    <phoneticPr fontId="35" type="noConversion"/>
  </si>
  <si>
    <t>每次普攻有20%的几率对目标范围释放一个光圈，光圈存在5秒，每秒对范围内敌人造成150%伤害和50%减速效果，减速效果存在5秒</t>
  </si>
  <si>
    <t>光明天使</t>
    <phoneticPr fontId="35" type="noConversion"/>
  </si>
  <si>
    <t>对前方区域释放冲击波,冲击波造成300%伤害,并使目标受到伤害额外提升10%,持续6秒</t>
    <phoneticPr fontId="35" type="noConversion"/>
  </si>
  <si>
    <t>淘气爆炸</t>
    <phoneticPr fontId="35" type="noConversion"/>
  </si>
  <si>
    <t>只有变异才有概率有这个技能？洗炼可以洗变异</t>
    <phoneticPr fontId="35" type="noConversion"/>
  </si>
  <si>
    <t>生命</t>
    <phoneticPr fontId="35" type="noConversion"/>
  </si>
  <si>
    <t>攻击</t>
    <phoneticPr fontId="35" type="noConversion"/>
  </si>
  <si>
    <t>物防</t>
    <phoneticPr fontId="35" type="noConversion"/>
  </si>
  <si>
    <t>魔防</t>
    <phoneticPr fontId="35" type="noConversion"/>
  </si>
  <si>
    <t>剑</t>
    <phoneticPr fontId="35" type="noConversion"/>
  </si>
  <si>
    <t>武器晶核:</t>
    <phoneticPr fontId="35" type="noConversion"/>
  </si>
  <si>
    <t>属性晶核:</t>
    <phoneticPr fontId="35" type="noConversion"/>
  </si>
  <si>
    <t>奖励晶核:</t>
    <phoneticPr fontId="35" type="noConversion"/>
  </si>
  <si>
    <t>技能晶核:</t>
    <phoneticPr fontId="35" type="noConversion"/>
  </si>
  <si>
    <t>悬空</t>
    <phoneticPr fontId="35" type="noConversion"/>
  </si>
  <si>
    <t>恐惧</t>
    <phoneticPr fontId="35" type="noConversion"/>
  </si>
  <si>
    <t>沉睡</t>
    <phoneticPr fontId="35" type="noConversion"/>
  </si>
  <si>
    <t>强制</t>
    <phoneticPr fontId="35" type="noConversion"/>
  </si>
  <si>
    <t>普攻</t>
    <phoneticPr fontId="35" type="noConversion"/>
  </si>
  <si>
    <t>领主伤害</t>
    <phoneticPr fontId="35" type="noConversion"/>
  </si>
  <si>
    <t>领主减伤</t>
    <phoneticPr fontId="35" type="noConversion"/>
  </si>
  <si>
    <t>抵抗</t>
    <phoneticPr fontId="35" type="noConversion"/>
  </si>
  <si>
    <t>移动</t>
    <phoneticPr fontId="35" type="noConversion"/>
  </si>
  <si>
    <t>躲闪目标概率提升5%</t>
    <phoneticPr fontId="35" type="noConversion"/>
  </si>
  <si>
    <t>抗暴概率提升5%</t>
    <phoneticPr fontId="35" type="noConversion"/>
  </si>
  <si>
    <t>暴击概率提升5%</t>
    <phoneticPr fontId="35" type="noConversion"/>
  </si>
  <si>
    <t>当自身生命小于0时,有5%概率重生</t>
    <phoneticPr fontId="35" type="noConversion"/>
  </si>
  <si>
    <t>通过击败怪物获得的掉落奖励额外提升5%。</t>
    <phoneticPr fontId="36" type="noConversion"/>
  </si>
  <si>
    <t>力量提升100点</t>
  </si>
  <si>
    <t>智力提升100点</t>
  </si>
  <si>
    <t>敏捷提升100点</t>
  </si>
  <si>
    <t>耐力提升100点</t>
  </si>
  <si>
    <t>体质提升100点</t>
  </si>
  <si>
    <t>重击概率提升5%</t>
    <phoneticPr fontId="35" type="noConversion"/>
  </si>
  <si>
    <t>攻击领主伤害提升5%</t>
    <phoneticPr fontId="36" type="noConversion"/>
  </si>
  <si>
    <t>攻击速度提升5%</t>
    <phoneticPr fontId="36" type="noConversion"/>
  </si>
  <si>
    <t>躲闪概率提升5%</t>
    <phoneticPr fontId="35" type="noConversion"/>
  </si>
  <si>
    <t>技能闪避概率提升5%</t>
    <phoneticPr fontId="35" type="noConversion"/>
  </si>
  <si>
    <t>使用药剂或恢复技能额外恢复5%</t>
    <phoneticPr fontId="35" type="noConversion"/>
  </si>
  <si>
    <t>魔法光圈</t>
    <phoneticPr fontId="35" type="noConversion"/>
  </si>
  <si>
    <t>恢复己方范围内所有友方玩家20%的生命值</t>
  </si>
  <si>
    <t>10个技能</t>
    <phoneticPr fontId="35" type="noConversion"/>
  </si>
  <si>
    <t>1个额外技能,1个神兽之体各项属性提升20%</t>
    <phoneticPr fontId="35" type="noConversion"/>
  </si>
  <si>
    <t>迷惑之术</t>
    <phoneticPr fontId="35" type="noConversion"/>
  </si>
  <si>
    <t>普攻有20%概率召唤1个分身进行战斗,分身持续10秒</t>
    <phoneticPr fontId="35" type="noConversion"/>
  </si>
  <si>
    <t>对受到攻击伤害进行反射,对攻击者造成10%的伤害</t>
    <phoneticPr fontId="35" type="noConversion"/>
  </si>
  <si>
    <t>对前方范围造成喷吐伤害造成200%伤害,并使目标命中降低20%,产生致盲效果</t>
    <phoneticPr fontId="35" type="noConversion"/>
  </si>
  <si>
    <t>攻击造成200%伤害,并附带2秒眩晕</t>
    <phoneticPr fontId="35" type="noConversion"/>
  </si>
  <si>
    <t>自身是生命为0时会对附近单位造成一次300%爆炸伤害,并眩晕2秒</t>
    <phoneticPr fontId="35" type="noConversion"/>
  </si>
  <si>
    <t>每次攻击有20%概率对目标进行释放闪电链, 对最多5个单位造成150%伤害，受到闪电链攻击的目标将产生静电效果,收到伤害额外提升10%,持续3秒</t>
    <phoneticPr fontId="35" type="noConversion"/>
  </si>
  <si>
    <t>天使闪电</t>
    <phoneticPr fontId="35" type="noConversion"/>
  </si>
  <si>
    <t>暴击之核只加攻击不加魔法你这？</t>
  </si>
  <si>
    <t>并立即释放一个勇士</t>
  </si>
  <si>
    <t>每隔10秒立即出现在敌人身后(近战宠物基本上都在身后)</t>
    <phoneticPr fontId="35" type="noConversion"/>
  </si>
  <si>
    <t>受到物理攻击有30%概率给与攻击者反震,造成的伤害为受到伤害的50%</t>
    <phoneticPr fontId="35" type="noConversion"/>
  </si>
  <si>
    <t>受到魔法攻击有10%概率进行抵抗</t>
    <phoneticPr fontId="35" type="noConversion"/>
  </si>
  <si>
    <t>血量提升10%</t>
    <phoneticPr fontId="35" type="noConversion"/>
  </si>
  <si>
    <t>当目标有神佑技能时,造成伤害提升20%</t>
    <phoneticPr fontId="35" type="noConversion"/>
  </si>
  <si>
    <t>当目标有神佑技能时,造成伤害提升40%</t>
    <phoneticPr fontId="35" type="noConversion"/>
  </si>
  <si>
    <t>受到攻击有10%几率触发铁甲效果,免疫一切伤害2秒,对敌人范围内造成200%伤害和1秒眩晕,此效果当自身血量降低至50%时必然会触发一次</t>
    <phoneticPr fontId="35" type="noConversion"/>
  </si>
  <si>
    <t>宠物战斗有攻击策略?还是阵法？</t>
    <phoneticPr fontId="35" type="noConversion"/>
  </si>
  <si>
    <t>受到攻击后,立即对闪烁到目标身后,对范围内所有敌人造成200%伤害和2秒束缚</t>
    <phoneticPr fontId="35" type="noConversion"/>
  </si>
  <si>
    <t>战斗开始时,必定触发一次,每次攻击有10%概率恢复自身和周围队友5%最大生命值，并且自身攻速提升50%持续5秒</t>
    <phoneticPr fontId="35" type="noConversion"/>
  </si>
  <si>
    <t>爆率提升</t>
    <phoneticPr fontId="35" type="noConversion"/>
  </si>
  <si>
    <t>灿烂的结晶</t>
  </si>
  <si>
    <t>封印之塔挑战凭证</t>
  </si>
  <si>
    <t>每周任务</t>
    <phoneticPr fontId="35" type="noConversion"/>
  </si>
  <si>
    <t>赛季经验</t>
    <phoneticPr fontId="35" type="noConversion"/>
  </si>
  <si>
    <t>赛季晶核</t>
    <phoneticPr fontId="36" type="noConversion"/>
  </si>
  <si>
    <t>深渊凭证</t>
  </si>
  <si>
    <t>装备晶石袋子</t>
  </si>
  <si>
    <t>洗炼石袋子</t>
  </si>
  <si>
    <t>开启晶核</t>
    <phoneticPr fontId="35" type="noConversion"/>
  </si>
  <si>
    <t>数量</t>
    <phoneticPr fontId="35" type="noConversion"/>
  </si>
  <si>
    <t>遗忘之水</t>
  </si>
  <si>
    <t>传承灵石</t>
  </si>
  <si>
    <t>高级生肖袋子</t>
  </si>
  <si>
    <t>珍贵的宠物蛋</t>
  </si>
  <si>
    <t>传承图纸碎片</t>
  </si>
  <si>
    <t>随机宠物技能袋子</t>
  </si>
  <si>
    <t>宠之晶</t>
  </si>
  <si>
    <t>史诗宝石宝箱</t>
  </si>
  <si>
    <t>璀璨传承</t>
  </si>
  <si>
    <t>任务类型</t>
    <phoneticPr fontId="35" type="noConversion"/>
  </si>
  <si>
    <t>金币</t>
    <phoneticPr fontId="35" type="noConversion"/>
  </si>
  <si>
    <t>赛季之王</t>
    <phoneticPr fontId="35" type="noConversion"/>
  </si>
  <si>
    <t>赛季晶核</t>
    <phoneticPr fontId="35" type="noConversion"/>
  </si>
  <si>
    <t>概率</t>
    <phoneticPr fontId="35" type="noConversion"/>
  </si>
  <si>
    <t>刷新时间</t>
    <phoneticPr fontId="35" type="noConversion"/>
  </si>
  <si>
    <t>48小时</t>
    <phoneticPr fontId="35" type="noConversion"/>
  </si>
  <si>
    <t>冷却时间降低</t>
    <phoneticPr fontId="35" type="noConversion"/>
  </si>
  <si>
    <t>评分？</t>
    <phoneticPr fontId="35" type="noConversion"/>
  </si>
  <si>
    <t>60级BOSS掉落</t>
    <phoneticPr fontId="35" type="noConversion"/>
  </si>
  <si>
    <t>兑换</t>
    <phoneticPr fontId="35" type="noConversion"/>
  </si>
  <si>
    <t>兑换数量</t>
    <phoneticPr fontId="35" type="noConversion"/>
  </si>
  <si>
    <t>金条</t>
  </si>
  <si>
    <t>装备洗炼石</t>
  </si>
  <si>
    <t>初级赛季果实</t>
    <phoneticPr fontId="35" type="noConversion"/>
  </si>
  <si>
    <t>中级赛季果实</t>
    <phoneticPr fontId="35" type="noConversion"/>
  </si>
  <si>
    <t>高级赛季果实</t>
    <phoneticPr fontId="35" type="noConversion"/>
  </si>
  <si>
    <t>24小时</t>
    <phoneticPr fontId="35" type="noConversion"/>
  </si>
  <si>
    <t>12小时</t>
    <phoneticPr fontId="35" type="noConversion"/>
  </si>
  <si>
    <t>6小时</t>
    <phoneticPr fontId="35" type="noConversion"/>
  </si>
  <si>
    <t>尖刺刺身</t>
    <phoneticPr fontId="34" type="noConversion"/>
  </si>
  <si>
    <t>蛇击</t>
    <phoneticPr fontId="34" type="noConversion"/>
  </si>
  <si>
    <t>毒墨攻击</t>
    <phoneticPr fontId="34" type="noConversion"/>
  </si>
  <si>
    <t>淘气爆炸</t>
    <phoneticPr fontId="34" type="noConversion"/>
  </si>
  <si>
    <t>铁甲之力</t>
    <phoneticPr fontId="34" type="noConversion"/>
  </si>
  <si>
    <t>迷惑之术</t>
    <phoneticPr fontId="34" type="noConversion"/>
  </si>
  <si>
    <t>天使之翼</t>
    <phoneticPr fontId="34" type="noConversion"/>
  </si>
  <si>
    <t>闪避概率提升5%,命中概率提升5%</t>
    <phoneticPr fontId="35" type="noConversion"/>
  </si>
  <si>
    <t>神之专属</t>
  </si>
  <si>
    <t>3倍伤害</t>
    <phoneticPr fontId="35" type="noConversion"/>
  </si>
  <si>
    <t>基础值</t>
    <phoneticPr fontId="35" type="noConversion"/>
  </si>
  <si>
    <t>宠物之核附加</t>
    <phoneticPr fontId="35" type="noConversion"/>
  </si>
  <si>
    <t>套装激活</t>
    <phoneticPr fontId="35" type="noConversion"/>
  </si>
  <si>
    <t>对怪伤害额外提升20%</t>
    <phoneticPr fontId="35" type="noConversion"/>
  </si>
  <si>
    <t>攻击速度提升10%</t>
    <phoneticPr fontId="35" type="noConversion"/>
  </si>
  <si>
    <t>对怪伤害额外提升30%</t>
    <phoneticPr fontId="35" type="noConversion"/>
  </si>
  <si>
    <t>对怪伤害额外提升25%</t>
    <phoneticPr fontId="35" type="noConversion"/>
  </si>
  <si>
    <t>攻击速度提升5%</t>
    <phoneticPr fontId="35" type="noConversion"/>
  </si>
  <si>
    <t>攻击速度提升15%</t>
    <phoneticPr fontId="35" type="noConversion"/>
  </si>
  <si>
    <t xml:space="preserve"> 初级核心</t>
    <phoneticPr fontId="35" type="noConversion"/>
  </si>
  <si>
    <t>中级核心</t>
    <phoneticPr fontId="35" type="noConversion"/>
  </si>
  <si>
    <t>高级核心</t>
    <phoneticPr fontId="35" type="noConversion"/>
  </si>
  <si>
    <t>高阶重击</t>
    <phoneticPr fontId="35" type="noConversion"/>
  </si>
  <si>
    <t>对应钱</t>
    <phoneticPr fontId="35" type="noConversion"/>
  </si>
  <si>
    <t>传承增幅:极品</t>
    <phoneticPr fontId="36" type="noConversion"/>
  </si>
  <si>
    <t>1万</t>
    <phoneticPr fontId="35" type="noConversion"/>
  </si>
  <si>
    <t>金币</t>
    <phoneticPr fontId="35" type="noConversion"/>
  </si>
  <si>
    <t>万能鉴定符</t>
  </si>
  <si>
    <t>史莱姆</t>
  </si>
  <si>
    <t>森灵小妖</t>
  </si>
  <si>
    <t>森灵小猪</t>
  </si>
  <si>
    <t>绿林熊妖</t>
  </si>
  <si>
    <t>山贼</t>
  </si>
  <si>
    <t>森林蜘蛛</t>
  </si>
  <si>
    <t>森林熊</t>
  </si>
  <si>
    <t>獠牙猪妖</t>
  </si>
  <si>
    <t>巨锤酋长</t>
  </si>
  <si>
    <t>恶魔猪王</t>
  </si>
  <si>
    <t>邪能之主</t>
  </si>
  <si>
    <t>森灵之树</t>
  </si>
  <si>
    <t>漠灵风暴之王</t>
  </si>
  <si>
    <t>绿洲龟</t>
  </si>
  <si>
    <t>绿洲恐龙</t>
  </si>
  <si>
    <t>绿洲蜗牛</t>
  </si>
  <si>
    <t>荒漠鹰</t>
  </si>
  <si>
    <t>迅捷恐龙</t>
  </si>
  <si>
    <t>遗迹火焰</t>
  </si>
  <si>
    <t>遗迹弓手</t>
  </si>
  <si>
    <t>荒漠巨蟹</t>
  </si>
  <si>
    <t>沙漠之鳄</t>
  </si>
  <si>
    <t>绿洲龟王</t>
  </si>
  <si>
    <t>遗迹守护者</t>
  </si>
  <si>
    <t>遗迹之王</t>
  </si>
  <si>
    <t>螃蟹护卫</t>
  </si>
  <si>
    <t>猛虎</t>
  </si>
  <si>
    <t>丛林虎</t>
  </si>
  <si>
    <t>兽人护卫</t>
  </si>
  <si>
    <t>地精守卫</t>
  </si>
  <si>
    <t>兽人骑兵</t>
  </si>
  <si>
    <t>岩石护卫</t>
  </si>
  <si>
    <t>蛤蟆守护者</t>
  </si>
  <si>
    <t>地下巨鳄</t>
  </si>
  <si>
    <t>地下兽人祭祀</t>
  </si>
  <si>
    <t>地灵牛头之王</t>
  </si>
  <si>
    <t>冰灵蜘蛛</t>
  </si>
  <si>
    <t>雪狼</t>
  </si>
  <si>
    <t>冰灵山羊</t>
  </si>
  <si>
    <t>冰封蜗牛</t>
  </si>
  <si>
    <t>冰块士兵</t>
  </si>
  <si>
    <t>冰灵</t>
  </si>
  <si>
    <t>冰块护卫</t>
  </si>
  <si>
    <t>冰封蛛王</t>
  </si>
  <si>
    <t>冰灵之王</t>
  </si>
  <si>
    <t>冰岩巨人</t>
  </si>
  <si>
    <t>冰雪之主</t>
  </si>
  <si>
    <t>冰封巨龙</t>
  </si>
  <si>
    <t>精灵蝴蝶</t>
  </si>
  <si>
    <t>影月护卫</t>
  </si>
  <si>
    <t>影月弓手</t>
  </si>
  <si>
    <t>影月骑兵</t>
  </si>
  <si>
    <t>暗灵士兵</t>
  </si>
  <si>
    <t>熔岩护卫</t>
  </si>
  <si>
    <t>影月碟王</t>
  </si>
  <si>
    <t>影月女王</t>
  </si>
  <si>
    <t>暗灵守卫者</t>
  </si>
  <si>
    <t>暗灵狮鹫</t>
  </si>
  <si>
    <t>暗灵之主</t>
  </si>
  <si>
    <t>系数</t>
    <phoneticPr fontId="35" type="noConversion"/>
  </si>
  <si>
    <t>属性</t>
    <phoneticPr fontId="35" type="noConversion"/>
  </si>
  <si>
    <t>效果</t>
    <phoneticPr fontId="35" type="noConversion"/>
  </si>
  <si>
    <t>生命值</t>
    <phoneticPr fontId="35" type="noConversion"/>
  </si>
  <si>
    <t>角色能够承受的伤害</t>
    <phoneticPr fontId="35" type="noConversion"/>
  </si>
  <si>
    <t>攻击力</t>
    <phoneticPr fontId="35" type="noConversion"/>
  </si>
  <si>
    <t>防御力</t>
    <phoneticPr fontId="35" type="noConversion"/>
  </si>
  <si>
    <t>提高普通攻击和技能基础伤害</t>
    <phoneticPr fontId="35" type="noConversion"/>
  </si>
  <si>
    <t>减少受到的物理伤害</t>
    <phoneticPr fontId="35" type="noConversion"/>
  </si>
  <si>
    <t>法术强度</t>
    <phoneticPr fontId="35" type="noConversion"/>
  </si>
  <si>
    <t>攻击速度</t>
    <phoneticPr fontId="35" type="noConversion"/>
  </si>
  <si>
    <t>提高普通攻击频率</t>
    <phoneticPr fontId="35" type="noConversion"/>
  </si>
  <si>
    <t>攻击强度</t>
    <phoneticPr fontId="35" type="noConversion"/>
  </si>
  <si>
    <t>提高近战普通攻击的效果</t>
    <phoneticPr fontId="35" type="noConversion"/>
  </si>
  <si>
    <t>提高魔法技能的伤害效果</t>
    <phoneticPr fontId="35" type="noConversion"/>
  </si>
  <si>
    <t>移动速度</t>
    <phoneticPr fontId="35" type="noConversion"/>
  </si>
  <si>
    <t>提高角色移动速度</t>
    <phoneticPr fontId="35" type="noConversion"/>
  </si>
  <si>
    <t>暴击率</t>
    <phoneticPr fontId="35" type="noConversion"/>
  </si>
  <si>
    <t>攻击产生暴击的概率</t>
    <phoneticPr fontId="35" type="noConversion"/>
  </si>
  <si>
    <t>暴击伤害</t>
    <phoneticPr fontId="35" type="noConversion"/>
  </si>
  <si>
    <t>固定值</t>
    <phoneticPr fontId="35" type="noConversion"/>
  </si>
  <si>
    <t>百分比</t>
    <phoneticPr fontId="35" type="noConversion"/>
  </si>
  <si>
    <t>暴击时造成的额外伤害</t>
    <phoneticPr fontId="35" type="noConversion"/>
  </si>
  <si>
    <t>命中率</t>
    <phoneticPr fontId="35" type="noConversion"/>
  </si>
  <si>
    <t>降低攻击落空概率</t>
    <phoneticPr fontId="35" type="noConversion"/>
  </si>
  <si>
    <t>闪避率</t>
    <phoneticPr fontId="35" type="noConversion"/>
  </si>
  <si>
    <t>有概率完全躲避攻击</t>
    <phoneticPr fontId="35" type="noConversion"/>
  </si>
  <si>
    <t>抗暴率</t>
    <phoneticPr fontId="35" type="noConversion"/>
  </si>
  <si>
    <t>抵抗暴击的概率</t>
    <phoneticPr fontId="35" type="noConversion"/>
  </si>
  <si>
    <t>火系伤害</t>
    <phoneticPr fontId="35" type="noConversion"/>
  </si>
  <si>
    <t>水系伤害</t>
    <phoneticPr fontId="35" type="noConversion"/>
  </si>
  <si>
    <t>暗系伤害</t>
    <phoneticPr fontId="35" type="noConversion"/>
  </si>
  <si>
    <t>光系伤害</t>
    <phoneticPr fontId="35" type="noConversion"/>
  </si>
  <si>
    <t>自然伤害</t>
    <phoneticPr fontId="35" type="noConversion"/>
  </si>
  <si>
    <t>可以</t>
    <phoneticPr fontId="35" type="noConversion"/>
  </si>
  <si>
    <t>每个技能有对应的系列,对应系列的技能伤害提升</t>
    <phoneticPr fontId="35" type="noConversion"/>
  </si>
  <si>
    <t>冷却缩减</t>
    <phoneticPr fontId="35" type="noConversion"/>
  </si>
  <si>
    <t>减少技能冷却时间</t>
    <phoneticPr fontId="35" type="noConversion"/>
  </si>
  <si>
    <t>金币加成</t>
    <phoneticPr fontId="35" type="noConversion"/>
  </si>
  <si>
    <t>提高获得的金币</t>
    <phoneticPr fontId="35" type="noConversion"/>
  </si>
  <si>
    <t>经验加成</t>
    <phoneticPr fontId="35" type="noConversion"/>
  </si>
  <si>
    <t>提高获得的经验</t>
    <phoneticPr fontId="35" type="noConversion"/>
  </si>
  <si>
    <t>火系抗性</t>
  </si>
  <si>
    <t>每个技能有对应的系列,对应系列的技能抗性提升</t>
  </si>
  <si>
    <t>水系抗性</t>
  </si>
  <si>
    <t>暗系抗性</t>
  </si>
  <si>
    <t>光系抗性</t>
  </si>
  <si>
    <t>自然抗性</t>
  </si>
  <si>
    <t>降低敌人防御力</t>
    <phoneticPr fontId="35" type="noConversion"/>
  </si>
  <si>
    <t>穿透</t>
  </si>
  <si>
    <t>斩击</t>
    <phoneticPr fontId="35" type="noConversion"/>
  </si>
  <si>
    <t>当目标血量低于30%,额外造成的伤害</t>
    <phoneticPr fontId="35" type="noConversion"/>
  </si>
  <si>
    <t>集中</t>
    <phoneticPr fontId="35" type="noConversion"/>
  </si>
  <si>
    <t>距离敌人越远，伤害越高</t>
  </si>
  <si>
    <t>对目标持续3秒后输出变高</t>
    <phoneticPr fontId="35" type="noConversion"/>
  </si>
  <si>
    <t>距离敌人越近，伤害越高</t>
  </si>
  <si>
    <t>距离增伤</t>
  </si>
  <si>
    <t>贴身增伤</t>
  </si>
  <si>
    <t>溅射</t>
    <phoneticPr fontId="35" type="noConversion"/>
  </si>
  <si>
    <t>对有主目标的普通攻击和技能攻击的伤害可以扩散到附近的单位</t>
    <phoneticPr fontId="35" type="noConversion"/>
  </si>
  <si>
    <t>异常状态</t>
    <phoneticPr fontId="35" type="noConversion"/>
  </si>
  <si>
    <t>灼烧</t>
    <phoneticPr fontId="35" type="noConversion"/>
  </si>
  <si>
    <t>持续造成火焰伤害</t>
    <phoneticPr fontId="35" type="noConversion"/>
  </si>
  <si>
    <t>固定值,秒</t>
    <phoneticPr fontId="35" type="noConversion"/>
  </si>
  <si>
    <t>沉默</t>
  </si>
  <si>
    <t>无法释放技能</t>
    <phoneticPr fontId="35" type="noConversion"/>
  </si>
  <si>
    <t>缴械</t>
  </si>
  <si>
    <t>无法攻击</t>
    <phoneticPr fontId="35" type="noConversion"/>
  </si>
  <si>
    <t>恐惧</t>
  </si>
  <si>
    <t>让敌人四处游走</t>
    <phoneticPr fontId="35" type="noConversion"/>
  </si>
  <si>
    <t>效果描述</t>
    <phoneticPr fontId="35" type="noConversion"/>
  </si>
  <si>
    <t>眩晕</t>
    <phoneticPr fontId="35" type="noConversion"/>
  </si>
  <si>
    <t>无法移动和释放技能和攻击</t>
    <phoneticPr fontId="35" type="noConversion"/>
  </si>
  <si>
    <t>格挡</t>
    <phoneticPr fontId="35" type="noConversion"/>
  </si>
  <si>
    <t>技能抵抗</t>
    <phoneticPr fontId="35" type="noConversion"/>
  </si>
  <si>
    <t>受到技能将会减免一定的伤害</t>
    <phoneticPr fontId="35" type="noConversion"/>
  </si>
  <si>
    <t>有一定概率抵抗普通攻击造成的伤害</t>
    <phoneticPr fontId="35" type="noConversion"/>
  </si>
  <si>
    <t>异常抗性</t>
    <phoneticPr fontId="35" type="noConversion"/>
  </si>
  <si>
    <t>降低负面状态命中概率</t>
    <phoneticPr fontId="35" type="noConversion"/>
  </si>
  <si>
    <t>伤害加成</t>
    <phoneticPr fontId="35" type="noConversion"/>
  </si>
  <si>
    <t>伤害减免</t>
    <phoneticPr fontId="35" type="noConversion"/>
  </si>
  <si>
    <t>造成伤害的总加成</t>
    <phoneticPr fontId="35" type="noConversion"/>
  </si>
  <si>
    <t>受到伤害的总减免</t>
    <phoneticPr fontId="35" type="noConversion"/>
  </si>
  <si>
    <t>首领减伤</t>
    <phoneticPr fontId="35" type="noConversion"/>
  </si>
  <si>
    <t>减少Boss造成的伤害</t>
  </si>
  <si>
    <t>首领增伤</t>
    <phoneticPr fontId="35" type="noConversion"/>
  </si>
  <si>
    <t>增加Boss造成的伤害</t>
    <phoneticPr fontId="35" type="noConversion"/>
  </si>
  <si>
    <t>技能属性类型</t>
    <phoneticPr fontId="35" type="noConversion"/>
  </si>
  <si>
    <t>火系</t>
    <phoneticPr fontId="35" type="noConversion"/>
  </si>
  <si>
    <t>水系</t>
    <phoneticPr fontId="35" type="noConversion"/>
  </si>
  <si>
    <t>暗系</t>
    <phoneticPr fontId="35" type="noConversion"/>
  </si>
  <si>
    <t>光系</t>
    <phoneticPr fontId="35" type="noConversion"/>
  </si>
  <si>
    <t>自然</t>
    <phoneticPr fontId="35" type="noConversion"/>
  </si>
  <si>
    <t>电系</t>
    <phoneticPr fontId="35" type="noConversion"/>
  </si>
  <si>
    <t>电系抗性</t>
    <phoneticPr fontId="35" type="noConversion"/>
  </si>
  <si>
    <t>电系伤害</t>
    <phoneticPr fontId="35" type="noConversion"/>
  </si>
  <si>
    <t>治疗增效</t>
    <phoneticPr fontId="35" type="noConversion"/>
  </si>
  <si>
    <t>恢复药剂的生命以及恢复类技能的恢复量提高</t>
    <phoneticPr fontId="35" type="noConversion"/>
  </si>
  <si>
    <t>免费施法</t>
    <phoneticPr fontId="35" type="noConversion"/>
  </si>
  <si>
    <t>技能有概率不进入冷却时间</t>
    <phoneticPr fontId="35" type="noConversion"/>
  </si>
  <si>
    <t>感电：受到攻击时有概率将此伤害向附近敌人传导伤害</t>
    <phoneticPr fontId="35" type="noConversion"/>
  </si>
  <si>
    <t>传到一个人有电击的效果,逐个的传递</t>
    <phoneticPr fontId="35" type="noConversion"/>
  </si>
  <si>
    <t>侵蚀：降低防御和受到的治疗效果</t>
  </si>
  <si>
    <t>圣痕：目标受到的伤害提高</t>
    <phoneticPr fontId="35" type="noConversion"/>
  </si>
  <si>
    <t>灼烧：持续受到伤害；叠满后触发爆燃</t>
    <phoneticPr fontId="35" type="noConversion"/>
  </si>
  <si>
    <t>潮湿：降低移动速度，并强化电系效果</t>
    <phoneticPr fontId="35" type="noConversion"/>
  </si>
  <si>
    <t>中毒：持续伤害,并降低移动速度</t>
    <phoneticPr fontId="35" type="noConversion"/>
  </si>
  <si>
    <t>表现效果参考</t>
    <phoneticPr fontId="35" type="noConversion"/>
  </si>
  <si>
    <t>一类属性</t>
    <phoneticPr fontId="35" type="noConversion"/>
  </si>
  <si>
    <t>力量</t>
    <phoneticPr fontId="35" type="noConversion"/>
  </si>
  <si>
    <t>智力</t>
    <phoneticPr fontId="35" type="noConversion"/>
  </si>
  <si>
    <t>敏捷</t>
    <phoneticPr fontId="35" type="noConversion"/>
  </si>
  <si>
    <t>体质</t>
    <phoneticPr fontId="35" type="noConversion"/>
  </si>
  <si>
    <t>提高生命值</t>
    <phoneticPr fontId="35" type="noConversion"/>
  </si>
  <si>
    <t>耐力</t>
    <phoneticPr fontId="35" type="noConversion"/>
  </si>
  <si>
    <t>提高防御属性</t>
    <phoneticPr fontId="35" type="noConversion"/>
  </si>
  <si>
    <t>眩晕恢复</t>
    <phoneticPr fontId="35" type="noConversion"/>
  </si>
  <si>
    <t>受到眩晕冷却降低多少</t>
    <phoneticPr fontId="35" type="noConversion"/>
  </si>
  <si>
    <t>提高攻击强度</t>
    <phoneticPr fontId="35" type="noConversion"/>
  </si>
  <si>
    <t>提高法术强度</t>
    <phoneticPr fontId="35" type="noConversion"/>
  </si>
  <si>
    <t>增加攻击属性</t>
    <phoneticPr fontId="35" type="noConversion"/>
  </si>
  <si>
    <t>增加普攻伤害</t>
    <phoneticPr fontId="35" type="noConversion"/>
  </si>
  <si>
    <t>增加所有技能类伤害</t>
    <phoneticPr fontId="35" type="noConversion"/>
  </si>
  <si>
    <t>每次攻击概率忽略目标的抗性或护甲</t>
    <phoneticPr fontId="35" type="noConversion"/>
  </si>
  <si>
    <t>反弹伤害</t>
    <phoneticPr fontId="35" type="noConversion"/>
  </si>
  <si>
    <t>受到伤害有一定概率将此伤害反弹给目标敌人</t>
    <phoneticPr fontId="35" type="noConversion"/>
  </si>
  <si>
    <t>增加自身的技能抵抗概率和格挡的概率</t>
    <phoneticPr fontId="35" type="noConversion"/>
  </si>
  <si>
    <t>如果当前属性比玩家属性高</t>
    <phoneticPr fontId="35" type="noConversion"/>
  </si>
  <si>
    <t>对比属性</t>
    <phoneticPr fontId="35" type="noConversion"/>
  </si>
  <si>
    <t>暴击提升5%</t>
    <phoneticPr fontId="35" type="noConversion"/>
  </si>
  <si>
    <t>闪避提升5%</t>
    <phoneticPr fontId="35" type="noConversion"/>
  </si>
  <si>
    <t>命中提升5%</t>
    <phoneticPr fontId="35" type="noConversion"/>
  </si>
  <si>
    <t>抗暴提升5%</t>
    <phoneticPr fontId="35" type="noConversion"/>
  </si>
  <si>
    <t>技能伤害提升5%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</si>
</sst>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9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theme="1"/>
      <name val="新宋体"/>
      <family val="3"/>
      <charset val="134"/>
    </font>
    <font>
      <sz val="10"/>
      <color rgb="FFFF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rgb="FF7030A0"/>
      <name val="等线"/>
      <family val="3"/>
      <charset val="134"/>
      <scheme val="minor"/>
    </font>
    <font>
      <sz val="10"/>
      <color rgb="FF515151"/>
      <name val="微软雅黑"/>
      <family val="2"/>
      <charset val="134"/>
    </font>
    <font>
      <sz val="10"/>
      <color rgb="FF515151"/>
      <name val="PingFangSC-Regular"/>
      <family val="1"/>
    </font>
    <font>
      <sz val="10"/>
      <color rgb="FF0070C0"/>
      <name val="等线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theme="9" tint="-0.249977111117893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color rgb="FF999999"/>
      <name val="Microsoft yahei"/>
      <charset val="134"/>
    </font>
    <font>
      <sz val="11"/>
      <color rgb="FF111111"/>
      <name val="Microsoft yahei"/>
      <charset val="134"/>
    </font>
    <font>
      <sz val="9"/>
      <color rgb="FFBBBBBB"/>
      <name val="Microsoft yahei"/>
      <charset val="134"/>
    </font>
    <font>
      <sz val="11"/>
      <color rgb="FF000000"/>
      <name val="Microsoft yahei"/>
      <charset val="134"/>
    </font>
    <font>
      <sz val="10"/>
      <color rgb="FF262626"/>
      <name val="Segoe UI"/>
      <family val="2"/>
    </font>
    <font>
      <sz val="10"/>
      <name val="宋体"/>
      <family val="3"/>
      <charset val="134"/>
    </font>
    <font>
      <sz val="10"/>
      <color rgb="FFC00000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rgb="FF0070C0"/>
      <name val="宋体"/>
      <family val="3"/>
      <charset val="134"/>
    </font>
    <font>
      <sz val="10"/>
      <color rgb="FF0070C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Tahoma"/>
      <family val="2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11343729972229"/>
        <bgColor indexed="64"/>
      </patternFill>
    </fill>
    <fill>
      <patternFill patternType="solid">
        <fgColor theme="0" tint="-0.14947965941343425"/>
        <bgColor indexed="64"/>
      </patternFill>
    </fill>
    <fill>
      <patternFill patternType="solid">
        <fgColor theme="0" tint="-0.14914395580919829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357585375530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33469649342324"/>
        <bgColor indexed="64"/>
      </patternFill>
    </fill>
    <fill>
      <patternFill patternType="solid">
        <fgColor theme="5" tint="0.39933469649342324"/>
        <bgColor indexed="64"/>
      </patternFill>
    </fill>
    <fill>
      <patternFill patternType="solid">
        <fgColor theme="0" tint="-0.14932706686605426"/>
        <bgColor indexed="64"/>
      </patternFill>
    </fill>
    <fill>
      <patternFill patternType="solid">
        <fgColor theme="0" tint="-0.14938810388500626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1488082522049623"/>
        <bgColor indexed="64"/>
      </patternFill>
    </fill>
    <fill>
      <patternFill patternType="solid">
        <fgColor theme="0" tint="-0.148838770714438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1487777336954863"/>
        <bgColor indexed="64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70091860713525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36521500289923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2">
    <xf numFmtId="0" fontId="0" fillId="0" borderId="0"/>
    <xf numFmtId="0" fontId="29" fillId="0" borderId="0"/>
  </cellStyleXfs>
  <cellXfs count="120">
    <xf numFmtId="0" fontId="0" fillId="0" borderId="0" xfId="0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5" borderId="0" xfId="1" applyFont="1" applyFill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6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8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" fillId="9" borderId="0" xfId="1" applyFont="1" applyFill="1" applyAlignment="1">
      <alignment horizontal="center" vertical="center"/>
    </xf>
    <xf numFmtId="0" fontId="1" fillId="9" borderId="2" xfId="1" applyFont="1" applyFill="1" applyBorder="1" applyAlignment="1">
      <alignment horizontal="center" vertical="center"/>
    </xf>
    <xf numFmtId="0" fontId="1" fillId="10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0" xfId="0" applyFont="1" applyFill="1" applyAlignment="1">
      <alignment vertical="center"/>
    </xf>
    <xf numFmtId="17" fontId="1" fillId="0" borderId="0" xfId="0" applyNumberFormat="1" applyFo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14" borderId="2" xfId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15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/>
    </xf>
    <xf numFmtId="0" fontId="23" fillId="0" borderId="0" xfId="0" applyFont="1"/>
    <xf numFmtId="49" fontId="3" fillId="16" borderId="6" xfId="0" applyNumberFormat="1" applyFont="1" applyFill="1" applyBorder="1" applyAlignment="1">
      <alignment horizontal="left" vertical="center"/>
    </xf>
    <xf numFmtId="0" fontId="24" fillId="16" borderId="6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left" vertical="center"/>
    </xf>
    <xf numFmtId="9" fontId="15" fillId="0" borderId="0" xfId="0" applyNumberFormat="1" applyFont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27" fillId="0" borderId="0" xfId="0" applyFont="1"/>
    <xf numFmtId="0" fontId="15" fillId="0" borderId="0" xfId="0" applyFont="1"/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" fillId="17" borderId="2" xfId="1" applyFont="1" applyFill="1" applyBorder="1" applyAlignment="1">
      <alignment horizontal="left" vertical="center"/>
    </xf>
    <xf numFmtId="0" fontId="29" fillId="0" borderId="0" xfId="0" applyFont="1"/>
    <xf numFmtId="0" fontId="37" fillId="0" borderId="0" xfId="0" applyFont="1"/>
    <xf numFmtId="49" fontId="5" fillId="4" borderId="3" xfId="0" applyNumberFormat="1" applyFont="1" applyFill="1" applyBorder="1" applyAlignment="1">
      <alignment horizontal="center" vertical="center"/>
    </xf>
    <xf numFmtId="0" fontId="1" fillId="4" borderId="2" xfId="1" applyFont="1" applyFill="1" applyBorder="1" applyAlignment="1">
      <alignment horizontal="center" vertical="center"/>
    </xf>
    <xf numFmtId="49" fontId="1" fillId="18" borderId="3" xfId="0" applyNumberFormat="1" applyFont="1" applyFill="1" applyBorder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4" fillId="19" borderId="6" xfId="0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14" fillId="4" borderId="6" xfId="0" applyNumberFormat="1" applyFont="1" applyFill="1" applyBorder="1" applyAlignment="1">
      <alignment horizontal="center" vertical="center"/>
    </xf>
    <xf numFmtId="0" fontId="1" fillId="20" borderId="0" xfId="1" applyFont="1" applyFill="1" applyAlignment="1">
      <alignment horizontal="center" vertical="center"/>
    </xf>
    <xf numFmtId="0" fontId="1" fillId="20" borderId="2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常规" xfId="0" builtinId="0"/>
    <cellStyle name="常规 6" xfId="1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37</xdr:row>
      <xdr:rowOff>0</xdr:rowOff>
    </xdr:from>
    <xdr:to>
      <xdr:col>4</xdr:col>
      <xdr:colOff>646331</xdr:colOff>
      <xdr:row>39</xdr:row>
      <xdr:rowOff>12191</xdr:rowOff>
    </xdr:to>
    <xdr:sp macro="" textlink="">
      <xdr:nvSpPr>
        <xdr:cNvPr id="2" name="文本框 1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2743200" y="9444990"/>
          <a:ext cx="645795" cy="52260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twoCellAnchor>
  <xdr:twoCellAnchor editAs="oneCell">
    <xdr:from>
      <xdr:col>10</xdr:col>
      <xdr:colOff>85725</xdr:colOff>
      <xdr:row>42</xdr:row>
      <xdr:rowOff>161925</xdr:rowOff>
    </xdr:from>
    <xdr:to>
      <xdr:col>15</xdr:col>
      <xdr:colOff>361380</xdr:colOff>
      <xdr:row>56</xdr:row>
      <xdr:rowOff>87205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10883265"/>
          <a:ext cx="4561840" cy="3498850"/>
        </a:xfrm>
        <a:prstGeom prst="rect">
          <a:avLst/>
        </a:prstGeom>
      </xdr:spPr>
    </xdr:pic>
    <xdr:clientData/>
  </xdr:twoCellAnchor>
  <xdr:twoCellAnchor editAs="oneCell">
    <xdr:from>
      <xdr:col>17</xdr:col>
      <xdr:colOff>152400</xdr:colOff>
      <xdr:row>42</xdr:row>
      <xdr:rowOff>64770</xdr:rowOff>
    </xdr:from>
    <xdr:to>
      <xdr:col>21</xdr:col>
      <xdr:colOff>342265</xdr:colOff>
      <xdr:row>56</xdr:row>
      <xdr:rowOff>199390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1925" y="10786110"/>
          <a:ext cx="3237865" cy="370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iJingGame_Hot/S_&#25968;&#20540;&#25991;&#26723;/&#23646;&#24615;&#34920;%20-%20&#21103;&#2641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GitWeiJing\Excel\ItemConfig.xlsx" TargetMode="External"/><Relationship Id="rId1" Type="http://schemas.openxmlformats.org/officeDocument/2006/relationships/externalLinkPath" Target="/GitWeiJing/Excel/Item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础属性"/>
      <sheetName val="职业技能"/>
      <sheetName val="属性总表"/>
      <sheetName val="等级属性"/>
      <sheetName val="boss技能"/>
      <sheetName val="装备属性"/>
      <sheetName val="掉落配置"/>
      <sheetName val="怪物基础属性表"/>
      <sheetName val="关卡配置"/>
      <sheetName val="任务配置"/>
      <sheetName val="Sheet1"/>
      <sheetName val="宠物属性"/>
      <sheetName val="宠物属性列表"/>
      <sheetName val="暴击等级换算"/>
    </sheetNames>
    <sheetDataSet>
      <sheetData sheetId="0" refreshError="1"/>
      <sheetData sheetId="1" refreshError="1"/>
      <sheetData sheetId="2" refreshError="1">
        <row r="5">
          <cell r="E5">
            <v>1050</v>
          </cell>
          <cell r="F5">
            <v>100</v>
          </cell>
          <cell r="G5">
            <v>30</v>
          </cell>
          <cell r="H5">
            <v>30</v>
          </cell>
        </row>
      </sheetData>
      <sheetData sheetId="3" refreshError="1">
        <row r="2">
          <cell r="C2">
            <v>5</v>
          </cell>
        </row>
        <row r="3">
          <cell r="C3">
            <v>5.12</v>
          </cell>
        </row>
        <row r="4">
          <cell r="C4">
            <v>5.24</v>
          </cell>
        </row>
        <row r="5">
          <cell r="C5">
            <v>5.36</v>
          </cell>
        </row>
        <row r="6">
          <cell r="C6">
            <v>5.48</v>
          </cell>
        </row>
        <row r="7">
          <cell r="C7">
            <v>5.6</v>
          </cell>
        </row>
        <row r="8">
          <cell r="C8">
            <v>5.72</v>
          </cell>
        </row>
        <row r="9">
          <cell r="C9">
            <v>5.84</v>
          </cell>
        </row>
        <row r="10">
          <cell r="C10">
            <v>5.96</v>
          </cell>
        </row>
        <row r="11">
          <cell r="C11">
            <v>6.08</v>
          </cell>
        </row>
        <row r="12">
          <cell r="C12">
            <v>6.2</v>
          </cell>
        </row>
        <row r="13">
          <cell r="C13">
            <v>6.32</v>
          </cell>
        </row>
        <row r="14">
          <cell r="C14">
            <v>6.44</v>
          </cell>
        </row>
        <row r="15">
          <cell r="C15">
            <v>6.56</v>
          </cell>
        </row>
        <row r="16">
          <cell r="C16">
            <v>6.68</v>
          </cell>
        </row>
        <row r="17">
          <cell r="C17">
            <v>6.8</v>
          </cell>
        </row>
        <row r="18">
          <cell r="C18">
            <v>6.92</v>
          </cell>
        </row>
        <row r="19">
          <cell r="C19">
            <v>7.04</v>
          </cell>
        </row>
        <row r="20">
          <cell r="C20">
            <v>7.16</v>
          </cell>
        </row>
        <row r="21">
          <cell r="C21">
            <v>7.28</v>
          </cell>
        </row>
        <row r="22">
          <cell r="C22">
            <v>7.4</v>
          </cell>
        </row>
        <row r="23">
          <cell r="C23">
            <v>7.52</v>
          </cell>
        </row>
        <row r="24">
          <cell r="C24">
            <v>7.64</v>
          </cell>
        </row>
        <row r="25">
          <cell r="C25">
            <v>7.76</v>
          </cell>
        </row>
        <row r="26">
          <cell r="C26">
            <v>7.88</v>
          </cell>
        </row>
        <row r="27">
          <cell r="C27">
            <v>8</v>
          </cell>
        </row>
        <row r="28">
          <cell r="C28">
            <v>8.1199999999999992</v>
          </cell>
        </row>
        <row r="29">
          <cell r="C29">
            <v>8.24</v>
          </cell>
        </row>
        <row r="30">
          <cell r="C30">
            <v>8.36</v>
          </cell>
        </row>
        <row r="31">
          <cell r="C31">
            <v>8.48</v>
          </cell>
        </row>
        <row r="32">
          <cell r="C32">
            <v>8.6</v>
          </cell>
        </row>
        <row r="33">
          <cell r="C33">
            <v>8.7200000000000006</v>
          </cell>
        </row>
        <row r="34">
          <cell r="C34">
            <v>8.84</v>
          </cell>
        </row>
        <row r="35">
          <cell r="C35">
            <v>8.9600000000000009</v>
          </cell>
        </row>
        <row r="36">
          <cell r="C36">
            <v>9.0799999999999894</v>
          </cell>
        </row>
        <row r="37">
          <cell r="C37">
            <v>9.1999999999999904</v>
          </cell>
        </row>
        <row r="38">
          <cell r="C38">
            <v>9.3199999999999896</v>
          </cell>
        </row>
        <row r="39">
          <cell r="C39">
            <v>9.4399999999999906</v>
          </cell>
        </row>
        <row r="40">
          <cell r="C40">
            <v>9.5599999999999898</v>
          </cell>
        </row>
        <row r="41">
          <cell r="C41">
            <v>9.6799999999999908</v>
          </cell>
        </row>
        <row r="42">
          <cell r="C42">
            <v>9.7999999999999901</v>
          </cell>
        </row>
        <row r="43">
          <cell r="C43">
            <v>9.9199999999999893</v>
          </cell>
        </row>
        <row r="44">
          <cell r="C44">
            <v>10.039999999999999</v>
          </cell>
        </row>
        <row r="45">
          <cell r="C45">
            <v>10.16</v>
          </cell>
        </row>
        <row r="46">
          <cell r="C46">
            <v>10.28</v>
          </cell>
        </row>
        <row r="47">
          <cell r="C47">
            <v>10.4</v>
          </cell>
        </row>
        <row r="48">
          <cell r="C48">
            <v>10.52</v>
          </cell>
        </row>
        <row r="49">
          <cell r="C49">
            <v>10.64</v>
          </cell>
        </row>
        <row r="50">
          <cell r="C50">
            <v>10.76</v>
          </cell>
        </row>
        <row r="51">
          <cell r="C51">
            <v>10.88</v>
          </cell>
        </row>
        <row r="52">
          <cell r="C52">
            <v>11</v>
          </cell>
        </row>
        <row r="53">
          <cell r="C53">
            <v>11.12</v>
          </cell>
        </row>
        <row r="54">
          <cell r="C54">
            <v>11.24</v>
          </cell>
        </row>
        <row r="55">
          <cell r="C55">
            <v>11.36</v>
          </cell>
        </row>
        <row r="56">
          <cell r="C56">
            <v>11.48</v>
          </cell>
        </row>
        <row r="57">
          <cell r="C57">
            <v>11.6</v>
          </cell>
        </row>
        <row r="58">
          <cell r="C58">
            <v>11.72</v>
          </cell>
        </row>
        <row r="59">
          <cell r="C59">
            <v>11.84</v>
          </cell>
        </row>
        <row r="60">
          <cell r="C60">
            <v>11.96</v>
          </cell>
        </row>
        <row r="61">
          <cell r="C61">
            <v>12.08</v>
          </cell>
        </row>
        <row r="62">
          <cell r="C62">
            <v>12.2</v>
          </cell>
        </row>
        <row r="63">
          <cell r="C63">
            <v>12.32</v>
          </cell>
        </row>
        <row r="64">
          <cell r="C64">
            <v>12.44</v>
          </cell>
        </row>
        <row r="65">
          <cell r="C65">
            <v>12.56</v>
          </cell>
        </row>
        <row r="66">
          <cell r="C66">
            <v>12.68</v>
          </cell>
        </row>
        <row r="67">
          <cell r="C67">
            <v>12.8</v>
          </cell>
        </row>
        <row r="68">
          <cell r="C68">
            <v>12.92</v>
          </cell>
        </row>
        <row r="69">
          <cell r="C69">
            <v>13.04</v>
          </cell>
        </row>
        <row r="70">
          <cell r="C70">
            <v>13.16</v>
          </cell>
        </row>
        <row r="71">
          <cell r="C71">
            <v>13.28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Proto"/>
    </sheetNames>
    <sheetDataSet>
      <sheetData sheetId="0">
        <row r="856">
          <cell r="C856">
            <v>13002103</v>
          </cell>
        </row>
        <row r="857">
          <cell r="C857">
            <v>13002104</v>
          </cell>
        </row>
        <row r="858">
          <cell r="C858">
            <v>13002105</v>
          </cell>
        </row>
        <row r="859">
          <cell r="C859">
            <v>13003001</v>
          </cell>
        </row>
        <row r="860">
          <cell r="C860">
            <v>13003002</v>
          </cell>
        </row>
        <row r="861">
          <cell r="C861">
            <v>13003003</v>
          </cell>
        </row>
        <row r="862">
          <cell r="C862">
            <v>13003004</v>
          </cell>
        </row>
        <row r="863">
          <cell r="C863">
            <v>13003005</v>
          </cell>
        </row>
        <row r="864">
          <cell r="C864">
            <v>13003006</v>
          </cell>
        </row>
        <row r="865">
          <cell r="C865">
            <v>13003101</v>
          </cell>
        </row>
        <row r="866">
          <cell r="C866">
            <v>13003102</v>
          </cell>
        </row>
        <row r="867">
          <cell r="C867">
            <v>13003103</v>
          </cell>
        </row>
        <row r="868">
          <cell r="C868">
            <v>13003104</v>
          </cell>
        </row>
        <row r="869">
          <cell r="C869">
            <v>13003105</v>
          </cell>
        </row>
        <row r="870">
          <cell r="C870">
            <v>13004001</v>
          </cell>
        </row>
        <row r="871">
          <cell r="C871">
            <v>13004002</v>
          </cell>
        </row>
        <row r="872">
          <cell r="C872">
            <v>13004003</v>
          </cell>
        </row>
        <row r="873">
          <cell r="C873">
            <v>13004004</v>
          </cell>
        </row>
        <row r="874">
          <cell r="C874">
            <v>13004005</v>
          </cell>
        </row>
        <row r="875">
          <cell r="C875">
            <v>13004006</v>
          </cell>
        </row>
        <row r="876">
          <cell r="C876">
            <v>13004101</v>
          </cell>
        </row>
        <row r="877">
          <cell r="C877">
            <v>13004102</v>
          </cell>
        </row>
        <row r="878">
          <cell r="C878">
            <v>13004103</v>
          </cell>
        </row>
        <row r="879">
          <cell r="C879">
            <v>13004104</v>
          </cell>
        </row>
        <row r="880">
          <cell r="C880">
            <v>13004105</v>
          </cell>
        </row>
        <row r="881">
          <cell r="C881">
            <v>13005001</v>
          </cell>
        </row>
        <row r="882">
          <cell r="C882">
            <v>13005002</v>
          </cell>
        </row>
        <row r="883">
          <cell r="C883">
            <v>13005003</v>
          </cell>
        </row>
        <row r="884">
          <cell r="C884">
            <v>13005004</v>
          </cell>
        </row>
        <row r="885">
          <cell r="C885">
            <v>13005005</v>
          </cell>
        </row>
        <row r="886">
          <cell r="C886">
            <v>13005006</v>
          </cell>
        </row>
        <row r="887">
          <cell r="C887">
            <v>13005101</v>
          </cell>
        </row>
        <row r="888">
          <cell r="C888">
            <v>13005102</v>
          </cell>
        </row>
        <row r="889">
          <cell r="C889">
            <v>13005103</v>
          </cell>
        </row>
        <row r="890">
          <cell r="C890">
            <v>13005104</v>
          </cell>
        </row>
        <row r="891">
          <cell r="C891">
            <v>13005105</v>
          </cell>
        </row>
        <row r="892">
          <cell r="C892">
            <v>13006001</v>
          </cell>
        </row>
        <row r="893">
          <cell r="C893">
            <v>13006002</v>
          </cell>
        </row>
        <row r="894">
          <cell r="C894">
            <v>13006003</v>
          </cell>
          <cell r="S894">
            <v>0</v>
          </cell>
        </row>
        <row r="895">
          <cell r="C895">
            <v>13006004</v>
          </cell>
          <cell r="S895">
            <v>0</v>
          </cell>
        </row>
        <row r="896">
          <cell r="C896">
            <v>13009001</v>
          </cell>
        </row>
        <row r="897">
          <cell r="C897">
            <v>13009002</v>
          </cell>
        </row>
        <row r="898">
          <cell r="C898">
            <v>14000001</v>
          </cell>
        </row>
        <row r="899">
          <cell r="C899">
            <v>14000002</v>
          </cell>
        </row>
        <row r="900">
          <cell r="C900">
            <v>14000003</v>
          </cell>
          <cell r="S900">
            <v>69000011</v>
          </cell>
        </row>
        <row r="901">
          <cell r="C901">
            <v>14000004</v>
          </cell>
        </row>
        <row r="902">
          <cell r="C902">
            <v>14000005</v>
          </cell>
        </row>
        <row r="903">
          <cell r="C903">
            <v>14010001</v>
          </cell>
        </row>
        <row r="904">
          <cell r="C904">
            <v>14010002</v>
          </cell>
        </row>
        <row r="905">
          <cell r="C905">
            <v>14010003</v>
          </cell>
        </row>
        <row r="906">
          <cell r="C906">
            <v>14010004</v>
          </cell>
        </row>
        <row r="907">
          <cell r="C907">
            <v>14010005</v>
          </cell>
        </row>
        <row r="908">
          <cell r="C908">
            <v>14010006</v>
          </cell>
        </row>
        <row r="909">
          <cell r="C909">
            <v>14010007</v>
          </cell>
        </row>
        <row r="910">
          <cell r="C910">
            <v>14010008</v>
          </cell>
        </row>
        <row r="911">
          <cell r="C911">
            <v>14010009</v>
          </cell>
        </row>
        <row r="912">
          <cell r="C912">
            <v>14010010</v>
          </cell>
        </row>
        <row r="913">
          <cell r="C913">
            <v>14010011</v>
          </cell>
        </row>
        <row r="914">
          <cell r="C914">
            <v>14010012</v>
          </cell>
        </row>
        <row r="915">
          <cell r="C915">
            <v>14020001</v>
          </cell>
        </row>
        <row r="916">
          <cell r="C916">
            <v>14020002</v>
          </cell>
        </row>
        <row r="917">
          <cell r="C917">
            <v>14020003</v>
          </cell>
        </row>
        <row r="918">
          <cell r="C918">
            <v>14020004</v>
          </cell>
        </row>
        <row r="919">
          <cell r="C919">
            <v>14020005</v>
          </cell>
        </row>
        <row r="920">
          <cell r="C920">
            <v>14020006</v>
          </cell>
        </row>
        <row r="921">
          <cell r="C921">
            <v>14020007</v>
          </cell>
        </row>
        <row r="922">
          <cell r="C922">
            <v>14020008</v>
          </cell>
        </row>
        <row r="923">
          <cell r="C923">
            <v>14020009</v>
          </cell>
        </row>
        <row r="924">
          <cell r="C924">
            <v>14020010</v>
          </cell>
        </row>
        <row r="925">
          <cell r="C925">
            <v>14020011</v>
          </cell>
        </row>
        <row r="926">
          <cell r="C926">
            <v>14020012</v>
          </cell>
        </row>
        <row r="927">
          <cell r="C927">
            <v>14020013</v>
          </cell>
        </row>
        <row r="928">
          <cell r="C928">
            <v>14030001</v>
          </cell>
        </row>
        <row r="929">
          <cell r="C929">
            <v>14030002</v>
          </cell>
        </row>
        <row r="930">
          <cell r="C930">
            <v>14030003</v>
          </cell>
        </row>
        <row r="931">
          <cell r="C931">
            <v>14030004</v>
          </cell>
        </row>
        <row r="932">
          <cell r="C932">
            <v>14030005</v>
          </cell>
        </row>
        <row r="933">
          <cell r="C933">
            <v>14030006</v>
          </cell>
        </row>
        <row r="934">
          <cell r="C934">
            <v>14030007</v>
          </cell>
        </row>
        <row r="935">
          <cell r="C935">
            <v>14030008</v>
          </cell>
        </row>
        <row r="936">
          <cell r="C936">
            <v>14030009</v>
          </cell>
        </row>
        <row r="937">
          <cell r="C937">
            <v>14030010</v>
          </cell>
        </row>
        <row r="938">
          <cell r="C938">
            <v>14030011</v>
          </cell>
        </row>
        <row r="939">
          <cell r="C939">
            <v>14030012</v>
          </cell>
        </row>
        <row r="940">
          <cell r="C940">
            <v>14030013</v>
          </cell>
        </row>
        <row r="941">
          <cell r="C941">
            <v>14040001</v>
          </cell>
        </row>
        <row r="942">
          <cell r="C942">
            <v>14040002</v>
          </cell>
        </row>
        <row r="943">
          <cell r="C943">
            <v>14040003</v>
          </cell>
        </row>
        <row r="944">
          <cell r="C944">
            <v>14040004</v>
          </cell>
        </row>
        <row r="945">
          <cell r="C945">
            <v>14040005</v>
          </cell>
        </row>
        <row r="946">
          <cell r="C946">
            <v>14040006</v>
          </cell>
        </row>
        <row r="947">
          <cell r="C947">
            <v>14040007</v>
          </cell>
        </row>
        <row r="948">
          <cell r="C948">
            <v>14040008</v>
          </cell>
        </row>
        <row r="949">
          <cell r="C949">
            <v>14040009</v>
          </cell>
        </row>
        <row r="950">
          <cell r="C950">
            <v>14040010</v>
          </cell>
        </row>
        <row r="951">
          <cell r="C951">
            <v>14040011</v>
          </cell>
        </row>
        <row r="952">
          <cell r="C952">
            <v>14040012</v>
          </cell>
        </row>
        <row r="953">
          <cell r="C953">
            <v>14050001</v>
          </cell>
        </row>
        <row r="954">
          <cell r="C954">
            <v>14050002</v>
          </cell>
        </row>
        <row r="955">
          <cell r="C955">
            <v>14050003</v>
          </cell>
        </row>
        <row r="956">
          <cell r="C956">
            <v>14050004</v>
          </cell>
        </row>
        <row r="957">
          <cell r="C957">
            <v>14050005</v>
          </cell>
        </row>
        <row r="958">
          <cell r="C958">
            <v>14050006</v>
          </cell>
        </row>
        <row r="959">
          <cell r="C959">
            <v>14050007</v>
          </cell>
        </row>
        <row r="960">
          <cell r="C960">
            <v>14050008</v>
          </cell>
        </row>
        <row r="961">
          <cell r="C961">
            <v>14050009</v>
          </cell>
        </row>
        <row r="962">
          <cell r="C962">
            <v>14050010</v>
          </cell>
        </row>
        <row r="963">
          <cell r="C963">
            <v>14050011</v>
          </cell>
        </row>
        <row r="964">
          <cell r="C964">
            <v>14050012</v>
          </cell>
        </row>
        <row r="965">
          <cell r="C965">
            <v>14060001</v>
          </cell>
        </row>
        <row r="966">
          <cell r="C966">
            <v>14060002</v>
          </cell>
        </row>
        <row r="967">
          <cell r="C967">
            <v>14060003</v>
          </cell>
        </row>
        <row r="968">
          <cell r="C968">
            <v>14060004</v>
          </cell>
        </row>
        <row r="969">
          <cell r="C969">
            <v>14060005</v>
          </cell>
        </row>
        <row r="970">
          <cell r="C970">
            <v>14060006</v>
          </cell>
          <cell r="S970">
            <v>68000018</v>
          </cell>
        </row>
        <row r="971">
          <cell r="C971">
            <v>14070001</v>
          </cell>
        </row>
        <row r="972">
          <cell r="C972">
            <v>14070002</v>
          </cell>
        </row>
        <row r="973">
          <cell r="C973">
            <v>14070003</v>
          </cell>
        </row>
        <row r="974">
          <cell r="C974">
            <v>14070004</v>
          </cell>
        </row>
        <row r="975">
          <cell r="C975">
            <v>14080001</v>
          </cell>
          <cell r="S975">
            <v>66001001</v>
          </cell>
        </row>
        <row r="976">
          <cell r="C976">
            <v>14080002</v>
          </cell>
          <cell r="S976">
            <v>66001002</v>
          </cell>
        </row>
        <row r="977">
          <cell r="C977">
            <v>14080003</v>
          </cell>
          <cell r="S977">
            <v>66001003</v>
          </cell>
        </row>
        <row r="978">
          <cell r="C978">
            <v>14080004</v>
          </cell>
          <cell r="S978">
            <v>66001012</v>
          </cell>
        </row>
        <row r="979">
          <cell r="C979">
            <v>14090001</v>
          </cell>
        </row>
        <row r="980">
          <cell r="C980">
            <v>14090002</v>
          </cell>
        </row>
        <row r="981">
          <cell r="C981">
            <v>14090003</v>
          </cell>
        </row>
        <row r="982">
          <cell r="C982">
            <v>14090004</v>
          </cell>
        </row>
        <row r="983">
          <cell r="C983">
            <v>14100001</v>
          </cell>
        </row>
        <row r="984">
          <cell r="C984">
            <v>14100002</v>
          </cell>
        </row>
        <row r="985">
          <cell r="C985">
            <v>14100003</v>
          </cell>
        </row>
        <row r="986">
          <cell r="C986">
            <v>14100004</v>
          </cell>
        </row>
        <row r="987">
          <cell r="C987">
            <v>14100005</v>
          </cell>
        </row>
        <row r="988">
          <cell r="C988">
            <v>14100006</v>
          </cell>
        </row>
        <row r="989">
          <cell r="C989">
            <v>14100007</v>
          </cell>
        </row>
        <row r="990">
          <cell r="C990">
            <v>14100008</v>
          </cell>
        </row>
        <row r="991">
          <cell r="C991">
            <v>14100011</v>
          </cell>
          <cell r="S991">
            <v>69000001</v>
          </cell>
        </row>
        <row r="992">
          <cell r="C992">
            <v>14100012</v>
          </cell>
        </row>
        <row r="993">
          <cell r="C993">
            <v>14100021</v>
          </cell>
        </row>
        <row r="994">
          <cell r="C994">
            <v>14100022</v>
          </cell>
        </row>
        <row r="995">
          <cell r="C995">
            <v>14100101</v>
          </cell>
        </row>
        <row r="996">
          <cell r="C996">
            <v>14100102</v>
          </cell>
        </row>
        <row r="997">
          <cell r="C997">
            <v>14100103</v>
          </cell>
        </row>
        <row r="998">
          <cell r="C998">
            <v>14100104</v>
          </cell>
        </row>
        <row r="999">
          <cell r="C999">
            <v>14100105</v>
          </cell>
        </row>
        <row r="1000">
          <cell r="C1000">
            <v>14100106</v>
          </cell>
        </row>
        <row r="1001">
          <cell r="C1001">
            <v>14100107</v>
          </cell>
        </row>
        <row r="1002">
          <cell r="C1002">
            <v>14100108</v>
          </cell>
        </row>
        <row r="1003">
          <cell r="C1003">
            <v>14100111</v>
          </cell>
          <cell r="S1003">
            <v>69000002</v>
          </cell>
        </row>
        <row r="1004">
          <cell r="C1004">
            <v>14100112</v>
          </cell>
          <cell r="S1004">
            <v>69000003</v>
          </cell>
        </row>
        <row r="1005">
          <cell r="C1005">
            <v>14100121</v>
          </cell>
        </row>
        <row r="1006">
          <cell r="C1006">
            <v>14100122</v>
          </cell>
        </row>
        <row r="1007">
          <cell r="C1007">
            <v>14100201</v>
          </cell>
        </row>
        <row r="1008">
          <cell r="C1008">
            <v>14100202</v>
          </cell>
        </row>
        <row r="1009">
          <cell r="C1009">
            <v>14100203</v>
          </cell>
        </row>
        <row r="1010">
          <cell r="C1010">
            <v>14100204</v>
          </cell>
        </row>
        <row r="1011">
          <cell r="C1011">
            <v>14100211</v>
          </cell>
          <cell r="S1011">
            <v>69000002</v>
          </cell>
        </row>
        <row r="1012">
          <cell r="C1012">
            <v>14100221</v>
          </cell>
        </row>
        <row r="1013">
          <cell r="C1013">
            <v>14110001</v>
          </cell>
        </row>
        <row r="1014">
          <cell r="C1014">
            <v>14110002</v>
          </cell>
        </row>
        <row r="1015">
          <cell r="C1015">
            <v>14110003</v>
          </cell>
        </row>
        <row r="1016">
          <cell r="C1016">
            <v>14110004</v>
          </cell>
        </row>
        <row r="1017">
          <cell r="C1017">
            <v>14110005</v>
          </cell>
        </row>
        <row r="1018">
          <cell r="C1018">
            <v>14110006</v>
          </cell>
        </row>
        <row r="1019">
          <cell r="C1019">
            <v>14110007</v>
          </cell>
        </row>
        <row r="1020">
          <cell r="C1020">
            <v>14110008</v>
          </cell>
        </row>
        <row r="1021">
          <cell r="C1021">
            <v>14110009</v>
          </cell>
        </row>
        <row r="1022">
          <cell r="C1022">
            <v>14110010</v>
          </cell>
        </row>
        <row r="1023">
          <cell r="C1023">
            <v>14110011</v>
          </cell>
        </row>
        <row r="1024">
          <cell r="C1024">
            <v>14110012</v>
          </cell>
        </row>
        <row r="1025">
          <cell r="C1025">
            <v>14110021</v>
          </cell>
        </row>
        <row r="1026">
          <cell r="C1026">
            <v>14110022</v>
          </cell>
        </row>
        <row r="1027">
          <cell r="C1027">
            <v>14110023</v>
          </cell>
        </row>
        <row r="1028">
          <cell r="C1028">
            <v>15201001</v>
          </cell>
        </row>
        <row r="1029">
          <cell r="C1029">
            <v>15201002</v>
          </cell>
        </row>
        <row r="1030">
          <cell r="C1030">
            <v>15201003</v>
          </cell>
        </row>
        <row r="1031">
          <cell r="C1031">
            <v>15201004</v>
          </cell>
        </row>
        <row r="1032">
          <cell r="C1032">
            <v>15201005</v>
          </cell>
        </row>
        <row r="1033">
          <cell r="C1033">
            <v>15201006</v>
          </cell>
        </row>
        <row r="1034">
          <cell r="C1034">
            <v>15202001</v>
          </cell>
        </row>
        <row r="1035">
          <cell r="C1035">
            <v>15202002</v>
          </cell>
        </row>
        <row r="1036">
          <cell r="C1036">
            <v>15202003</v>
          </cell>
        </row>
        <row r="1037">
          <cell r="C1037">
            <v>15202004</v>
          </cell>
        </row>
        <row r="1038">
          <cell r="C1038">
            <v>15202005</v>
          </cell>
        </row>
        <row r="1039">
          <cell r="C1039">
            <v>15202006</v>
          </cell>
        </row>
        <row r="1040">
          <cell r="C1040">
            <v>15203001</v>
          </cell>
        </row>
        <row r="1041">
          <cell r="C1041">
            <v>15203002</v>
          </cell>
        </row>
        <row r="1042">
          <cell r="C1042">
            <v>15203003</v>
          </cell>
        </row>
        <row r="1043">
          <cell r="C1043">
            <v>15203004</v>
          </cell>
        </row>
        <row r="1044">
          <cell r="C1044">
            <v>15203005</v>
          </cell>
        </row>
        <row r="1045">
          <cell r="C1045">
            <v>15203006</v>
          </cell>
        </row>
        <row r="1046">
          <cell r="C1046">
            <v>15204001</v>
          </cell>
        </row>
        <row r="1047">
          <cell r="C1047">
            <v>15204002</v>
          </cell>
        </row>
        <row r="1048">
          <cell r="C1048">
            <v>15204003</v>
          </cell>
        </row>
        <row r="1049">
          <cell r="C1049">
            <v>15204004</v>
          </cell>
        </row>
        <row r="1050">
          <cell r="C1050">
            <v>15204005</v>
          </cell>
        </row>
        <row r="1051">
          <cell r="C1051">
            <v>15204006</v>
          </cell>
        </row>
        <row r="1052">
          <cell r="C1052">
            <v>15205001</v>
          </cell>
        </row>
        <row r="1053">
          <cell r="C1053">
            <v>15205002</v>
          </cell>
        </row>
        <row r="1054">
          <cell r="C1054">
            <v>15205003</v>
          </cell>
        </row>
        <row r="1055">
          <cell r="C1055">
            <v>15205004</v>
          </cell>
        </row>
        <row r="1056">
          <cell r="C1056">
            <v>15205005</v>
          </cell>
        </row>
        <row r="1057">
          <cell r="C1057">
            <v>15205006</v>
          </cell>
        </row>
        <row r="1058">
          <cell r="C1058">
            <v>15205007</v>
          </cell>
        </row>
        <row r="1059">
          <cell r="C1059">
            <v>15206001</v>
          </cell>
        </row>
        <row r="1060">
          <cell r="C1060">
            <v>15206002</v>
          </cell>
        </row>
        <row r="1061">
          <cell r="C1061">
            <v>15206003</v>
          </cell>
        </row>
        <row r="1062">
          <cell r="C1062">
            <v>15207001</v>
          </cell>
        </row>
        <row r="1063">
          <cell r="C1063">
            <v>15207002</v>
          </cell>
        </row>
        <row r="1064">
          <cell r="C1064">
            <v>15207003</v>
          </cell>
        </row>
        <row r="1065">
          <cell r="C1065">
            <v>15208001</v>
          </cell>
          <cell r="S1065">
            <v>66001004</v>
          </cell>
        </row>
        <row r="1066">
          <cell r="C1066">
            <v>15208002</v>
          </cell>
          <cell r="S1066">
            <v>66001005</v>
          </cell>
        </row>
        <row r="1067">
          <cell r="C1067">
            <v>15208003</v>
          </cell>
          <cell r="S1067">
            <v>66001013</v>
          </cell>
        </row>
        <row r="1068">
          <cell r="C1068">
            <v>15209001</v>
          </cell>
        </row>
        <row r="1069">
          <cell r="C1069">
            <v>15209002</v>
          </cell>
        </row>
        <row r="1070">
          <cell r="C1070">
            <v>15210001</v>
          </cell>
        </row>
        <row r="1071">
          <cell r="C1071">
            <v>15210002</v>
          </cell>
        </row>
        <row r="1072">
          <cell r="C1072">
            <v>15210003</v>
          </cell>
        </row>
        <row r="1073">
          <cell r="C1073">
            <v>15210004</v>
          </cell>
        </row>
        <row r="1074">
          <cell r="C1074">
            <v>15210011</v>
          </cell>
          <cell r="S1074">
            <v>69000016</v>
          </cell>
        </row>
        <row r="1075">
          <cell r="C1075">
            <v>15210012</v>
          </cell>
        </row>
        <row r="1076">
          <cell r="C1076">
            <v>15210101</v>
          </cell>
        </row>
        <row r="1077">
          <cell r="C1077">
            <v>15210102</v>
          </cell>
        </row>
        <row r="1078">
          <cell r="C1078">
            <v>15210103</v>
          </cell>
        </row>
        <row r="1079">
          <cell r="C1079">
            <v>15210104</v>
          </cell>
        </row>
        <row r="1080">
          <cell r="C1080">
            <v>15210111</v>
          </cell>
        </row>
        <row r="1081">
          <cell r="C1081">
            <v>15210112</v>
          </cell>
        </row>
        <row r="1082">
          <cell r="C1082">
            <v>15210201</v>
          </cell>
        </row>
        <row r="1083">
          <cell r="C1083">
            <v>15210202</v>
          </cell>
        </row>
        <row r="1084">
          <cell r="C1084">
            <v>15210211</v>
          </cell>
          <cell r="S1084">
            <v>69000014</v>
          </cell>
        </row>
        <row r="1085">
          <cell r="C1085">
            <v>15211001</v>
          </cell>
        </row>
        <row r="1086">
          <cell r="C1086">
            <v>15211002</v>
          </cell>
        </row>
        <row r="1087">
          <cell r="C1087">
            <v>15211003</v>
          </cell>
        </row>
        <row r="1088">
          <cell r="C1088">
            <v>15211004</v>
          </cell>
        </row>
        <row r="1089">
          <cell r="C1089">
            <v>15211005</v>
          </cell>
        </row>
        <row r="1090">
          <cell r="C1090">
            <v>15211006</v>
          </cell>
        </row>
        <row r="1091">
          <cell r="C1091">
            <v>15211011</v>
          </cell>
        </row>
        <row r="1092">
          <cell r="C1092">
            <v>15211012</v>
          </cell>
        </row>
        <row r="1093">
          <cell r="C1093">
            <v>15211013</v>
          </cell>
          <cell r="S1093">
            <v>69000004</v>
          </cell>
        </row>
        <row r="1094">
          <cell r="C1094">
            <v>15301001</v>
          </cell>
        </row>
        <row r="1095">
          <cell r="C1095">
            <v>15301002</v>
          </cell>
        </row>
        <row r="1096">
          <cell r="C1096">
            <v>15301003</v>
          </cell>
        </row>
        <row r="1097">
          <cell r="C1097">
            <v>15301004</v>
          </cell>
        </row>
        <row r="1098">
          <cell r="C1098">
            <v>15301005</v>
          </cell>
        </row>
        <row r="1099">
          <cell r="C1099">
            <v>15301006</v>
          </cell>
        </row>
        <row r="1100">
          <cell r="C1100">
            <v>15302001</v>
          </cell>
        </row>
        <row r="1101">
          <cell r="C1101">
            <v>15302002</v>
          </cell>
        </row>
        <row r="1102">
          <cell r="C1102">
            <v>15302003</v>
          </cell>
        </row>
        <row r="1103">
          <cell r="C1103">
            <v>15302004</v>
          </cell>
        </row>
        <row r="1104">
          <cell r="C1104">
            <v>15302005</v>
          </cell>
        </row>
        <row r="1105">
          <cell r="C1105">
            <v>15302006</v>
          </cell>
        </row>
        <row r="1106">
          <cell r="C1106">
            <v>15302007</v>
          </cell>
        </row>
        <row r="1107">
          <cell r="C1107">
            <v>15303001</v>
          </cell>
        </row>
        <row r="1108">
          <cell r="C1108">
            <v>15303002</v>
          </cell>
        </row>
        <row r="1109">
          <cell r="C1109">
            <v>15303003</v>
          </cell>
        </row>
        <row r="1110">
          <cell r="C1110">
            <v>15303004</v>
          </cell>
        </row>
        <row r="1111">
          <cell r="C1111">
            <v>15303005</v>
          </cell>
        </row>
        <row r="1112">
          <cell r="C1112">
            <v>15303006</v>
          </cell>
        </row>
        <row r="1113">
          <cell r="C1113">
            <v>15304001</v>
          </cell>
        </row>
        <row r="1114">
          <cell r="C1114">
            <v>15304002</v>
          </cell>
        </row>
        <row r="1115">
          <cell r="C1115">
            <v>15304003</v>
          </cell>
        </row>
        <row r="1116">
          <cell r="C1116">
            <v>15304004</v>
          </cell>
        </row>
        <row r="1117">
          <cell r="C1117">
            <v>15304005</v>
          </cell>
        </row>
        <row r="1118">
          <cell r="C1118">
            <v>15304006</v>
          </cell>
        </row>
        <row r="1119">
          <cell r="C1119">
            <v>15305001</v>
          </cell>
        </row>
        <row r="1120">
          <cell r="C1120">
            <v>15305002</v>
          </cell>
        </row>
        <row r="1121">
          <cell r="C1121">
            <v>15305003</v>
          </cell>
        </row>
        <row r="1122">
          <cell r="C1122">
            <v>15305004</v>
          </cell>
        </row>
        <row r="1123">
          <cell r="C1123">
            <v>15305005</v>
          </cell>
        </row>
        <row r="1124">
          <cell r="C1124">
            <v>15305006</v>
          </cell>
        </row>
        <row r="1125">
          <cell r="C1125">
            <v>15306001</v>
          </cell>
        </row>
        <row r="1126">
          <cell r="C1126">
            <v>15306002</v>
          </cell>
        </row>
        <row r="1127">
          <cell r="C1127">
            <v>15306003</v>
          </cell>
        </row>
        <row r="1128">
          <cell r="C1128">
            <v>15307001</v>
          </cell>
        </row>
        <row r="1129">
          <cell r="C1129">
            <v>15307002</v>
          </cell>
        </row>
        <row r="1130">
          <cell r="C1130">
            <v>15308001</v>
          </cell>
          <cell r="S1130">
            <v>66001006</v>
          </cell>
        </row>
        <row r="1131">
          <cell r="C1131">
            <v>15308002</v>
          </cell>
          <cell r="S1131">
            <v>66001007</v>
          </cell>
        </row>
        <row r="1132">
          <cell r="C1132">
            <v>15308003</v>
          </cell>
          <cell r="S1132">
            <v>66001014</v>
          </cell>
        </row>
        <row r="1133">
          <cell r="C1133">
            <v>15308004</v>
          </cell>
          <cell r="S1133">
            <v>66001017</v>
          </cell>
        </row>
        <row r="1134">
          <cell r="C1134">
            <v>15309001</v>
          </cell>
        </row>
        <row r="1135">
          <cell r="C1135">
            <v>15309002</v>
          </cell>
        </row>
        <row r="1136">
          <cell r="C1136">
            <v>15309003</v>
          </cell>
        </row>
        <row r="1137">
          <cell r="C1137">
            <v>15310001</v>
          </cell>
        </row>
        <row r="1138">
          <cell r="C1138">
            <v>15310002</v>
          </cell>
        </row>
        <row r="1139">
          <cell r="C1139">
            <v>15310003</v>
          </cell>
        </row>
        <row r="1140">
          <cell r="C1140">
            <v>15310004</v>
          </cell>
        </row>
        <row r="1141">
          <cell r="C1141">
            <v>15310011</v>
          </cell>
          <cell r="S1141">
            <v>69000016</v>
          </cell>
        </row>
        <row r="1142">
          <cell r="C1142">
            <v>15310012</v>
          </cell>
        </row>
        <row r="1143">
          <cell r="C1143">
            <v>15310101</v>
          </cell>
        </row>
        <row r="1144">
          <cell r="C1144">
            <v>15310102</v>
          </cell>
        </row>
        <row r="1145">
          <cell r="C1145">
            <v>15310103</v>
          </cell>
        </row>
        <row r="1146">
          <cell r="C1146">
            <v>15310104</v>
          </cell>
        </row>
        <row r="1147">
          <cell r="C1147">
            <v>15310111</v>
          </cell>
          <cell r="S1147">
            <v>69000018</v>
          </cell>
        </row>
        <row r="1148">
          <cell r="C1148">
            <v>15310112</v>
          </cell>
        </row>
        <row r="1149">
          <cell r="C1149">
            <v>15310201</v>
          </cell>
        </row>
        <row r="1150">
          <cell r="C1150">
            <v>15310202</v>
          </cell>
        </row>
        <row r="1151">
          <cell r="C1151">
            <v>15310211</v>
          </cell>
          <cell r="S1151">
            <v>69000002</v>
          </cell>
        </row>
        <row r="1152">
          <cell r="C1152">
            <v>15311001</v>
          </cell>
        </row>
        <row r="1153">
          <cell r="C1153">
            <v>15311002</v>
          </cell>
        </row>
        <row r="1154">
          <cell r="C1154">
            <v>15311003</v>
          </cell>
        </row>
        <row r="1155">
          <cell r="C1155">
            <v>15311004</v>
          </cell>
        </row>
        <row r="1156">
          <cell r="C1156">
            <v>15311005</v>
          </cell>
        </row>
        <row r="1157">
          <cell r="C1157">
            <v>15311006</v>
          </cell>
        </row>
        <row r="1158">
          <cell r="C1158">
            <v>15311011</v>
          </cell>
        </row>
        <row r="1159">
          <cell r="C1159">
            <v>15311012</v>
          </cell>
        </row>
        <row r="1160">
          <cell r="C1160">
            <v>15311013</v>
          </cell>
          <cell r="S1160">
            <v>69000006</v>
          </cell>
        </row>
        <row r="1161">
          <cell r="C1161">
            <v>15401001</v>
          </cell>
        </row>
        <row r="1162">
          <cell r="C1162">
            <v>15401002</v>
          </cell>
        </row>
        <row r="1163">
          <cell r="C1163">
            <v>15401003</v>
          </cell>
        </row>
        <row r="1164">
          <cell r="C1164">
            <v>15401004</v>
          </cell>
        </row>
        <row r="1165">
          <cell r="C1165">
            <v>15401005</v>
          </cell>
        </row>
        <row r="1166">
          <cell r="C1166">
            <v>15401006</v>
          </cell>
        </row>
        <row r="1167">
          <cell r="C1167">
            <v>15401007</v>
          </cell>
        </row>
        <row r="1168">
          <cell r="C1168">
            <v>15402001</v>
          </cell>
        </row>
        <row r="1169">
          <cell r="C1169">
            <v>15402002</v>
          </cell>
        </row>
        <row r="1170">
          <cell r="C1170">
            <v>15402003</v>
          </cell>
        </row>
        <row r="1171">
          <cell r="C1171">
            <v>15402004</v>
          </cell>
        </row>
        <row r="1172">
          <cell r="C1172">
            <v>15402005</v>
          </cell>
        </row>
        <row r="1173">
          <cell r="C1173">
            <v>15402006</v>
          </cell>
        </row>
        <row r="1174">
          <cell r="C1174">
            <v>15403001</v>
          </cell>
        </row>
        <row r="1175">
          <cell r="C1175">
            <v>15403002</v>
          </cell>
        </row>
        <row r="1176">
          <cell r="C1176">
            <v>15403003</v>
          </cell>
        </row>
        <row r="1177">
          <cell r="C1177">
            <v>15403004</v>
          </cell>
        </row>
        <row r="1178">
          <cell r="C1178">
            <v>15403005</v>
          </cell>
        </row>
        <row r="1179">
          <cell r="C1179">
            <v>15403006</v>
          </cell>
        </row>
        <row r="1180">
          <cell r="C1180">
            <v>15404001</v>
          </cell>
        </row>
        <row r="1181">
          <cell r="C1181">
            <v>15404002</v>
          </cell>
        </row>
        <row r="1182">
          <cell r="C1182">
            <v>15404003</v>
          </cell>
        </row>
        <row r="1183">
          <cell r="C1183">
            <v>15404004</v>
          </cell>
        </row>
        <row r="1184">
          <cell r="C1184">
            <v>15404005</v>
          </cell>
        </row>
        <row r="1185">
          <cell r="C1185">
            <v>15404006</v>
          </cell>
        </row>
        <row r="1186">
          <cell r="C1186">
            <v>15405001</v>
          </cell>
        </row>
        <row r="1187">
          <cell r="C1187">
            <v>15405002</v>
          </cell>
        </row>
        <row r="1188">
          <cell r="C1188">
            <v>15405003</v>
          </cell>
        </row>
        <row r="1189">
          <cell r="C1189">
            <v>15405004</v>
          </cell>
        </row>
        <row r="1190">
          <cell r="C1190">
            <v>15405005</v>
          </cell>
        </row>
        <row r="1191">
          <cell r="C1191">
            <v>15405006</v>
          </cell>
        </row>
        <row r="1192">
          <cell r="C1192">
            <v>15406001</v>
          </cell>
        </row>
        <row r="1193">
          <cell r="C1193">
            <v>15406002</v>
          </cell>
        </row>
        <row r="1194">
          <cell r="C1194">
            <v>15406003</v>
          </cell>
          <cell r="S1194">
            <v>69000007</v>
          </cell>
        </row>
        <row r="1195">
          <cell r="C1195">
            <v>15407001</v>
          </cell>
        </row>
        <row r="1196">
          <cell r="C1196">
            <v>15407002</v>
          </cell>
        </row>
        <row r="1197">
          <cell r="C1197">
            <v>15407003</v>
          </cell>
        </row>
        <row r="1198">
          <cell r="C1198">
            <v>15408001</v>
          </cell>
          <cell r="S1198">
            <v>66001008</v>
          </cell>
        </row>
        <row r="1199">
          <cell r="C1199">
            <v>15408002</v>
          </cell>
          <cell r="S1199">
            <v>66001009</v>
          </cell>
        </row>
        <row r="1200">
          <cell r="C1200">
            <v>15408003</v>
          </cell>
          <cell r="S1200">
            <v>66001015</v>
          </cell>
        </row>
        <row r="1201">
          <cell r="C1201">
            <v>15409001</v>
          </cell>
        </row>
        <row r="1202">
          <cell r="C1202">
            <v>15409002</v>
          </cell>
        </row>
        <row r="1203">
          <cell r="C1203">
            <v>15410001</v>
          </cell>
        </row>
        <row r="1204">
          <cell r="C1204">
            <v>15410002</v>
          </cell>
        </row>
        <row r="1205">
          <cell r="C1205">
            <v>15410003</v>
          </cell>
        </row>
        <row r="1206">
          <cell r="C1206">
            <v>15410004</v>
          </cell>
        </row>
        <row r="1207">
          <cell r="C1207">
            <v>15410011</v>
          </cell>
          <cell r="S1207" t="str">
            <v>69000013;69000017</v>
          </cell>
        </row>
        <row r="1208">
          <cell r="C1208">
            <v>15410012</v>
          </cell>
        </row>
        <row r="1209">
          <cell r="C1209">
            <v>15410101</v>
          </cell>
        </row>
        <row r="1210">
          <cell r="C1210">
            <v>15410102</v>
          </cell>
        </row>
        <row r="1211">
          <cell r="C1211">
            <v>15410103</v>
          </cell>
        </row>
        <row r="1212">
          <cell r="C1212">
            <v>15410104</v>
          </cell>
        </row>
        <row r="1213">
          <cell r="C1213">
            <v>15410111</v>
          </cell>
        </row>
        <row r="1214">
          <cell r="C1214">
            <v>15410112</v>
          </cell>
          <cell r="S1214">
            <v>69000009</v>
          </cell>
        </row>
        <row r="1215">
          <cell r="C1215">
            <v>15410201</v>
          </cell>
        </row>
        <row r="1216">
          <cell r="C1216">
            <v>15410202</v>
          </cell>
        </row>
        <row r="1217">
          <cell r="C1217">
            <v>15410211</v>
          </cell>
        </row>
        <row r="1218">
          <cell r="C1218">
            <v>15411001</v>
          </cell>
        </row>
        <row r="1219">
          <cell r="C1219">
            <v>15411002</v>
          </cell>
        </row>
        <row r="1220">
          <cell r="C1220">
            <v>15411003</v>
          </cell>
        </row>
        <row r="1221">
          <cell r="C1221">
            <v>15411004</v>
          </cell>
        </row>
        <row r="1222">
          <cell r="C1222">
            <v>15411005</v>
          </cell>
        </row>
        <row r="1223">
          <cell r="C1223">
            <v>15411006</v>
          </cell>
        </row>
        <row r="1224">
          <cell r="C1224">
            <v>15411011</v>
          </cell>
          <cell r="S1224">
            <v>69000010</v>
          </cell>
        </row>
        <row r="1225">
          <cell r="C1225">
            <v>15411012</v>
          </cell>
        </row>
        <row r="1226">
          <cell r="C1226">
            <v>15411013</v>
          </cell>
        </row>
        <row r="1227">
          <cell r="C1227">
            <v>15501001</v>
          </cell>
        </row>
        <row r="1228">
          <cell r="C1228">
            <v>15501002</v>
          </cell>
        </row>
        <row r="1229">
          <cell r="C1229">
            <v>15501003</v>
          </cell>
        </row>
        <row r="1230">
          <cell r="C1230">
            <v>15501004</v>
          </cell>
        </row>
        <row r="1231">
          <cell r="C1231">
            <v>15501005</v>
          </cell>
        </row>
        <row r="1232">
          <cell r="C1232">
            <v>15501006</v>
          </cell>
        </row>
        <row r="1233">
          <cell r="C1233">
            <v>15502001</v>
          </cell>
        </row>
        <row r="1234">
          <cell r="C1234">
            <v>15502002</v>
          </cell>
        </row>
        <row r="1235">
          <cell r="C1235">
            <v>15502003</v>
          </cell>
        </row>
        <row r="1236">
          <cell r="C1236">
            <v>15502004</v>
          </cell>
        </row>
        <row r="1237">
          <cell r="C1237">
            <v>15502005</v>
          </cell>
        </row>
        <row r="1238">
          <cell r="C1238">
            <v>15502006</v>
          </cell>
        </row>
        <row r="1239">
          <cell r="C1239">
            <v>15503001</v>
          </cell>
        </row>
        <row r="1240">
          <cell r="C1240">
            <v>15503002</v>
          </cell>
        </row>
        <row r="1241">
          <cell r="C1241">
            <v>15503003</v>
          </cell>
        </row>
        <row r="1242">
          <cell r="C1242">
            <v>15503004</v>
          </cell>
        </row>
        <row r="1243">
          <cell r="C1243">
            <v>15503005</v>
          </cell>
        </row>
        <row r="1244">
          <cell r="C1244">
            <v>15503006</v>
          </cell>
        </row>
        <row r="1245">
          <cell r="C1245">
            <v>15503007</v>
          </cell>
        </row>
        <row r="1246">
          <cell r="C1246">
            <v>15504001</v>
          </cell>
        </row>
        <row r="1247">
          <cell r="C1247">
            <v>15504002</v>
          </cell>
        </row>
        <row r="1248">
          <cell r="C1248">
            <v>15504003</v>
          </cell>
        </row>
        <row r="1249">
          <cell r="C1249">
            <v>15504004</v>
          </cell>
        </row>
        <row r="1250">
          <cell r="C1250">
            <v>15504005</v>
          </cell>
        </row>
        <row r="1251">
          <cell r="C1251">
            <v>15504006</v>
          </cell>
        </row>
        <row r="1252">
          <cell r="C1252">
            <v>15505001</v>
          </cell>
        </row>
        <row r="1253">
          <cell r="C1253">
            <v>15505002</v>
          </cell>
        </row>
        <row r="1254">
          <cell r="C1254">
            <v>15505003</v>
          </cell>
        </row>
        <row r="1255">
          <cell r="C1255">
            <v>15505004</v>
          </cell>
        </row>
        <row r="1256">
          <cell r="C1256">
            <v>15505005</v>
          </cell>
        </row>
        <row r="1257">
          <cell r="C1257">
            <v>15505006</v>
          </cell>
        </row>
        <row r="1258">
          <cell r="C1258">
            <v>15506001</v>
          </cell>
        </row>
        <row r="1259">
          <cell r="C1259">
            <v>15506002</v>
          </cell>
        </row>
        <row r="1260">
          <cell r="C1260">
            <v>15506003</v>
          </cell>
        </row>
        <row r="1261">
          <cell r="C1261">
            <v>15507001</v>
          </cell>
        </row>
        <row r="1262">
          <cell r="C1262">
            <v>15507002</v>
          </cell>
        </row>
        <row r="1263">
          <cell r="C1263">
            <v>15507003</v>
          </cell>
        </row>
        <row r="1264">
          <cell r="C1264">
            <v>15508001</v>
          </cell>
          <cell r="S1264">
            <v>66001010</v>
          </cell>
        </row>
        <row r="1265">
          <cell r="C1265">
            <v>15508002</v>
          </cell>
          <cell r="S1265">
            <v>66001011</v>
          </cell>
        </row>
        <row r="1266">
          <cell r="C1266">
            <v>15508003</v>
          </cell>
          <cell r="S1266">
            <v>66001016</v>
          </cell>
        </row>
        <row r="1267">
          <cell r="C1267">
            <v>15509001</v>
          </cell>
        </row>
        <row r="1268">
          <cell r="C1268">
            <v>15509002</v>
          </cell>
        </row>
        <row r="1269">
          <cell r="C1269">
            <v>15509003</v>
          </cell>
        </row>
        <row r="1270">
          <cell r="C1270">
            <v>15510001</v>
          </cell>
        </row>
        <row r="1271">
          <cell r="C1271">
            <v>15510002</v>
          </cell>
        </row>
        <row r="1272">
          <cell r="C1272">
            <v>15510003</v>
          </cell>
        </row>
        <row r="1273">
          <cell r="C1273">
            <v>15510004</v>
          </cell>
        </row>
        <row r="1274">
          <cell r="C1274">
            <v>15510011</v>
          </cell>
        </row>
        <row r="1275">
          <cell r="C1275">
            <v>15510012</v>
          </cell>
        </row>
        <row r="1276">
          <cell r="C1276">
            <v>15510101</v>
          </cell>
        </row>
        <row r="1277">
          <cell r="C1277">
            <v>15510102</v>
          </cell>
        </row>
        <row r="1278">
          <cell r="C1278">
            <v>15510103</v>
          </cell>
        </row>
        <row r="1279">
          <cell r="C1279">
            <v>15510104</v>
          </cell>
        </row>
        <row r="1280">
          <cell r="C1280">
            <v>15510121</v>
          </cell>
          <cell r="S1280">
            <v>69000011</v>
          </cell>
        </row>
        <row r="1281">
          <cell r="C1281">
            <v>15510122</v>
          </cell>
        </row>
        <row r="1282">
          <cell r="C1282">
            <v>15510201</v>
          </cell>
        </row>
        <row r="1283">
          <cell r="C1283">
            <v>15510202</v>
          </cell>
        </row>
        <row r="1284">
          <cell r="C1284">
            <v>15510211</v>
          </cell>
        </row>
        <row r="1285">
          <cell r="C1285">
            <v>15511001</v>
          </cell>
        </row>
        <row r="1286">
          <cell r="C1286">
            <v>15511002</v>
          </cell>
        </row>
        <row r="1287">
          <cell r="C1287">
            <v>15511003</v>
          </cell>
        </row>
        <row r="1288">
          <cell r="C1288">
            <v>15511004</v>
          </cell>
        </row>
        <row r="1289">
          <cell r="C1289">
            <v>15511005</v>
          </cell>
        </row>
        <row r="1290">
          <cell r="C1290">
            <v>15511006</v>
          </cell>
        </row>
        <row r="1291">
          <cell r="C1291">
            <v>15511011</v>
          </cell>
          <cell r="S1291">
            <v>69000012</v>
          </cell>
        </row>
        <row r="1292">
          <cell r="C1292">
            <v>15511012</v>
          </cell>
        </row>
        <row r="1293">
          <cell r="C1293">
            <v>15511013</v>
          </cell>
        </row>
        <row r="1294">
          <cell r="C1294">
            <v>15601001</v>
          </cell>
        </row>
        <row r="1295">
          <cell r="C1295">
            <v>15601002</v>
          </cell>
        </row>
        <row r="1296">
          <cell r="C1296">
            <v>15601003</v>
          </cell>
        </row>
        <row r="1297">
          <cell r="C1297">
            <v>15602001</v>
          </cell>
        </row>
        <row r="1298">
          <cell r="C1298">
            <v>15602002</v>
          </cell>
        </row>
        <row r="1299">
          <cell r="C1299">
            <v>15602003</v>
          </cell>
        </row>
        <row r="1300">
          <cell r="C1300">
            <v>15603001</v>
          </cell>
        </row>
        <row r="1301">
          <cell r="C1301">
            <v>15603002</v>
          </cell>
        </row>
        <row r="1302">
          <cell r="C1302">
            <v>15603003</v>
          </cell>
        </row>
        <row r="1303">
          <cell r="C1303">
            <v>15604001</v>
          </cell>
        </row>
        <row r="1304">
          <cell r="C1304">
            <v>15604002</v>
          </cell>
        </row>
        <row r="1305">
          <cell r="C1305">
            <v>15604003</v>
          </cell>
        </row>
        <row r="1306">
          <cell r="C1306">
            <v>15605001</v>
          </cell>
        </row>
        <row r="1307">
          <cell r="C1307">
            <v>15605002</v>
          </cell>
        </row>
        <row r="1308">
          <cell r="C1308">
            <v>15605003</v>
          </cell>
        </row>
        <row r="1309">
          <cell r="C1309">
            <v>15606001</v>
          </cell>
        </row>
        <row r="1310">
          <cell r="C1310">
            <v>15607001</v>
          </cell>
        </row>
        <row r="1311">
          <cell r="C1311">
            <v>15608001</v>
          </cell>
          <cell r="S1311">
            <v>66001011</v>
          </cell>
        </row>
        <row r="1312">
          <cell r="C1312">
            <v>15609001</v>
          </cell>
        </row>
        <row r="1313">
          <cell r="C1313">
            <v>15610001</v>
          </cell>
        </row>
        <row r="1314">
          <cell r="C1314">
            <v>15610002</v>
          </cell>
        </row>
        <row r="1315">
          <cell r="C1315">
            <v>15610101</v>
          </cell>
        </row>
        <row r="1316">
          <cell r="C1316">
            <v>15610102</v>
          </cell>
        </row>
        <row r="1317">
          <cell r="C1317">
            <v>15610201</v>
          </cell>
        </row>
        <row r="1318">
          <cell r="C1318">
            <v>15611001</v>
          </cell>
        </row>
        <row r="1319">
          <cell r="C1319">
            <v>15611002</v>
          </cell>
        </row>
        <row r="1320">
          <cell r="C1320">
            <v>15611003</v>
          </cell>
        </row>
        <row r="1321">
          <cell r="C1321">
            <v>15701001</v>
          </cell>
        </row>
        <row r="1322">
          <cell r="C1322">
            <v>15701002</v>
          </cell>
        </row>
        <row r="1323">
          <cell r="C1323">
            <v>15701003</v>
          </cell>
        </row>
        <row r="1324">
          <cell r="C1324">
            <v>15702001</v>
          </cell>
        </row>
        <row r="1325">
          <cell r="C1325">
            <v>15702002</v>
          </cell>
        </row>
        <row r="1326">
          <cell r="C1326">
            <v>15702003</v>
          </cell>
        </row>
        <row r="1327">
          <cell r="C1327">
            <v>15703001</v>
          </cell>
        </row>
        <row r="1328">
          <cell r="C1328">
            <v>15703002</v>
          </cell>
        </row>
        <row r="1329">
          <cell r="C1329">
            <v>15703003</v>
          </cell>
        </row>
        <row r="1330">
          <cell r="C1330">
            <v>15704001</v>
          </cell>
        </row>
        <row r="1331">
          <cell r="C1331">
            <v>15704002</v>
          </cell>
        </row>
        <row r="1332">
          <cell r="C1332">
            <v>15704003</v>
          </cell>
        </row>
        <row r="1333">
          <cell r="C1333">
            <v>15705001</v>
          </cell>
        </row>
        <row r="1334">
          <cell r="C1334">
            <v>15705002</v>
          </cell>
        </row>
        <row r="1335">
          <cell r="C1335">
            <v>15705003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70"/>
  <sheetViews>
    <sheetView workbookViewId="0">
      <selection activeCell="F17" sqref="F17"/>
    </sheetView>
  </sheetViews>
  <sheetFormatPr defaultColWidth="9" defaultRowHeight="16.5"/>
  <cols>
    <col min="1" max="2" width="9" style="98"/>
    <col min="3" max="3" width="10.25" style="98" customWidth="1"/>
    <col min="4" max="15" width="9" style="98"/>
    <col min="16" max="16" width="11.25" style="98" customWidth="1"/>
    <col min="17" max="16384" width="9" style="98"/>
  </cols>
  <sheetData>
    <row r="1" spans="2:23" ht="20.100000000000001" customHeight="1"/>
    <row r="2" spans="2:23" ht="20.100000000000001" customHeight="1">
      <c r="J2" s="100" t="s">
        <v>0</v>
      </c>
    </row>
    <row r="3" spans="2:23" ht="20.100000000000001" customHeight="1">
      <c r="B3" s="99"/>
      <c r="C3" s="68" t="s">
        <v>1</v>
      </c>
      <c r="D3" s="68" t="s">
        <v>2</v>
      </c>
      <c r="E3" s="68" t="s">
        <v>3</v>
      </c>
      <c r="F3" s="68" t="s">
        <v>4</v>
      </c>
      <c r="G3" s="68" t="s">
        <v>5</v>
      </c>
      <c r="H3" s="99"/>
      <c r="I3" s="99"/>
      <c r="J3" s="68"/>
      <c r="K3" s="68" t="s">
        <v>6</v>
      </c>
      <c r="L3" s="68" t="s">
        <v>7</v>
      </c>
      <c r="M3" s="68" t="s">
        <v>8</v>
      </c>
      <c r="N3" s="68" t="s">
        <v>9</v>
      </c>
      <c r="O3" s="68" t="s">
        <v>10</v>
      </c>
      <c r="P3" s="99"/>
      <c r="Q3" s="99"/>
      <c r="R3" s="68" t="s">
        <v>11</v>
      </c>
      <c r="S3" s="68" t="s">
        <v>6</v>
      </c>
      <c r="T3" s="68" t="s">
        <v>7</v>
      </c>
      <c r="U3" s="68" t="s">
        <v>3</v>
      </c>
      <c r="V3" s="68" t="s">
        <v>2</v>
      </c>
      <c r="W3" s="68" t="s">
        <v>12</v>
      </c>
    </row>
    <row r="4" spans="2:23" ht="20.100000000000001" customHeight="1">
      <c r="B4" s="68"/>
      <c r="C4" s="68"/>
      <c r="D4" s="68">
        <f>(E4-F4)*D7</f>
        <v>1050</v>
      </c>
      <c r="E4" s="68">
        <v>100</v>
      </c>
      <c r="F4" s="68">
        <v>30</v>
      </c>
      <c r="G4" s="68">
        <v>30</v>
      </c>
      <c r="H4" s="99"/>
      <c r="I4" s="99"/>
      <c r="J4" s="68" t="s">
        <v>1</v>
      </c>
      <c r="K4" s="68">
        <v>5</v>
      </c>
      <c r="L4" s="68">
        <v>5</v>
      </c>
      <c r="M4" s="68">
        <f>L4*$D$4</f>
        <v>5250</v>
      </c>
      <c r="N4" s="68">
        <f>K4*$E$4</f>
        <v>500</v>
      </c>
      <c r="O4" s="68">
        <f>G4*K4</f>
        <v>150</v>
      </c>
      <c r="P4" s="99"/>
      <c r="Q4" s="99"/>
      <c r="R4" s="68" t="s">
        <v>13</v>
      </c>
      <c r="S4" s="68">
        <v>1</v>
      </c>
      <c r="T4" s="68">
        <v>1</v>
      </c>
      <c r="U4" s="68">
        <v>500</v>
      </c>
      <c r="V4" s="68">
        <v>5000</v>
      </c>
      <c r="W4" s="68">
        <v>200</v>
      </c>
    </row>
    <row r="5" spans="2:23" ht="20.100000000000001" customHeight="1">
      <c r="B5" s="99"/>
      <c r="C5" s="68"/>
      <c r="D5" s="68"/>
      <c r="E5" s="68"/>
      <c r="F5" s="68"/>
      <c r="G5" s="68"/>
      <c r="H5" s="99"/>
      <c r="I5" s="99"/>
      <c r="J5" s="68" t="s">
        <v>14</v>
      </c>
      <c r="K5" s="68">
        <v>10</v>
      </c>
      <c r="L5" s="68">
        <v>20</v>
      </c>
      <c r="M5" s="68">
        <f>L5*$D$4</f>
        <v>21000</v>
      </c>
      <c r="N5" s="68">
        <f t="shared" ref="N5:N6" si="0">K5*$E$4</f>
        <v>1000</v>
      </c>
      <c r="O5" s="68">
        <f>G4*K5</f>
        <v>300</v>
      </c>
      <c r="P5" s="99"/>
      <c r="Q5" s="99"/>
      <c r="R5" s="68" t="s">
        <v>1</v>
      </c>
      <c r="S5" s="68">
        <v>2.5</v>
      </c>
      <c r="T5" s="68">
        <v>2.5</v>
      </c>
      <c r="U5" s="68">
        <f>U4*S5</f>
        <v>1250</v>
      </c>
      <c r="V5" s="68">
        <f>V4*T5</f>
        <v>12500</v>
      </c>
      <c r="W5" s="68">
        <f>W4*S5</f>
        <v>500</v>
      </c>
    </row>
    <row r="6" spans="2:23" ht="20.100000000000001" customHeight="1">
      <c r="B6" s="99"/>
      <c r="C6" s="99"/>
      <c r="D6" s="99"/>
      <c r="E6" s="68" t="s">
        <v>15</v>
      </c>
      <c r="F6" s="68" t="s">
        <v>16</v>
      </c>
      <c r="G6" s="68"/>
      <c r="H6" s="99"/>
      <c r="I6" s="99"/>
      <c r="J6" s="68" t="s">
        <v>17</v>
      </c>
      <c r="K6" s="68">
        <v>35</v>
      </c>
      <c r="L6" s="68">
        <v>25</v>
      </c>
      <c r="M6" s="68">
        <f>L6*$D$4</f>
        <v>26250</v>
      </c>
      <c r="N6" s="68">
        <f t="shared" si="0"/>
        <v>3500</v>
      </c>
      <c r="O6" s="68">
        <f>$G$4*K6</f>
        <v>1050</v>
      </c>
      <c r="P6" s="99"/>
      <c r="Q6" s="99"/>
      <c r="R6" s="68" t="s">
        <v>18</v>
      </c>
      <c r="S6" s="68">
        <v>7</v>
      </c>
      <c r="T6" s="68">
        <v>7</v>
      </c>
      <c r="U6" s="68">
        <f>S6*U4</f>
        <v>3500</v>
      </c>
      <c r="V6" s="68">
        <f>T6*V4</f>
        <v>35000</v>
      </c>
      <c r="W6" s="68">
        <f>S6*W4</f>
        <v>1400</v>
      </c>
    </row>
    <row r="7" spans="2:23" ht="20.100000000000001" customHeight="1">
      <c r="B7" s="99"/>
      <c r="C7" s="68" t="s">
        <v>19</v>
      </c>
      <c r="D7" s="68">
        <v>15</v>
      </c>
      <c r="E7" s="68">
        <v>7.5</v>
      </c>
      <c r="F7" s="68">
        <v>7.5</v>
      </c>
      <c r="G7" s="99"/>
      <c r="H7" s="99"/>
      <c r="I7" s="99"/>
      <c r="J7" s="68" t="s">
        <v>20</v>
      </c>
      <c r="K7" s="68">
        <v>10</v>
      </c>
      <c r="L7" s="68">
        <v>10</v>
      </c>
      <c r="M7" s="68">
        <f>L7*$D$4</f>
        <v>10500</v>
      </c>
      <c r="N7" s="68">
        <f t="shared" ref="N7" si="1">K7*$E$4</f>
        <v>1000</v>
      </c>
      <c r="O7" s="68">
        <f>$G$4*K7</f>
        <v>300</v>
      </c>
      <c r="P7" s="99"/>
      <c r="Q7" s="99"/>
      <c r="R7" s="99"/>
      <c r="S7" s="99"/>
      <c r="T7" s="99"/>
      <c r="U7" s="99"/>
      <c r="V7" s="99"/>
      <c r="W7" s="99"/>
    </row>
    <row r="8" spans="2:23" ht="20.100000000000001" customHeight="1"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68">
        <f>U6+U5</f>
        <v>4750</v>
      </c>
      <c r="V8" s="68">
        <f t="shared" ref="V8:W8" si="2">V6+V5</f>
        <v>47500</v>
      </c>
      <c r="W8" s="68">
        <f t="shared" si="2"/>
        <v>1900</v>
      </c>
    </row>
    <row r="9" spans="2:23" ht="20.100000000000001" customHeight="1">
      <c r="B9" s="99"/>
      <c r="C9" s="99"/>
      <c r="D9" s="99"/>
      <c r="E9" s="99"/>
      <c r="F9" s="99"/>
      <c r="G9" s="99"/>
      <c r="H9" s="99"/>
      <c r="I9" s="99"/>
      <c r="P9" s="68" t="s">
        <v>21</v>
      </c>
      <c r="Q9" s="99"/>
      <c r="R9" s="99"/>
      <c r="S9" s="99"/>
      <c r="T9" s="99"/>
      <c r="U9" s="99"/>
      <c r="V9" s="99"/>
      <c r="W9" s="99"/>
    </row>
    <row r="10" spans="2:23" ht="20.100000000000001" customHeight="1">
      <c r="B10" s="77"/>
      <c r="C10" s="77"/>
      <c r="D10" s="77"/>
      <c r="E10" s="77"/>
      <c r="F10" s="77"/>
      <c r="G10" s="68"/>
      <c r="H10" s="99"/>
      <c r="I10" s="99"/>
      <c r="J10" s="68" t="s">
        <v>22</v>
      </c>
      <c r="K10" s="68">
        <f t="shared" ref="K10:M10" si="3">SUM(K$4:K$7)</f>
        <v>60</v>
      </c>
      <c r="L10" s="68">
        <f t="shared" si="3"/>
        <v>60</v>
      </c>
      <c r="M10" s="68">
        <f t="shared" si="3"/>
        <v>63000</v>
      </c>
      <c r="N10" s="68">
        <f t="shared" ref="N10:O10" si="4">SUM(N$4:N$7)</f>
        <v>6000</v>
      </c>
      <c r="O10" s="68">
        <f t="shared" si="4"/>
        <v>1800</v>
      </c>
      <c r="P10" s="68">
        <f>M10/(N10-O10)</f>
        <v>15</v>
      </c>
      <c r="Q10" s="99"/>
      <c r="R10" s="99"/>
      <c r="S10" s="99"/>
      <c r="T10" s="99"/>
      <c r="U10" s="99"/>
      <c r="V10" s="99"/>
      <c r="W10" s="99"/>
    </row>
    <row r="11" spans="2:23" ht="20.100000000000001" customHeight="1">
      <c r="B11" s="77"/>
      <c r="C11" s="68"/>
      <c r="D11" s="77"/>
      <c r="E11" s="77"/>
      <c r="F11" s="77"/>
      <c r="G11" s="77"/>
      <c r="H11" s="68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</row>
    <row r="12" spans="2:23" ht="20.100000000000001" customHeight="1"/>
    <row r="13" spans="2:23" ht="20.100000000000001" customHeight="1"/>
    <row r="14" spans="2:23" ht="20.100000000000001" customHeight="1">
      <c r="J14" s="100" t="s">
        <v>11</v>
      </c>
    </row>
    <row r="15" spans="2:23" ht="20.100000000000001" customHeight="1">
      <c r="J15" s="68"/>
      <c r="K15" s="68" t="s">
        <v>6</v>
      </c>
      <c r="L15" s="68" t="s">
        <v>7</v>
      </c>
      <c r="M15" s="68" t="s">
        <v>8</v>
      </c>
      <c r="N15" s="68" t="s">
        <v>9</v>
      </c>
      <c r="O15" s="68" t="s">
        <v>10</v>
      </c>
    </row>
    <row r="16" spans="2:23" ht="20.100000000000001" customHeight="1">
      <c r="J16" s="68" t="s">
        <v>1</v>
      </c>
      <c r="K16" s="68">
        <v>20</v>
      </c>
      <c r="L16" s="68">
        <v>10</v>
      </c>
      <c r="M16" s="68">
        <f>L16*$D$4</f>
        <v>10500</v>
      </c>
      <c r="N16" s="68">
        <f>K16*$E$4</f>
        <v>2000</v>
      </c>
      <c r="O16" s="68">
        <f>L16*$F$4</f>
        <v>300</v>
      </c>
    </row>
    <row r="17" spans="10:15" ht="20.100000000000001" customHeight="1">
      <c r="J17" s="68" t="s">
        <v>23</v>
      </c>
      <c r="K17" s="101">
        <v>10</v>
      </c>
      <c r="L17" s="101">
        <v>10</v>
      </c>
      <c r="M17" s="68">
        <f t="shared" ref="M17:M18" si="5">L17*$D$4</f>
        <v>10500</v>
      </c>
      <c r="N17" s="68">
        <f t="shared" ref="N17:N18" si="6">K17*$E$4</f>
        <v>1000</v>
      </c>
      <c r="O17" s="68">
        <f t="shared" ref="O17:O18" si="7">L17*$F$4</f>
        <v>300</v>
      </c>
    </row>
    <row r="18" spans="10:15" ht="20.100000000000001" customHeight="1">
      <c r="J18" s="68" t="s">
        <v>24</v>
      </c>
      <c r="K18" s="101">
        <v>15</v>
      </c>
      <c r="L18" s="101">
        <v>15</v>
      </c>
      <c r="M18" s="68">
        <f t="shared" si="5"/>
        <v>15750</v>
      </c>
      <c r="N18" s="68">
        <f t="shared" si="6"/>
        <v>1500</v>
      </c>
      <c r="O18" s="68">
        <f t="shared" si="7"/>
        <v>450</v>
      </c>
    </row>
    <row r="19" spans="10:15" ht="20.100000000000001" customHeight="1"/>
    <row r="20" spans="10:15" ht="20.100000000000001" customHeight="1"/>
    <row r="21" spans="10:15" ht="20.100000000000001" customHeight="1">
      <c r="J21" s="68" t="s">
        <v>22</v>
      </c>
      <c r="K21" s="68">
        <f t="shared" ref="K21:M21" si="8">SUM(K$4:K$7)</f>
        <v>60</v>
      </c>
      <c r="L21" s="68">
        <f t="shared" si="8"/>
        <v>60</v>
      </c>
      <c r="M21" s="68">
        <f t="shared" si="8"/>
        <v>63000</v>
      </c>
      <c r="N21" s="68">
        <f t="shared" ref="N21:O21" si="9">SUM(N$4:N$7)</f>
        <v>6000</v>
      </c>
      <c r="O21" s="68">
        <f t="shared" si="9"/>
        <v>1800</v>
      </c>
    </row>
    <row r="22" spans="10:15" ht="20.100000000000001" customHeight="1"/>
    <row r="23" spans="10:15" ht="20.100000000000001" customHeight="1"/>
    <row r="24" spans="10:15" ht="20.100000000000001" customHeight="1"/>
    <row r="25" spans="10:15" ht="20.100000000000001" customHeight="1"/>
    <row r="26" spans="10:15" ht="20.100000000000001" customHeight="1"/>
    <row r="27" spans="10:15" ht="20.100000000000001" customHeight="1"/>
    <row r="28" spans="10:15" ht="20.100000000000001" customHeight="1"/>
    <row r="29" spans="10:15" ht="20.100000000000001" customHeight="1"/>
    <row r="30" spans="10:15" ht="20.100000000000001" customHeight="1"/>
    <row r="31" spans="10:15" ht="20.100000000000001" customHeight="1"/>
    <row r="32" spans="10:1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D87B-B2E7-4251-A15A-FA4BBE5E0E8F}">
  <dimension ref="B1:L123"/>
  <sheetViews>
    <sheetView tabSelected="1" topLeftCell="F4" workbookViewId="0">
      <selection activeCell="L12" sqref="L12"/>
    </sheetView>
  </sheetViews>
  <sheetFormatPr defaultRowHeight="14.25"/>
  <cols>
    <col min="2" max="3" width="29" style="13" customWidth="1"/>
    <col min="4" max="4" width="102.25" style="13" customWidth="1"/>
    <col min="7" max="7" width="15.125" bestFit="1" customWidth="1"/>
    <col min="9" max="9" width="58.75" customWidth="1"/>
    <col min="10" max="10" width="36.875" customWidth="1"/>
    <col min="11" max="11" width="17.5" customWidth="1"/>
    <col min="12" max="12" width="26.25" customWidth="1"/>
    <col min="15" max="15" width="28" customWidth="1"/>
  </cols>
  <sheetData>
    <row r="1" spans="2:12" ht="20.100000000000001" customHeight="1">
      <c r="G1" s="1"/>
      <c r="H1" s="1"/>
      <c r="I1" s="1"/>
      <c r="J1" s="1" t="s">
        <v>3062</v>
      </c>
      <c r="K1" s="1"/>
    </row>
    <row r="2" spans="2:12" ht="20.100000000000001" customHeight="1">
      <c r="B2" s="118" t="s">
        <v>2956</v>
      </c>
      <c r="C2" s="118"/>
      <c r="D2" s="118" t="s">
        <v>2957</v>
      </c>
      <c r="G2" s="119" t="s">
        <v>3042</v>
      </c>
      <c r="H2" s="1" t="s">
        <v>3043</v>
      </c>
      <c r="I2" s="7" t="s">
        <v>3059</v>
      </c>
      <c r="J2" s="1"/>
      <c r="K2" s="1"/>
    </row>
    <row r="3" spans="2:12" ht="20.100000000000001" customHeight="1">
      <c r="B3" s="1" t="s">
        <v>2958</v>
      </c>
      <c r="C3" s="1" t="s">
        <v>2975</v>
      </c>
      <c r="D3" s="1" t="s">
        <v>2959</v>
      </c>
      <c r="G3" s="119"/>
      <c r="H3" s="1" t="s">
        <v>3044</v>
      </c>
      <c r="I3" s="7" t="s">
        <v>3060</v>
      </c>
      <c r="J3" s="1"/>
      <c r="K3" s="1"/>
    </row>
    <row r="4" spans="2:12" ht="20.100000000000001" customHeight="1">
      <c r="B4" s="1" t="s">
        <v>2960</v>
      </c>
      <c r="C4" s="1" t="s">
        <v>2975</v>
      </c>
      <c r="D4" s="1" t="s">
        <v>2962</v>
      </c>
      <c r="G4" s="119"/>
      <c r="H4" s="1" t="s">
        <v>3048</v>
      </c>
      <c r="I4" s="7" t="s">
        <v>3055</v>
      </c>
      <c r="J4" s="1" t="s">
        <v>3056</v>
      </c>
      <c r="K4" s="1"/>
    </row>
    <row r="5" spans="2:12" ht="20.100000000000001" customHeight="1">
      <c r="B5" s="1" t="s">
        <v>2961</v>
      </c>
      <c r="C5" s="1" t="s">
        <v>2975</v>
      </c>
      <c r="D5" s="1" t="s">
        <v>2963</v>
      </c>
      <c r="G5" s="119"/>
      <c r="H5" s="1" t="s">
        <v>3045</v>
      </c>
      <c r="I5" s="7" t="s">
        <v>3057</v>
      </c>
      <c r="J5" s="1"/>
      <c r="K5" s="1"/>
    </row>
    <row r="6" spans="2:12" ht="20.100000000000001" customHeight="1">
      <c r="B6" s="46" t="s">
        <v>2964</v>
      </c>
      <c r="C6" s="1" t="s">
        <v>2975</v>
      </c>
      <c r="D6" s="46" t="s">
        <v>2969</v>
      </c>
      <c r="G6" s="119"/>
      <c r="H6" s="1" t="s">
        <v>3046</v>
      </c>
      <c r="I6" s="7" t="s">
        <v>3058</v>
      </c>
      <c r="J6" s="1"/>
      <c r="K6" s="1"/>
    </row>
    <row r="7" spans="2:12" ht="20.100000000000001" customHeight="1">
      <c r="B7" s="46" t="s">
        <v>2967</v>
      </c>
      <c r="C7" s="1" t="s">
        <v>2975</v>
      </c>
      <c r="D7" s="46" t="s">
        <v>2968</v>
      </c>
      <c r="G7" s="119"/>
      <c r="H7" s="1" t="s">
        <v>3047</v>
      </c>
      <c r="I7" s="7" t="s">
        <v>3061</v>
      </c>
      <c r="J7" s="1"/>
      <c r="K7" s="1"/>
    </row>
    <row r="8" spans="2:12" ht="20.100000000000001" customHeight="1">
      <c r="B8" s="1" t="s">
        <v>2965</v>
      </c>
      <c r="C8" s="1" t="s">
        <v>2976</v>
      </c>
      <c r="D8" s="1" t="s">
        <v>2966</v>
      </c>
      <c r="G8" s="1"/>
      <c r="H8" s="1"/>
      <c r="I8" s="1"/>
      <c r="J8" s="1"/>
      <c r="K8" s="1"/>
    </row>
    <row r="9" spans="2:12" ht="20.100000000000001" customHeight="1">
      <c r="B9" s="1" t="s">
        <v>2970</v>
      </c>
      <c r="C9" s="1" t="s">
        <v>2975</v>
      </c>
      <c r="D9" s="1" t="s">
        <v>2971</v>
      </c>
    </row>
    <row r="10" spans="2:12" ht="20.100000000000001" customHeight="1">
      <c r="B10" s="1" t="s">
        <v>2972</v>
      </c>
      <c r="C10" s="1" t="s">
        <v>2976</v>
      </c>
      <c r="D10" s="1" t="s">
        <v>2973</v>
      </c>
      <c r="F10" s="3"/>
      <c r="G10" s="3"/>
      <c r="H10" s="3"/>
      <c r="J10" s="3"/>
      <c r="K10" s="1" t="s">
        <v>3083</v>
      </c>
      <c r="L10" s="1" t="s">
        <v>3082</v>
      </c>
    </row>
    <row r="11" spans="2:12" ht="20.100000000000001" customHeight="1">
      <c r="B11" s="1" t="s">
        <v>2982</v>
      </c>
      <c r="C11" s="1" t="s">
        <v>2976</v>
      </c>
      <c r="D11" s="1" t="s">
        <v>2983</v>
      </c>
      <c r="F11" s="3"/>
      <c r="G11" s="119" t="s">
        <v>3063</v>
      </c>
      <c r="H11" s="1" t="s">
        <v>3064</v>
      </c>
      <c r="I11" s="3" t="s">
        <v>3075</v>
      </c>
      <c r="J11" s="3" t="s">
        <v>3076</v>
      </c>
      <c r="K11" s="1" t="s">
        <v>3064</v>
      </c>
      <c r="L11" s="1" t="s">
        <v>3086</v>
      </c>
    </row>
    <row r="12" spans="2:12" ht="20.100000000000001" customHeight="1">
      <c r="B12" s="1" t="s">
        <v>2978</v>
      </c>
      <c r="C12" s="1" t="s">
        <v>2976</v>
      </c>
      <c r="D12" s="1" t="s">
        <v>2979</v>
      </c>
      <c r="F12" s="3"/>
      <c r="G12" s="119"/>
      <c r="H12" s="1" t="s">
        <v>3065</v>
      </c>
      <c r="I12" s="3" t="s">
        <v>3074</v>
      </c>
      <c r="J12" s="3" t="s">
        <v>3077</v>
      </c>
      <c r="K12" s="1" t="s">
        <v>3065</v>
      </c>
      <c r="L12" s="1" t="s">
        <v>3088</v>
      </c>
    </row>
    <row r="13" spans="2:12" ht="20.100000000000001" customHeight="1">
      <c r="B13" s="1" t="s">
        <v>2980</v>
      </c>
      <c r="C13" s="1" t="s">
        <v>2976</v>
      </c>
      <c r="D13" s="1" t="s">
        <v>2981</v>
      </c>
      <c r="F13" s="3"/>
      <c r="G13" s="119"/>
      <c r="H13" s="1" t="s">
        <v>3066</v>
      </c>
      <c r="I13" s="3" t="s">
        <v>3073</v>
      </c>
      <c r="J13" s="3" t="s">
        <v>3034</v>
      </c>
      <c r="K13" s="1" t="s">
        <v>3066</v>
      </c>
      <c r="L13" s="1" t="s">
        <v>3084</v>
      </c>
    </row>
    <row r="14" spans="2:12" ht="20.100000000000001" customHeight="1">
      <c r="B14" s="1" t="s">
        <v>2991</v>
      </c>
      <c r="C14" s="1" t="s">
        <v>2976</v>
      </c>
      <c r="D14" s="1" t="s">
        <v>2992</v>
      </c>
      <c r="F14" s="3"/>
      <c r="G14" s="119"/>
      <c r="H14" s="1" t="s">
        <v>3067</v>
      </c>
      <c r="I14" s="7" t="s">
        <v>3068</v>
      </c>
      <c r="J14" s="3" t="s">
        <v>3035</v>
      </c>
      <c r="K14" s="1" t="s">
        <v>3067</v>
      </c>
      <c r="L14" s="1" t="s">
        <v>3087</v>
      </c>
    </row>
    <row r="15" spans="2:12" ht="20.100000000000001" customHeight="1">
      <c r="B15" s="1" t="s">
        <v>2376</v>
      </c>
      <c r="C15" s="1" t="s">
        <v>2976</v>
      </c>
      <c r="D15" s="1" t="s">
        <v>3003</v>
      </c>
      <c r="F15" s="3"/>
      <c r="G15" s="119"/>
      <c r="H15" s="1" t="s">
        <v>3069</v>
      </c>
      <c r="I15" s="7" t="s">
        <v>3070</v>
      </c>
      <c r="J15" s="3" t="s">
        <v>3081</v>
      </c>
      <c r="K15" s="1" t="s">
        <v>3069</v>
      </c>
      <c r="L15" s="1" t="s">
        <v>3085</v>
      </c>
    </row>
    <row r="16" spans="2:12" ht="20.100000000000001" customHeight="1">
      <c r="B16" s="1" t="s">
        <v>3004</v>
      </c>
      <c r="C16" s="1" t="s">
        <v>2976</v>
      </c>
      <c r="D16" s="1" t="s">
        <v>3078</v>
      </c>
      <c r="F16" s="3"/>
      <c r="G16" s="1"/>
      <c r="H16" s="1"/>
      <c r="I16" s="1"/>
      <c r="J16" s="3"/>
      <c r="K16" s="3"/>
      <c r="L16" s="3"/>
    </row>
    <row r="17" spans="2:9" ht="20.100000000000001" customHeight="1">
      <c r="B17" s="1" t="s">
        <v>3005</v>
      </c>
      <c r="C17" s="1" t="s">
        <v>2976</v>
      </c>
      <c r="D17" s="1" t="s">
        <v>3006</v>
      </c>
      <c r="G17" s="1"/>
      <c r="H17" s="1"/>
      <c r="I17" s="1"/>
    </row>
    <row r="18" spans="2:9" ht="20.100000000000001" customHeight="1">
      <c r="B18" s="1" t="s">
        <v>3013</v>
      </c>
      <c r="C18" s="1" t="s">
        <v>2976</v>
      </c>
      <c r="D18" s="1" t="s">
        <v>3014</v>
      </c>
      <c r="G18" s="1"/>
      <c r="H18" s="1">
        <f>4*4*4</f>
        <v>64</v>
      </c>
      <c r="I18" s="1"/>
    </row>
    <row r="19" spans="2:9" ht="20.100000000000001" customHeight="1">
      <c r="B19" s="1" t="s">
        <v>3028</v>
      </c>
      <c r="C19" s="1" t="s">
        <v>2976</v>
      </c>
      <c r="D19" s="1" t="s">
        <v>3031</v>
      </c>
      <c r="G19" s="1"/>
      <c r="H19" s="1"/>
      <c r="I19" s="1"/>
    </row>
    <row r="20" spans="2:9" ht="20.100000000000001" customHeight="1">
      <c r="B20" s="1" t="s">
        <v>3029</v>
      </c>
      <c r="C20" s="1" t="s">
        <v>2976</v>
      </c>
      <c r="D20" s="1" t="s">
        <v>3030</v>
      </c>
    </row>
    <row r="21" spans="2:9" ht="20.100000000000001" customHeight="1">
      <c r="B21" s="1" t="s">
        <v>3034</v>
      </c>
      <c r="C21" s="1" t="s">
        <v>2976</v>
      </c>
      <c r="D21" s="1" t="s">
        <v>3036</v>
      </c>
    </row>
    <row r="22" spans="2:9" ht="20.100000000000001" customHeight="1">
      <c r="B22" s="1" t="s">
        <v>3035</v>
      </c>
      <c r="C22" s="1" t="s">
        <v>2976</v>
      </c>
      <c r="D22" s="1" t="s">
        <v>3037</v>
      </c>
    </row>
    <row r="23" spans="2:9" ht="20.100000000000001" customHeight="1">
      <c r="B23" s="1" t="s">
        <v>3040</v>
      </c>
      <c r="C23" s="1" t="s">
        <v>2976</v>
      </c>
      <c r="D23" s="1" t="s">
        <v>3041</v>
      </c>
    </row>
    <row r="24" spans="2:9" ht="20.100000000000001" customHeight="1">
      <c r="B24" s="1" t="s">
        <v>3038</v>
      </c>
      <c r="C24" s="1" t="s">
        <v>2976</v>
      </c>
      <c r="D24" s="1" t="s">
        <v>3039</v>
      </c>
    </row>
    <row r="25" spans="2:9" ht="20.100000000000001" customHeight="1">
      <c r="B25" s="1" t="s">
        <v>3051</v>
      </c>
      <c r="C25" s="1" t="s">
        <v>2976</v>
      </c>
      <c r="D25" s="1" t="s">
        <v>3052</v>
      </c>
    </row>
    <row r="26" spans="2:9" ht="20.100000000000001" customHeight="1">
      <c r="B26" s="1" t="s">
        <v>3053</v>
      </c>
      <c r="C26" s="1" t="s">
        <v>2976</v>
      </c>
      <c r="D26" s="1" t="s">
        <v>3054</v>
      </c>
    </row>
    <row r="27" spans="2:9" ht="20.100000000000001" customHeight="1">
      <c r="B27" s="1" t="s">
        <v>2993</v>
      </c>
      <c r="C27" s="1" t="s">
        <v>2976</v>
      </c>
      <c r="D27" s="1" t="s">
        <v>2994</v>
      </c>
    </row>
    <row r="28" spans="2:9" ht="20.100000000000001" customHeight="1">
      <c r="B28" s="1" t="s">
        <v>2995</v>
      </c>
      <c r="C28" s="1" t="s">
        <v>2976</v>
      </c>
      <c r="D28" s="1" t="s">
        <v>2996</v>
      </c>
    </row>
    <row r="29" spans="2:9" ht="20.100000000000001" customHeight="1">
      <c r="B29" s="1" t="s">
        <v>2974</v>
      </c>
      <c r="C29" s="1" t="s">
        <v>2976</v>
      </c>
      <c r="D29" s="1" t="s">
        <v>2977</v>
      </c>
    </row>
    <row r="30" spans="2:9" ht="20.100000000000001" customHeight="1">
      <c r="B30" s="1" t="s">
        <v>3032</v>
      </c>
      <c r="C30" s="1" t="s">
        <v>2976</v>
      </c>
      <c r="D30" s="1" t="s">
        <v>3033</v>
      </c>
    </row>
    <row r="31" spans="2:9" ht="20.100000000000001" customHeight="1">
      <c r="B31" s="1" t="s">
        <v>3079</v>
      </c>
      <c r="C31" s="1" t="s">
        <v>2976</v>
      </c>
      <c r="D31" s="1" t="s">
        <v>3080</v>
      </c>
    </row>
    <row r="32" spans="2:9" ht="20.100000000000001" customHeight="1">
      <c r="B32" s="1"/>
      <c r="C32" s="1"/>
      <c r="D32" s="1"/>
    </row>
    <row r="33" spans="2:6" ht="20.100000000000001" customHeight="1">
      <c r="B33" s="1" t="s">
        <v>2984</v>
      </c>
      <c r="C33" s="1" t="s">
        <v>2976</v>
      </c>
      <c r="D33" s="1" t="s">
        <v>2990</v>
      </c>
      <c r="F33" s="1" t="s">
        <v>2989</v>
      </c>
    </row>
    <row r="34" spans="2:6" ht="20.100000000000001" customHeight="1">
      <c r="B34" s="1" t="s">
        <v>2985</v>
      </c>
      <c r="C34" s="1" t="s">
        <v>2976</v>
      </c>
      <c r="D34" s="1" t="s">
        <v>2990</v>
      </c>
    </row>
    <row r="35" spans="2:6" ht="20.100000000000001" customHeight="1">
      <c r="B35" s="1" t="s">
        <v>3050</v>
      </c>
      <c r="C35" s="1" t="s">
        <v>2976</v>
      </c>
      <c r="D35" s="1" t="s">
        <v>2990</v>
      </c>
    </row>
    <row r="36" spans="2:6" ht="20.100000000000001" customHeight="1">
      <c r="B36" s="1" t="s">
        <v>2986</v>
      </c>
      <c r="C36" s="1" t="s">
        <v>2976</v>
      </c>
      <c r="D36" s="1" t="s">
        <v>2990</v>
      </c>
    </row>
    <row r="37" spans="2:6" ht="20.100000000000001" customHeight="1">
      <c r="B37" s="1" t="s">
        <v>2987</v>
      </c>
      <c r="C37" s="1" t="s">
        <v>2976</v>
      </c>
      <c r="D37" s="1" t="s">
        <v>2990</v>
      </c>
    </row>
    <row r="38" spans="2:6" ht="20.100000000000001" customHeight="1">
      <c r="B38" s="1" t="s">
        <v>2988</v>
      </c>
      <c r="C38" s="1" t="s">
        <v>2976</v>
      </c>
      <c r="D38" s="1" t="s">
        <v>2990</v>
      </c>
    </row>
    <row r="39" spans="2:6" ht="20.100000000000001" customHeight="1">
      <c r="B39" s="1" t="s">
        <v>2997</v>
      </c>
      <c r="C39" s="1" t="s">
        <v>2976</v>
      </c>
      <c r="D39" s="1" t="s">
        <v>2998</v>
      </c>
    </row>
    <row r="40" spans="2:6" ht="20.100000000000001" customHeight="1">
      <c r="B40" s="1" t="s">
        <v>2999</v>
      </c>
      <c r="C40" s="1" t="s">
        <v>2976</v>
      </c>
      <c r="D40" s="1" t="s">
        <v>2998</v>
      </c>
    </row>
    <row r="41" spans="2:6" ht="20.100000000000001" customHeight="1">
      <c r="B41" s="1" t="s">
        <v>3049</v>
      </c>
      <c r="C41" s="1" t="s">
        <v>2976</v>
      </c>
      <c r="D41" s="1" t="s">
        <v>2998</v>
      </c>
    </row>
    <row r="42" spans="2:6" ht="20.100000000000001" customHeight="1">
      <c r="B42" s="1" t="s">
        <v>3000</v>
      </c>
      <c r="C42" s="1" t="s">
        <v>2976</v>
      </c>
      <c r="D42" s="1" t="s">
        <v>2998</v>
      </c>
    </row>
    <row r="43" spans="2:6" ht="20.100000000000001" customHeight="1">
      <c r="B43" s="1" t="s">
        <v>3001</v>
      </c>
      <c r="C43" s="1" t="s">
        <v>2976</v>
      </c>
      <c r="D43" s="1" t="s">
        <v>2998</v>
      </c>
    </row>
    <row r="44" spans="2:6" ht="20.100000000000001" customHeight="1">
      <c r="B44" s="1" t="s">
        <v>3002</v>
      </c>
      <c r="C44" s="1" t="s">
        <v>2976</v>
      </c>
      <c r="D44" s="1" t="s">
        <v>2998</v>
      </c>
    </row>
    <row r="45" spans="2:6" ht="20.100000000000001" customHeight="1"/>
    <row r="46" spans="2:6" s="5" customFormat="1" ht="20.100000000000001" customHeight="1">
      <c r="B46" s="1"/>
      <c r="C46" s="1"/>
      <c r="D46" s="1"/>
    </row>
    <row r="47" spans="2:6" s="5" customFormat="1" ht="20.100000000000001" customHeight="1">
      <c r="B47" s="1"/>
      <c r="C47" s="1"/>
      <c r="D47" s="1"/>
    </row>
    <row r="48" spans="2:6" s="5" customFormat="1" ht="20.100000000000001" customHeight="1">
      <c r="B48" s="1"/>
      <c r="C48" s="1"/>
      <c r="D48" s="1"/>
    </row>
    <row r="49" spans="2:4" s="5" customFormat="1" ht="20.100000000000001" customHeight="1">
      <c r="B49" s="1"/>
      <c r="C49" s="1"/>
      <c r="D49" s="1"/>
    </row>
    <row r="50" spans="2:4" s="5" customFormat="1" ht="20.100000000000001" customHeight="1">
      <c r="B50" s="1"/>
      <c r="C50" s="1"/>
      <c r="D50" s="1"/>
    </row>
    <row r="51" spans="2:4" s="5" customFormat="1" ht="20.100000000000001" customHeight="1">
      <c r="B51" s="4" t="s">
        <v>3015</v>
      </c>
      <c r="C51" s="1"/>
      <c r="D51" s="4" t="s">
        <v>3025</v>
      </c>
    </row>
    <row r="52" spans="2:4" s="5" customFormat="1" ht="20.100000000000001" customHeight="1">
      <c r="B52" s="1" t="s">
        <v>3016</v>
      </c>
      <c r="C52" s="1" t="s">
        <v>3018</v>
      </c>
      <c r="D52" s="1" t="s">
        <v>3017</v>
      </c>
    </row>
    <row r="53" spans="2:4" s="5" customFormat="1" ht="20.100000000000001" customHeight="1">
      <c r="B53" s="1" t="s">
        <v>3019</v>
      </c>
      <c r="C53" s="1" t="s">
        <v>3018</v>
      </c>
      <c r="D53" s="1" t="s">
        <v>3020</v>
      </c>
    </row>
    <row r="54" spans="2:4" s="5" customFormat="1" ht="20.100000000000001" customHeight="1">
      <c r="B54" s="1" t="s">
        <v>3021</v>
      </c>
      <c r="C54" s="1" t="s">
        <v>3018</v>
      </c>
      <c r="D54" s="1" t="s">
        <v>3022</v>
      </c>
    </row>
    <row r="55" spans="2:4" s="5" customFormat="1" ht="20.100000000000001" customHeight="1">
      <c r="B55" s="1" t="s">
        <v>3023</v>
      </c>
      <c r="C55" s="1" t="s">
        <v>3018</v>
      </c>
      <c r="D55" s="1" t="s">
        <v>3024</v>
      </c>
    </row>
    <row r="56" spans="2:4" s="5" customFormat="1" ht="20.100000000000001" customHeight="1">
      <c r="B56" s="1" t="s">
        <v>3026</v>
      </c>
      <c r="C56" s="1" t="s">
        <v>3018</v>
      </c>
      <c r="D56" s="1" t="s">
        <v>3027</v>
      </c>
    </row>
    <row r="57" spans="2:4" s="5" customFormat="1" ht="20.100000000000001" customHeight="1">
      <c r="D57" s="1"/>
    </row>
    <row r="58" spans="2:4" s="5" customFormat="1" ht="20.100000000000001" customHeight="1">
      <c r="B58" s="1" t="s">
        <v>3071</v>
      </c>
      <c r="C58" s="1" t="s">
        <v>2976</v>
      </c>
      <c r="D58" s="1" t="s">
        <v>3072</v>
      </c>
    </row>
    <row r="59" spans="2:4" s="5" customFormat="1" ht="20.100000000000001" customHeight="1">
      <c r="B59" s="1"/>
      <c r="C59" s="1"/>
      <c r="D59" s="1"/>
    </row>
    <row r="60" spans="2:4" s="5" customFormat="1" ht="20.100000000000001" customHeight="1">
      <c r="B60" s="1"/>
      <c r="C60" s="1"/>
      <c r="D60" s="1"/>
    </row>
    <row r="61" spans="2:4" s="5" customFormat="1" ht="20.100000000000001" customHeight="1">
      <c r="B61" s="1"/>
      <c r="C61" s="1"/>
      <c r="D61" s="1"/>
    </row>
    <row r="62" spans="2:4" s="5" customFormat="1" ht="20.100000000000001" customHeight="1">
      <c r="B62" s="1"/>
      <c r="C62" s="1"/>
      <c r="D62" s="1"/>
    </row>
    <row r="63" spans="2:4" s="5" customFormat="1" ht="20.100000000000001" customHeight="1">
      <c r="B63" s="1" t="s">
        <v>3007</v>
      </c>
      <c r="C63" s="1" t="s">
        <v>2976</v>
      </c>
      <c r="D63" s="1" t="s">
        <v>3009</v>
      </c>
    </row>
    <row r="64" spans="2:4" s="5" customFormat="1" ht="20.100000000000001" customHeight="1">
      <c r="B64" s="1" t="s">
        <v>3011</v>
      </c>
      <c r="C64" s="1"/>
      <c r="D64" s="5" t="s">
        <v>3008</v>
      </c>
    </row>
    <row r="65" spans="2:4" s="5" customFormat="1" ht="20.100000000000001" customHeight="1">
      <c r="B65" s="1" t="s">
        <v>3012</v>
      </c>
      <c r="C65" s="1"/>
      <c r="D65" s="5" t="s">
        <v>3010</v>
      </c>
    </row>
    <row r="66" spans="2:4" s="5" customFormat="1" ht="20.100000000000001" customHeight="1">
      <c r="B66" s="1"/>
      <c r="C66" s="1"/>
      <c r="D66" s="1"/>
    </row>
    <row r="67" spans="2:4" s="5" customFormat="1" ht="20.100000000000001" customHeight="1">
      <c r="B67" s="1"/>
      <c r="C67" s="1"/>
      <c r="D67" s="1"/>
    </row>
    <row r="68" spans="2:4" s="5" customFormat="1" ht="20.100000000000001" customHeight="1">
      <c r="B68" s="1"/>
      <c r="C68" s="1"/>
      <c r="D68" s="1"/>
    </row>
    <row r="69" spans="2:4" s="5" customFormat="1" ht="20.100000000000001" customHeight="1">
      <c r="B69" s="1"/>
      <c r="C69" s="1"/>
      <c r="D69" s="1"/>
    </row>
    <row r="70" spans="2:4" s="5" customFormat="1" ht="20.100000000000001" customHeight="1">
      <c r="B70" s="1"/>
      <c r="C70" s="1"/>
      <c r="D70" s="1"/>
    </row>
    <row r="71" spans="2:4" s="5" customFormat="1" ht="20.100000000000001" customHeight="1">
      <c r="B71" s="1"/>
      <c r="C71" s="1"/>
      <c r="D71" s="1"/>
    </row>
    <row r="72" spans="2:4" s="5" customFormat="1" ht="20.100000000000001" customHeight="1">
      <c r="B72" s="1"/>
      <c r="C72" s="1"/>
      <c r="D72" s="1"/>
    </row>
    <row r="73" spans="2:4" s="5" customFormat="1" ht="20.100000000000001" customHeight="1">
      <c r="B73" s="1"/>
      <c r="C73" s="1"/>
      <c r="D73" s="1"/>
    </row>
    <row r="74" spans="2:4" s="5" customFormat="1" ht="20.100000000000001" customHeight="1">
      <c r="B74" s="1"/>
      <c r="C74" s="1"/>
      <c r="D74" s="1"/>
    </row>
    <row r="75" spans="2:4" s="5" customFormat="1" ht="20.100000000000001" customHeight="1">
      <c r="B75" s="1"/>
      <c r="C75" s="1"/>
      <c r="D75" s="1"/>
    </row>
    <row r="76" spans="2:4" s="5" customFormat="1" ht="20.100000000000001" customHeight="1">
      <c r="B76" s="1"/>
      <c r="C76" s="1"/>
      <c r="D76" s="1"/>
    </row>
    <row r="77" spans="2:4" s="5" customFormat="1" ht="20.100000000000001" customHeight="1">
      <c r="B77" s="1"/>
      <c r="C77" s="1"/>
      <c r="D77" s="1"/>
    </row>
    <row r="78" spans="2:4" ht="20.100000000000001" customHeight="1"/>
    <row r="79" spans="2:4" ht="20.100000000000001" customHeight="1"/>
    <row r="80" spans="2:4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</sheetData>
  <mergeCells count="2">
    <mergeCell ref="G2:G7"/>
    <mergeCell ref="G11:G15"/>
  </mergeCells>
  <phoneticPr fontId="3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>
      <selection activeCell="D28" sqref="D28"/>
    </sheetView>
  </sheetViews>
  <sheetFormatPr defaultColWidth="9" defaultRowHeight="14.25"/>
  <cols>
    <col min="1" max="7" width="9" style="13"/>
  </cols>
  <sheetData>
    <row r="1" spans="1:8" s="5" customFormat="1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</row>
    <row r="2" spans="1:8" s="5" customFormat="1" ht="20.100000000000001" customHeight="1">
      <c r="A2" s="1">
        <v>1</v>
      </c>
      <c r="B2" s="1">
        <v>5</v>
      </c>
      <c r="C2" s="1">
        <v>5</v>
      </c>
      <c r="D2" s="1">
        <f>B2*[1]属性总表!$E$5</f>
        <v>5250</v>
      </c>
      <c r="E2" s="1">
        <f>ROUND([1]等级属性!C2*[1]属性总表!$F$5,0)</f>
        <v>500</v>
      </c>
      <c r="F2" s="1">
        <f>ROUND(C2*[1]属性总表!$G$5,0)</f>
        <v>150</v>
      </c>
      <c r="G2" s="1">
        <f>ROUND(C2*[1]属性总表!$H$5,0)</f>
        <v>150</v>
      </c>
      <c r="H2" s="1"/>
    </row>
    <row r="3" spans="1:8" s="5" customFormat="1" ht="20.100000000000001" customHeight="1">
      <c r="A3" s="1">
        <v>2</v>
      </c>
      <c r="B3" s="1">
        <f>B2+0.25</f>
        <v>5.25</v>
      </c>
      <c r="C3" s="1">
        <f>C2+0.12</f>
        <v>5.12</v>
      </c>
      <c r="D3" s="1">
        <f>B3*[1]属性总表!$E$5</f>
        <v>5512.5</v>
      </c>
      <c r="E3" s="1">
        <f>ROUND([1]等级属性!C3*[1]属性总表!$F$5,0)</f>
        <v>512</v>
      </c>
      <c r="F3" s="1">
        <f>ROUND(C3*[1]属性总表!$G$5,0)</f>
        <v>154</v>
      </c>
      <c r="G3" s="1">
        <f>ROUND(C3*[1]属性总表!$H$5,0)</f>
        <v>154</v>
      </c>
      <c r="H3" s="1">
        <f>D3-D2</f>
        <v>262.5</v>
      </c>
    </row>
    <row r="4" spans="1:8" s="5" customFormat="1" ht="20.100000000000001" customHeight="1">
      <c r="A4" s="1">
        <v>3</v>
      </c>
      <c r="B4" s="1">
        <f t="shared" ref="B4:B67" si="0">B3+0.25</f>
        <v>5.5</v>
      </c>
      <c r="C4" s="1">
        <f t="shared" ref="C4:C67" si="1">C3+0.12</f>
        <v>5.24</v>
      </c>
      <c r="D4" s="1">
        <f>B4*[1]属性总表!$E$5</f>
        <v>5775</v>
      </c>
      <c r="E4" s="1">
        <f>ROUND([1]等级属性!C4*[1]属性总表!$F$5,0)</f>
        <v>524</v>
      </c>
      <c r="F4" s="1">
        <f>ROUND(C4*[1]属性总表!$G$5,0)</f>
        <v>157</v>
      </c>
      <c r="G4" s="1">
        <f>ROUND(C4*[1]属性总表!$H$5,0)</f>
        <v>157</v>
      </c>
      <c r="H4" s="1"/>
    </row>
    <row r="5" spans="1:8" s="5" customFormat="1" ht="20.100000000000001" customHeight="1">
      <c r="A5" s="1">
        <v>4</v>
      </c>
      <c r="B5" s="1">
        <f t="shared" si="0"/>
        <v>5.75</v>
      </c>
      <c r="C5" s="1">
        <f t="shared" si="1"/>
        <v>5.36</v>
      </c>
      <c r="D5" s="1">
        <f>B5*[1]属性总表!$E$5</f>
        <v>6037.5</v>
      </c>
      <c r="E5" s="1">
        <f>ROUND([1]等级属性!C5*[1]属性总表!$F$5,0)</f>
        <v>536</v>
      </c>
      <c r="F5" s="1">
        <f>ROUND(C5*[1]属性总表!$G$5,0)</f>
        <v>161</v>
      </c>
      <c r="G5" s="1">
        <f>ROUND(C5*[1]属性总表!$H$5,0)</f>
        <v>161</v>
      </c>
    </row>
    <row r="6" spans="1:8" s="5" customFormat="1" ht="20.100000000000001" customHeight="1">
      <c r="A6" s="1">
        <v>5</v>
      </c>
      <c r="B6" s="1">
        <f t="shared" si="0"/>
        <v>6</v>
      </c>
      <c r="C6" s="1">
        <f t="shared" si="1"/>
        <v>5.48</v>
      </c>
      <c r="D6" s="1">
        <f>B6*[1]属性总表!$E$5</f>
        <v>6300</v>
      </c>
      <c r="E6" s="1">
        <f>ROUND([1]等级属性!C6*[1]属性总表!$F$5,0)</f>
        <v>548</v>
      </c>
      <c r="F6" s="1">
        <f>ROUND(C6*[1]属性总表!$G$5,0)</f>
        <v>164</v>
      </c>
      <c r="G6" s="1">
        <f>ROUND(C6*[1]属性总表!$H$5,0)</f>
        <v>164</v>
      </c>
    </row>
    <row r="7" spans="1:8" s="5" customFormat="1" ht="20.100000000000001" customHeight="1">
      <c r="A7" s="1">
        <v>6</v>
      </c>
      <c r="B7" s="1">
        <f t="shared" si="0"/>
        <v>6.25</v>
      </c>
      <c r="C7" s="1">
        <f t="shared" si="1"/>
        <v>5.6000000000000005</v>
      </c>
      <c r="D7" s="1">
        <f>B7*[1]属性总表!$E$5</f>
        <v>6562.5</v>
      </c>
      <c r="E7" s="1">
        <f>ROUND([1]等级属性!C7*[1]属性总表!$F$5,0)</f>
        <v>560</v>
      </c>
      <c r="F7" s="1">
        <f>ROUND(C7*[1]属性总表!$G$5,0)</f>
        <v>168</v>
      </c>
      <c r="G7" s="1">
        <f>ROUND(C7*[1]属性总表!$H$5,0)</f>
        <v>168</v>
      </c>
    </row>
    <row r="8" spans="1:8" s="5" customFormat="1" ht="20.100000000000001" customHeight="1">
      <c r="A8" s="1">
        <v>7</v>
      </c>
      <c r="B8" s="1">
        <f t="shared" si="0"/>
        <v>6.5</v>
      </c>
      <c r="C8" s="1">
        <f t="shared" si="1"/>
        <v>5.7200000000000006</v>
      </c>
      <c r="D8" s="1">
        <f>B8*[1]属性总表!$E$5</f>
        <v>6825</v>
      </c>
      <c r="E8" s="1">
        <f>ROUND([1]等级属性!C8*[1]属性总表!$F$5,0)</f>
        <v>572</v>
      </c>
      <c r="F8" s="1">
        <f>ROUND(C8*[1]属性总表!$G$5,0)</f>
        <v>172</v>
      </c>
      <c r="G8" s="1">
        <f>ROUND(C8*[1]属性总表!$H$5,0)</f>
        <v>172</v>
      </c>
    </row>
    <row r="9" spans="1:8" s="5" customFormat="1" ht="20.100000000000001" customHeight="1">
      <c r="A9" s="1">
        <v>8</v>
      </c>
      <c r="B9" s="1">
        <f t="shared" si="0"/>
        <v>6.75</v>
      </c>
      <c r="C9" s="1">
        <f t="shared" si="1"/>
        <v>5.8400000000000007</v>
      </c>
      <c r="D9" s="1">
        <f>B9*[1]属性总表!$E$5</f>
        <v>7087.5</v>
      </c>
      <c r="E9" s="1">
        <f>ROUND([1]等级属性!C9*[1]属性总表!$F$5,0)</f>
        <v>584</v>
      </c>
      <c r="F9" s="1">
        <f>ROUND(C9*[1]属性总表!$G$5,0)</f>
        <v>175</v>
      </c>
      <c r="G9" s="1">
        <f>ROUND(C9*[1]属性总表!$H$5,0)</f>
        <v>175</v>
      </c>
    </row>
    <row r="10" spans="1:8" s="5" customFormat="1" ht="20.100000000000001" customHeight="1">
      <c r="A10" s="1">
        <v>9</v>
      </c>
      <c r="B10" s="1">
        <f t="shared" si="0"/>
        <v>7</v>
      </c>
      <c r="C10" s="1">
        <f t="shared" si="1"/>
        <v>5.9600000000000009</v>
      </c>
      <c r="D10" s="1">
        <f>B10*[1]属性总表!$E$5</f>
        <v>7350</v>
      </c>
      <c r="E10" s="1">
        <f>ROUND([1]等级属性!C10*[1]属性总表!$F$5,0)</f>
        <v>596</v>
      </c>
      <c r="F10" s="1">
        <f>ROUND(C10*[1]属性总表!$G$5,0)</f>
        <v>179</v>
      </c>
      <c r="G10" s="1">
        <f>ROUND(C10*[1]属性总表!$H$5,0)</f>
        <v>179</v>
      </c>
    </row>
    <row r="11" spans="1:8" s="5" customFormat="1" ht="20.100000000000001" customHeight="1">
      <c r="A11" s="1">
        <v>10</v>
      </c>
      <c r="B11" s="1">
        <f t="shared" si="0"/>
        <v>7.25</v>
      </c>
      <c r="C11" s="1">
        <f t="shared" si="1"/>
        <v>6.080000000000001</v>
      </c>
      <c r="D11" s="1">
        <f>B11*[1]属性总表!$E$5</f>
        <v>7612.5</v>
      </c>
      <c r="E11" s="1">
        <f>ROUND([1]等级属性!C11*[1]属性总表!$F$5,0)</f>
        <v>608</v>
      </c>
      <c r="F11" s="1">
        <f>ROUND(C11*[1]属性总表!$G$5,0)</f>
        <v>182</v>
      </c>
      <c r="G11" s="1">
        <f>ROUND(C11*[1]属性总表!$H$5,0)</f>
        <v>182</v>
      </c>
    </row>
    <row r="12" spans="1:8" s="5" customFormat="1" ht="20.100000000000001" customHeight="1">
      <c r="A12" s="1">
        <v>11</v>
      </c>
      <c r="B12" s="1">
        <f t="shared" si="0"/>
        <v>7.5</v>
      </c>
      <c r="C12" s="1">
        <f t="shared" si="1"/>
        <v>6.2000000000000011</v>
      </c>
      <c r="D12" s="1">
        <f>B12*[1]属性总表!$E$5</f>
        <v>7875</v>
      </c>
      <c r="E12" s="1">
        <f>ROUND([1]等级属性!C12*[1]属性总表!$F$5,0)</f>
        <v>620</v>
      </c>
      <c r="F12" s="1">
        <f>ROUND(C12*[1]属性总表!$G$5,0)</f>
        <v>186</v>
      </c>
      <c r="G12" s="1">
        <f>ROUND(C12*[1]属性总表!$H$5,0)</f>
        <v>186</v>
      </c>
    </row>
    <row r="13" spans="1:8" s="5" customFormat="1" ht="20.100000000000001" customHeight="1">
      <c r="A13" s="1">
        <v>12</v>
      </c>
      <c r="B13" s="1">
        <f t="shared" si="0"/>
        <v>7.75</v>
      </c>
      <c r="C13" s="1">
        <f t="shared" si="1"/>
        <v>6.3200000000000012</v>
      </c>
      <c r="D13" s="1">
        <f>B13*[1]属性总表!$E$5</f>
        <v>8137.5</v>
      </c>
      <c r="E13" s="1">
        <f>ROUND([1]等级属性!C13*[1]属性总表!$F$5,0)</f>
        <v>632</v>
      </c>
      <c r="F13" s="1">
        <f>ROUND(C13*[1]属性总表!$G$5,0)</f>
        <v>190</v>
      </c>
      <c r="G13" s="1">
        <f>ROUND(C13*[1]属性总表!$H$5,0)</f>
        <v>190</v>
      </c>
    </row>
    <row r="14" spans="1:8" s="5" customFormat="1" ht="20.100000000000001" customHeight="1">
      <c r="A14" s="1">
        <v>13</v>
      </c>
      <c r="B14" s="1">
        <f t="shared" si="0"/>
        <v>8</v>
      </c>
      <c r="C14" s="1">
        <f t="shared" si="1"/>
        <v>6.4400000000000013</v>
      </c>
      <c r="D14" s="1">
        <f>B14*[1]属性总表!$E$5</f>
        <v>8400</v>
      </c>
      <c r="E14" s="1">
        <f>ROUND([1]等级属性!C14*[1]属性总表!$F$5,0)</f>
        <v>644</v>
      </c>
      <c r="F14" s="1">
        <f>ROUND(C14*[1]属性总表!$G$5,0)</f>
        <v>193</v>
      </c>
      <c r="G14" s="1">
        <f>ROUND(C14*[1]属性总表!$H$5,0)</f>
        <v>193</v>
      </c>
    </row>
    <row r="15" spans="1:8" s="5" customFormat="1" ht="20.100000000000001" customHeight="1">
      <c r="A15" s="1">
        <v>14</v>
      </c>
      <c r="B15" s="1">
        <f t="shared" si="0"/>
        <v>8.25</v>
      </c>
      <c r="C15" s="1">
        <f t="shared" si="1"/>
        <v>6.5600000000000014</v>
      </c>
      <c r="D15" s="1">
        <f>B15*[1]属性总表!$E$5</f>
        <v>8662.5</v>
      </c>
      <c r="E15" s="1">
        <f>ROUND([1]等级属性!C15*[1]属性总表!$F$5,0)</f>
        <v>656</v>
      </c>
      <c r="F15" s="1">
        <f>ROUND(C15*[1]属性总表!$G$5,0)</f>
        <v>197</v>
      </c>
      <c r="G15" s="1">
        <f>ROUND(C15*[1]属性总表!$H$5,0)</f>
        <v>197</v>
      </c>
    </row>
    <row r="16" spans="1:8" s="5" customFormat="1" ht="20.100000000000001" customHeight="1">
      <c r="A16" s="1">
        <v>15</v>
      </c>
      <c r="B16" s="1">
        <f t="shared" si="0"/>
        <v>8.5</v>
      </c>
      <c r="C16" s="1">
        <f t="shared" si="1"/>
        <v>6.6800000000000015</v>
      </c>
      <c r="D16" s="1">
        <f>B16*[1]属性总表!$E$5</f>
        <v>8925</v>
      </c>
      <c r="E16" s="1">
        <f>ROUND([1]等级属性!C16*[1]属性总表!$F$5,0)</f>
        <v>668</v>
      </c>
      <c r="F16" s="1">
        <f>ROUND(C16*[1]属性总表!$G$5,0)</f>
        <v>200</v>
      </c>
      <c r="G16" s="1">
        <f>ROUND(C16*[1]属性总表!$H$5,0)</f>
        <v>200</v>
      </c>
    </row>
    <row r="17" spans="1:7" s="5" customFormat="1" ht="20.100000000000001" customHeight="1">
      <c r="A17" s="1">
        <v>16</v>
      </c>
      <c r="B17" s="1">
        <f t="shared" si="0"/>
        <v>8.75</v>
      </c>
      <c r="C17" s="1">
        <f t="shared" si="1"/>
        <v>6.8000000000000016</v>
      </c>
      <c r="D17" s="1">
        <f>B17*[1]属性总表!$E$5</f>
        <v>9187.5</v>
      </c>
      <c r="E17" s="1">
        <f>ROUND([1]等级属性!C17*[1]属性总表!$F$5,0)</f>
        <v>680</v>
      </c>
      <c r="F17" s="1">
        <f>ROUND(C17*[1]属性总表!$G$5,0)</f>
        <v>204</v>
      </c>
      <c r="G17" s="1">
        <f>ROUND(C17*[1]属性总表!$H$5,0)</f>
        <v>204</v>
      </c>
    </row>
    <row r="18" spans="1:7" s="5" customFormat="1" ht="20.100000000000001" customHeight="1">
      <c r="A18" s="1">
        <v>17</v>
      </c>
      <c r="B18" s="1">
        <f t="shared" si="0"/>
        <v>9</v>
      </c>
      <c r="C18" s="1">
        <f t="shared" si="1"/>
        <v>6.9200000000000017</v>
      </c>
      <c r="D18" s="1">
        <f>B18*[1]属性总表!$E$5</f>
        <v>9450</v>
      </c>
      <c r="E18" s="1">
        <f>ROUND([1]等级属性!C18*[1]属性总表!$F$5,0)</f>
        <v>692</v>
      </c>
      <c r="F18" s="1">
        <f>ROUND(C18*[1]属性总表!$G$5,0)</f>
        <v>208</v>
      </c>
      <c r="G18" s="1">
        <f>ROUND(C18*[1]属性总表!$H$5,0)</f>
        <v>208</v>
      </c>
    </row>
    <row r="19" spans="1:7" s="5" customFormat="1" ht="20.100000000000001" customHeight="1">
      <c r="A19" s="1">
        <v>18</v>
      </c>
      <c r="B19" s="1">
        <f t="shared" si="0"/>
        <v>9.25</v>
      </c>
      <c r="C19" s="1">
        <f t="shared" si="1"/>
        <v>7.0400000000000018</v>
      </c>
      <c r="D19" s="1">
        <f>B19*[1]属性总表!$E$5</f>
        <v>9712.5</v>
      </c>
      <c r="E19" s="1">
        <f>ROUND([1]等级属性!C19*[1]属性总表!$F$5,0)</f>
        <v>704</v>
      </c>
      <c r="F19" s="1">
        <f>ROUND(C19*[1]属性总表!$G$5,0)</f>
        <v>211</v>
      </c>
      <c r="G19" s="1">
        <f>ROUND(C19*[1]属性总表!$H$5,0)</f>
        <v>211</v>
      </c>
    </row>
    <row r="20" spans="1:7" s="5" customFormat="1" ht="20.100000000000001" customHeight="1">
      <c r="A20" s="1">
        <v>19</v>
      </c>
      <c r="B20" s="1">
        <f t="shared" si="0"/>
        <v>9.5</v>
      </c>
      <c r="C20" s="1">
        <f t="shared" si="1"/>
        <v>7.1600000000000019</v>
      </c>
      <c r="D20" s="1">
        <f>B20*[1]属性总表!$E$5</f>
        <v>9975</v>
      </c>
      <c r="E20" s="1">
        <f>ROUND([1]等级属性!C20*[1]属性总表!$F$5,0)</f>
        <v>716</v>
      </c>
      <c r="F20" s="1">
        <f>ROUND(C20*[1]属性总表!$G$5,0)</f>
        <v>215</v>
      </c>
      <c r="G20" s="1">
        <f>ROUND(C20*[1]属性总表!$H$5,0)</f>
        <v>215</v>
      </c>
    </row>
    <row r="21" spans="1:7" s="5" customFormat="1" ht="20.100000000000001" customHeight="1">
      <c r="A21" s="1">
        <v>20</v>
      </c>
      <c r="B21" s="1">
        <f t="shared" si="0"/>
        <v>9.75</v>
      </c>
      <c r="C21" s="1">
        <f t="shared" si="1"/>
        <v>7.280000000000002</v>
      </c>
      <c r="D21" s="1">
        <f>B21*[1]属性总表!$E$5</f>
        <v>10237.5</v>
      </c>
      <c r="E21" s="1">
        <f>ROUND([1]等级属性!C21*[1]属性总表!$F$5,0)</f>
        <v>728</v>
      </c>
      <c r="F21" s="1">
        <f>ROUND(C21*[1]属性总表!$G$5,0)</f>
        <v>218</v>
      </c>
      <c r="G21" s="1">
        <f>ROUND(C21*[1]属性总表!$H$5,0)</f>
        <v>218</v>
      </c>
    </row>
    <row r="22" spans="1:7" s="5" customFormat="1" ht="20.100000000000001" customHeight="1">
      <c r="A22" s="1">
        <v>21</v>
      </c>
      <c r="B22" s="1">
        <f t="shared" si="0"/>
        <v>10</v>
      </c>
      <c r="C22" s="1">
        <f t="shared" si="1"/>
        <v>7.4000000000000021</v>
      </c>
      <c r="D22" s="1">
        <f>B22*[1]属性总表!$E$5</f>
        <v>10500</v>
      </c>
      <c r="E22" s="1">
        <f>ROUND([1]等级属性!C22*[1]属性总表!$F$5,0)</f>
        <v>740</v>
      </c>
      <c r="F22" s="1">
        <f>ROUND(C22*[1]属性总表!$G$5,0)</f>
        <v>222</v>
      </c>
      <c r="G22" s="1">
        <f>ROUND(C22*[1]属性总表!$H$5,0)</f>
        <v>222</v>
      </c>
    </row>
    <row r="23" spans="1:7" s="5" customFormat="1" ht="20.100000000000001" customHeight="1">
      <c r="A23" s="1">
        <v>22</v>
      </c>
      <c r="B23" s="1">
        <f t="shared" si="0"/>
        <v>10.25</v>
      </c>
      <c r="C23" s="1">
        <f t="shared" si="1"/>
        <v>7.5200000000000022</v>
      </c>
      <c r="D23" s="1">
        <f>B23*[1]属性总表!$E$5</f>
        <v>10762.5</v>
      </c>
      <c r="E23" s="1">
        <f>ROUND([1]等级属性!C23*[1]属性总表!$F$5,0)</f>
        <v>752</v>
      </c>
      <c r="F23" s="1">
        <f>ROUND(C23*[1]属性总表!$G$5,0)</f>
        <v>226</v>
      </c>
      <c r="G23" s="1">
        <f>ROUND(C23*[1]属性总表!$H$5,0)</f>
        <v>226</v>
      </c>
    </row>
    <row r="24" spans="1:7" s="5" customFormat="1" ht="20.100000000000001" customHeight="1">
      <c r="A24" s="1">
        <v>23</v>
      </c>
      <c r="B24" s="1">
        <f t="shared" si="0"/>
        <v>10.5</v>
      </c>
      <c r="C24" s="1">
        <f t="shared" si="1"/>
        <v>7.6400000000000023</v>
      </c>
      <c r="D24" s="1">
        <f>B24*[1]属性总表!$E$5</f>
        <v>11025</v>
      </c>
      <c r="E24" s="1">
        <f>ROUND([1]等级属性!C24*[1]属性总表!$F$5,0)</f>
        <v>764</v>
      </c>
      <c r="F24" s="1">
        <f>ROUND(C24*[1]属性总表!$G$5,0)</f>
        <v>229</v>
      </c>
      <c r="G24" s="1">
        <f>ROUND(C24*[1]属性总表!$H$5,0)</f>
        <v>229</v>
      </c>
    </row>
    <row r="25" spans="1:7" s="5" customFormat="1" ht="20.100000000000001" customHeight="1">
      <c r="A25" s="1">
        <v>24</v>
      </c>
      <c r="B25" s="1">
        <f t="shared" si="0"/>
        <v>10.75</v>
      </c>
      <c r="C25" s="1">
        <f t="shared" si="1"/>
        <v>7.7600000000000025</v>
      </c>
      <c r="D25" s="1">
        <f>B25*[1]属性总表!$E$5</f>
        <v>11287.5</v>
      </c>
      <c r="E25" s="1">
        <f>ROUND([1]等级属性!C25*[1]属性总表!$F$5,0)</f>
        <v>776</v>
      </c>
      <c r="F25" s="1">
        <f>ROUND(C25*[1]属性总表!$G$5,0)</f>
        <v>233</v>
      </c>
      <c r="G25" s="1">
        <f>ROUND(C25*[1]属性总表!$H$5,0)</f>
        <v>233</v>
      </c>
    </row>
    <row r="26" spans="1:7" s="5" customFormat="1" ht="20.100000000000001" customHeight="1">
      <c r="A26" s="1">
        <v>25</v>
      </c>
      <c r="B26" s="1">
        <f t="shared" si="0"/>
        <v>11</v>
      </c>
      <c r="C26" s="1">
        <f t="shared" si="1"/>
        <v>7.8800000000000026</v>
      </c>
      <c r="D26" s="1">
        <f>B26*[1]属性总表!$E$5</f>
        <v>11550</v>
      </c>
      <c r="E26" s="1">
        <f>ROUND([1]等级属性!C26*[1]属性总表!$F$5,0)</f>
        <v>788</v>
      </c>
      <c r="F26" s="1">
        <f>ROUND(C26*[1]属性总表!$G$5,0)</f>
        <v>236</v>
      </c>
      <c r="G26" s="1">
        <f>ROUND(C26*[1]属性总表!$H$5,0)</f>
        <v>236</v>
      </c>
    </row>
    <row r="27" spans="1:7" s="5" customFormat="1" ht="20.100000000000001" customHeight="1">
      <c r="A27" s="1">
        <v>26</v>
      </c>
      <c r="B27" s="1">
        <f t="shared" si="0"/>
        <v>11.25</v>
      </c>
      <c r="C27" s="1">
        <f t="shared" si="1"/>
        <v>8.0000000000000018</v>
      </c>
      <c r="D27" s="1">
        <f>B27*[1]属性总表!$E$5</f>
        <v>11812.5</v>
      </c>
      <c r="E27" s="1">
        <f>ROUND([1]等级属性!C27*[1]属性总表!$F$5,0)</f>
        <v>800</v>
      </c>
      <c r="F27" s="1">
        <f>ROUND(C27*[1]属性总表!$G$5,0)</f>
        <v>240</v>
      </c>
      <c r="G27" s="1">
        <f>ROUND(C27*[1]属性总表!$H$5,0)</f>
        <v>240</v>
      </c>
    </row>
    <row r="28" spans="1:7" s="5" customFormat="1" ht="20.100000000000001" customHeight="1">
      <c r="A28" s="1">
        <v>27</v>
      </c>
      <c r="B28" s="1">
        <f t="shared" si="0"/>
        <v>11.5</v>
      </c>
      <c r="C28" s="1">
        <f t="shared" si="1"/>
        <v>8.120000000000001</v>
      </c>
      <c r="D28" s="1">
        <f>B28*[1]属性总表!$E$5</f>
        <v>12075</v>
      </c>
      <c r="E28" s="1">
        <f>ROUND([1]等级属性!C28*[1]属性总表!$F$5,0)</f>
        <v>812</v>
      </c>
      <c r="F28" s="1">
        <f>ROUND(C28*[1]属性总表!$G$5,0)</f>
        <v>244</v>
      </c>
      <c r="G28" s="1">
        <f>ROUND(C28*[1]属性总表!$H$5,0)</f>
        <v>244</v>
      </c>
    </row>
    <row r="29" spans="1:7" s="5" customFormat="1" ht="20.100000000000001" customHeight="1">
      <c r="A29" s="1">
        <v>28</v>
      </c>
      <c r="B29" s="1">
        <f t="shared" si="0"/>
        <v>11.75</v>
      </c>
      <c r="C29" s="1">
        <f t="shared" si="1"/>
        <v>8.24</v>
      </c>
      <c r="D29" s="1">
        <f>B29*[1]属性总表!$E$5</f>
        <v>12337.5</v>
      </c>
      <c r="E29" s="1">
        <f>ROUND([1]等级属性!C29*[1]属性总表!$F$5,0)</f>
        <v>824</v>
      </c>
      <c r="F29" s="1">
        <f>ROUND(C29*[1]属性总表!$G$5,0)</f>
        <v>247</v>
      </c>
      <c r="G29" s="1">
        <f>ROUND(C29*[1]属性总表!$H$5,0)</f>
        <v>247</v>
      </c>
    </row>
    <row r="30" spans="1:7" s="5" customFormat="1" ht="20.100000000000001" customHeight="1">
      <c r="A30" s="1">
        <v>29</v>
      </c>
      <c r="B30" s="1">
        <f t="shared" si="0"/>
        <v>12</v>
      </c>
      <c r="C30" s="1">
        <f t="shared" si="1"/>
        <v>8.36</v>
      </c>
      <c r="D30" s="1">
        <f>B30*[1]属性总表!$E$5</f>
        <v>12600</v>
      </c>
      <c r="E30" s="1">
        <f>ROUND([1]等级属性!C30*[1]属性总表!$F$5,0)</f>
        <v>836</v>
      </c>
      <c r="F30" s="1">
        <f>ROUND(C30*[1]属性总表!$G$5,0)</f>
        <v>251</v>
      </c>
      <c r="G30" s="1">
        <f>ROUND(C30*[1]属性总表!$H$5,0)</f>
        <v>251</v>
      </c>
    </row>
    <row r="31" spans="1:7" s="5" customFormat="1" ht="20.100000000000001" customHeight="1">
      <c r="A31" s="1">
        <v>30</v>
      </c>
      <c r="B31" s="1">
        <f t="shared" si="0"/>
        <v>12.25</v>
      </c>
      <c r="C31" s="1">
        <f t="shared" si="1"/>
        <v>8.4799999999999986</v>
      </c>
      <c r="D31" s="1">
        <f>B31*[1]属性总表!$E$5</f>
        <v>12862.5</v>
      </c>
      <c r="E31" s="1">
        <f>ROUND([1]等级属性!C31*[1]属性总表!$F$5,0)</f>
        <v>848</v>
      </c>
      <c r="F31" s="1">
        <f>ROUND(C31*[1]属性总表!$G$5,0)</f>
        <v>254</v>
      </c>
      <c r="G31" s="1">
        <f>ROUND(C31*[1]属性总表!$H$5,0)</f>
        <v>254</v>
      </c>
    </row>
    <row r="32" spans="1:7" s="5" customFormat="1" ht="20.100000000000001" customHeight="1">
      <c r="A32" s="1">
        <v>31</v>
      </c>
      <c r="B32" s="1">
        <f t="shared" si="0"/>
        <v>12.5</v>
      </c>
      <c r="C32" s="1">
        <f t="shared" si="1"/>
        <v>8.5999999999999979</v>
      </c>
      <c r="D32" s="1">
        <f>B32*[1]属性总表!$E$5</f>
        <v>13125</v>
      </c>
      <c r="E32" s="1">
        <f>ROUND([1]等级属性!C32*[1]属性总表!$F$5,0)</f>
        <v>860</v>
      </c>
      <c r="F32" s="1">
        <f>ROUND(C32*[1]属性总表!$G$5,0)</f>
        <v>258</v>
      </c>
      <c r="G32" s="1">
        <f>ROUND(C32*[1]属性总表!$H$5,0)</f>
        <v>258</v>
      </c>
    </row>
    <row r="33" spans="1:7" s="5" customFormat="1" ht="20.100000000000001" customHeight="1">
      <c r="A33" s="1">
        <v>32</v>
      </c>
      <c r="B33" s="1">
        <f t="shared" si="0"/>
        <v>12.75</v>
      </c>
      <c r="C33" s="1">
        <f t="shared" si="1"/>
        <v>8.7199999999999971</v>
      </c>
      <c r="D33" s="1">
        <f>B33*[1]属性总表!$E$5</f>
        <v>13387.5</v>
      </c>
      <c r="E33" s="1">
        <f>ROUND([1]等级属性!C33*[1]属性总表!$F$5,0)</f>
        <v>872</v>
      </c>
      <c r="F33" s="1">
        <f>ROUND(C33*[1]属性总表!$G$5,0)</f>
        <v>262</v>
      </c>
      <c r="G33" s="1">
        <f>ROUND(C33*[1]属性总表!$H$5,0)</f>
        <v>262</v>
      </c>
    </row>
    <row r="34" spans="1:7" s="5" customFormat="1" ht="20.100000000000001" customHeight="1">
      <c r="A34" s="1">
        <v>33</v>
      </c>
      <c r="B34" s="1">
        <f t="shared" si="0"/>
        <v>13</v>
      </c>
      <c r="C34" s="1">
        <f t="shared" si="1"/>
        <v>8.8399999999999963</v>
      </c>
      <c r="D34" s="1">
        <f>B34*[1]属性总表!$E$5</f>
        <v>13650</v>
      </c>
      <c r="E34" s="1">
        <f>ROUND([1]等级属性!C34*[1]属性总表!$F$5,0)</f>
        <v>884</v>
      </c>
      <c r="F34" s="1">
        <f>ROUND(C34*[1]属性总表!$G$5,0)</f>
        <v>265</v>
      </c>
      <c r="G34" s="1">
        <f>ROUND(C34*[1]属性总表!$H$5,0)</f>
        <v>265</v>
      </c>
    </row>
    <row r="35" spans="1:7" s="5" customFormat="1" ht="20.100000000000001" customHeight="1">
      <c r="A35" s="1">
        <v>34</v>
      </c>
      <c r="B35" s="1">
        <f t="shared" si="0"/>
        <v>13.25</v>
      </c>
      <c r="C35" s="1">
        <f t="shared" si="1"/>
        <v>8.9599999999999955</v>
      </c>
      <c r="D35" s="1">
        <f>B35*[1]属性总表!$E$5</f>
        <v>13912.5</v>
      </c>
      <c r="E35" s="1">
        <f>ROUND([1]等级属性!C35*[1]属性总表!$F$5,0)</f>
        <v>896</v>
      </c>
      <c r="F35" s="1">
        <f>ROUND(C35*[1]属性总表!$G$5,0)</f>
        <v>269</v>
      </c>
      <c r="G35" s="1">
        <f>ROUND(C35*[1]属性总表!$H$5,0)</f>
        <v>269</v>
      </c>
    </row>
    <row r="36" spans="1:7" s="5" customFormat="1" ht="20.100000000000001" customHeight="1">
      <c r="A36" s="1">
        <v>35</v>
      </c>
      <c r="B36" s="1">
        <f t="shared" si="0"/>
        <v>13.5</v>
      </c>
      <c r="C36" s="1">
        <f t="shared" si="1"/>
        <v>9.0799999999999947</v>
      </c>
      <c r="D36" s="1">
        <f>B36*[1]属性总表!$E$5</f>
        <v>14175</v>
      </c>
      <c r="E36" s="1">
        <f>ROUND([1]等级属性!C36*[1]属性总表!$F$5,0)</f>
        <v>908</v>
      </c>
      <c r="F36" s="1">
        <f>ROUND(C36*[1]属性总表!$G$5,0)</f>
        <v>272</v>
      </c>
      <c r="G36" s="1">
        <f>ROUND(C36*[1]属性总表!$H$5,0)</f>
        <v>272</v>
      </c>
    </row>
    <row r="37" spans="1:7" s="5" customFormat="1" ht="20.100000000000001" customHeight="1">
      <c r="A37" s="1">
        <v>36</v>
      </c>
      <c r="B37" s="1">
        <f t="shared" si="0"/>
        <v>13.75</v>
      </c>
      <c r="C37" s="1">
        <f t="shared" si="1"/>
        <v>9.199999999999994</v>
      </c>
      <c r="D37" s="1">
        <f>B37*[1]属性总表!$E$5</f>
        <v>14437.5</v>
      </c>
      <c r="E37" s="1">
        <f>ROUND([1]等级属性!C37*[1]属性总表!$F$5,0)</f>
        <v>920</v>
      </c>
      <c r="F37" s="1">
        <f>ROUND(C37*[1]属性总表!$G$5,0)</f>
        <v>276</v>
      </c>
      <c r="G37" s="1">
        <f>ROUND(C37*[1]属性总表!$H$5,0)</f>
        <v>276</v>
      </c>
    </row>
    <row r="38" spans="1:7" s="5" customFormat="1" ht="20.100000000000001" customHeight="1">
      <c r="A38" s="1">
        <v>37</v>
      </c>
      <c r="B38" s="1">
        <f t="shared" si="0"/>
        <v>14</v>
      </c>
      <c r="C38" s="1">
        <f t="shared" si="1"/>
        <v>9.3199999999999932</v>
      </c>
      <c r="D38" s="1">
        <f>B38*[1]属性总表!$E$5</f>
        <v>14700</v>
      </c>
      <c r="E38" s="1">
        <f>ROUND([1]等级属性!C38*[1]属性总表!$F$5,0)</f>
        <v>932</v>
      </c>
      <c r="F38" s="1">
        <f>ROUND(C38*[1]属性总表!$G$5,0)</f>
        <v>280</v>
      </c>
      <c r="G38" s="1">
        <f>ROUND(C38*[1]属性总表!$H$5,0)</f>
        <v>280</v>
      </c>
    </row>
    <row r="39" spans="1:7" s="5" customFormat="1" ht="20.100000000000001" customHeight="1">
      <c r="A39" s="1">
        <v>38</v>
      </c>
      <c r="B39" s="1">
        <f t="shared" si="0"/>
        <v>14.25</v>
      </c>
      <c r="C39" s="1">
        <f t="shared" si="1"/>
        <v>9.4399999999999924</v>
      </c>
      <c r="D39" s="1">
        <f>B39*[1]属性总表!$E$5</f>
        <v>14962.5</v>
      </c>
      <c r="E39" s="1">
        <f>ROUND([1]等级属性!C39*[1]属性总表!$F$5,0)</f>
        <v>944</v>
      </c>
      <c r="F39" s="1">
        <f>ROUND(C39*[1]属性总表!$G$5,0)</f>
        <v>283</v>
      </c>
      <c r="G39" s="1">
        <f>ROUND(C39*[1]属性总表!$H$5,0)</f>
        <v>283</v>
      </c>
    </row>
    <row r="40" spans="1:7" s="5" customFormat="1" ht="20.100000000000001" customHeight="1">
      <c r="A40" s="1">
        <v>39</v>
      </c>
      <c r="B40" s="1">
        <f t="shared" si="0"/>
        <v>14.5</v>
      </c>
      <c r="C40" s="1">
        <f t="shared" si="1"/>
        <v>9.5599999999999916</v>
      </c>
      <c r="D40" s="1">
        <f>B40*[1]属性总表!$E$5</f>
        <v>15225</v>
      </c>
      <c r="E40" s="1">
        <f>ROUND([1]等级属性!C40*[1]属性总表!$F$5,0)</f>
        <v>956</v>
      </c>
      <c r="F40" s="1">
        <f>ROUND(C40*[1]属性总表!$G$5,0)</f>
        <v>287</v>
      </c>
      <c r="G40" s="1">
        <f>ROUND(C40*[1]属性总表!$H$5,0)</f>
        <v>287</v>
      </c>
    </row>
    <row r="41" spans="1:7" s="5" customFormat="1" ht="20.100000000000001" customHeight="1">
      <c r="A41" s="1">
        <v>40</v>
      </c>
      <c r="B41" s="1">
        <f t="shared" si="0"/>
        <v>14.75</v>
      </c>
      <c r="C41" s="1">
        <f t="shared" si="1"/>
        <v>9.6799999999999908</v>
      </c>
      <c r="D41" s="1">
        <f>B41*[1]属性总表!$E$5</f>
        <v>15487.5</v>
      </c>
      <c r="E41" s="1">
        <f>ROUND([1]等级属性!C41*[1]属性总表!$F$5,0)</f>
        <v>968</v>
      </c>
      <c r="F41" s="1">
        <f>ROUND(C41*[1]属性总表!$G$5,0)</f>
        <v>290</v>
      </c>
      <c r="G41" s="1">
        <f>ROUND(C41*[1]属性总表!$H$5,0)</f>
        <v>290</v>
      </c>
    </row>
    <row r="42" spans="1:7" s="5" customFormat="1" ht="20.100000000000001" customHeight="1">
      <c r="A42" s="1">
        <v>41</v>
      </c>
      <c r="B42" s="1">
        <f t="shared" si="0"/>
        <v>15</v>
      </c>
      <c r="C42" s="1">
        <f t="shared" si="1"/>
        <v>9.7999999999999901</v>
      </c>
      <c r="D42" s="1">
        <f>B42*[1]属性总表!$E$5</f>
        <v>15750</v>
      </c>
      <c r="E42" s="1">
        <f>ROUND([1]等级属性!C42*[1]属性总表!$F$5,0)</f>
        <v>980</v>
      </c>
      <c r="F42" s="1">
        <f>ROUND(C42*[1]属性总表!$G$5,0)</f>
        <v>294</v>
      </c>
      <c r="G42" s="1">
        <f>ROUND(C42*[1]属性总表!$H$5,0)</f>
        <v>294</v>
      </c>
    </row>
    <row r="43" spans="1:7" s="5" customFormat="1" ht="20.100000000000001" customHeight="1">
      <c r="A43" s="1">
        <v>42</v>
      </c>
      <c r="B43" s="1">
        <f t="shared" si="0"/>
        <v>15.25</v>
      </c>
      <c r="C43" s="1">
        <f t="shared" si="1"/>
        <v>9.9199999999999893</v>
      </c>
      <c r="D43" s="1">
        <f>B43*[1]属性总表!$E$5</f>
        <v>16012.5</v>
      </c>
      <c r="E43" s="1">
        <f>ROUND([1]等级属性!C43*[1]属性总表!$F$5,0)</f>
        <v>992</v>
      </c>
      <c r="F43" s="1">
        <f>ROUND(C43*[1]属性总表!$G$5,0)</f>
        <v>298</v>
      </c>
      <c r="G43" s="1">
        <f>ROUND(C43*[1]属性总表!$H$5,0)</f>
        <v>298</v>
      </c>
    </row>
    <row r="44" spans="1:7" s="5" customFormat="1" ht="20.100000000000001" customHeight="1">
      <c r="A44" s="1">
        <v>43</v>
      </c>
      <c r="B44" s="1">
        <f t="shared" si="0"/>
        <v>15.5</v>
      </c>
      <c r="C44" s="1">
        <f t="shared" si="1"/>
        <v>10.039999999999988</v>
      </c>
      <c r="D44" s="1">
        <f>B44*[1]属性总表!$E$5</f>
        <v>16275</v>
      </c>
      <c r="E44" s="1">
        <f>ROUND([1]等级属性!C44*[1]属性总表!$F$5,0)</f>
        <v>1004</v>
      </c>
      <c r="F44" s="1">
        <f>ROUND(C44*[1]属性总表!$G$5,0)</f>
        <v>301</v>
      </c>
      <c r="G44" s="1">
        <f>ROUND(C44*[1]属性总表!$H$5,0)</f>
        <v>301</v>
      </c>
    </row>
    <row r="45" spans="1:7" s="5" customFormat="1" ht="20.100000000000001" customHeight="1">
      <c r="A45" s="1">
        <v>44</v>
      </c>
      <c r="B45" s="1">
        <f t="shared" si="0"/>
        <v>15.75</v>
      </c>
      <c r="C45" s="1">
        <f t="shared" si="1"/>
        <v>10.159999999999988</v>
      </c>
      <c r="D45" s="1">
        <f>B45*[1]属性总表!$E$5</f>
        <v>16537.5</v>
      </c>
      <c r="E45" s="1">
        <f>ROUND([1]等级属性!C45*[1]属性总表!$F$5,0)</f>
        <v>1016</v>
      </c>
      <c r="F45" s="1">
        <f>ROUND(C45*[1]属性总表!$G$5,0)</f>
        <v>305</v>
      </c>
      <c r="G45" s="1">
        <f>ROUND(C45*[1]属性总表!$H$5,0)</f>
        <v>305</v>
      </c>
    </row>
    <row r="46" spans="1:7" s="5" customFormat="1" ht="20.100000000000001" customHeight="1">
      <c r="A46" s="1">
        <v>45</v>
      </c>
      <c r="B46" s="1">
        <f t="shared" si="0"/>
        <v>16</v>
      </c>
      <c r="C46" s="1">
        <f t="shared" si="1"/>
        <v>10.279999999999987</v>
      </c>
      <c r="D46" s="1">
        <f>B46*[1]属性总表!$E$5</f>
        <v>16800</v>
      </c>
      <c r="E46" s="1">
        <f>ROUND([1]等级属性!C46*[1]属性总表!$F$5,0)</f>
        <v>1028</v>
      </c>
      <c r="F46" s="1">
        <f>ROUND(C46*[1]属性总表!$G$5,0)</f>
        <v>308</v>
      </c>
      <c r="G46" s="1">
        <f>ROUND(C46*[1]属性总表!$H$5,0)</f>
        <v>308</v>
      </c>
    </row>
    <row r="47" spans="1:7" s="5" customFormat="1" ht="20.100000000000001" customHeight="1">
      <c r="A47" s="1">
        <v>46</v>
      </c>
      <c r="B47" s="1">
        <f t="shared" si="0"/>
        <v>16.25</v>
      </c>
      <c r="C47" s="1">
        <f t="shared" si="1"/>
        <v>10.399999999999986</v>
      </c>
      <c r="D47" s="1">
        <f>B47*[1]属性总表!$E$5</f>
        <v>17062.5</v>
      </c>
      <c r="E47" s="1">
        <f>ROUND([1]等级属性!C47*[1]属性总表!$F$5,0)</f>
        <v>1040</v>
      </c>
      <c r="F47" s="1">
        <f>ROUND(C47*[1]属性总表!$G$5,0)</f>
        <v>312</v>
      </c>
      <c r="G47" s="1">
        <f>ROUND(C47*[1]属性总表!$H$5,0)</f>
        <v>312</v>
      </c>
    </row>
    <row r="48" spans="1:7" s="5" customFormat="1" ht="20.100000000000001" customHeight="1">
      <c r="A48" s="1">
        <v>47</v>
      </c>
      <c r="B48" s="1">
        <f t="shared" si="0"/>
        <v>16.5</v>
      </c>
      <c r="C48" s="1">
        <f t="shared" si="1"/>
        <v>10.519999999999985</v>
      </c>
      <c r="D48" s="1">
        <f>B48*[1]属性总表!$E$5</f>
        <v>17325</v>
      </c>
      <c r="E48" s="1">
        <f>ROUND([1]等级属性!C48*[1]属性总表!$F$5,0)</f>
        <v>1052</v>
      </c>
      <c r="F48" s="1">
        <f>ROUND(C48*[1]属性总表!$G$5,0)</f>
        <v>316</v>
      </c>
      <c r="G48" s="1">
        <f>ROUND(C48*[1]属性总表!$H$5,0)</f>
        <v>316</v>
      </c>
    </row>
    <row r="49" spans="1:7" s="5" customFormat="1" ht="20.100000000000001" customHeight="1">
      <c r="A49" s="1">
        <v>48</v>
      </c>
      <c r="B49" s="1">
        <f t="shared" si="0"/>
        <v>16.75</v>
      </c>
      <c r="C49" s="1">
        <f t="shared" si="1"/>
        <v>10.639999999999985</v>
      </c>
      <c r="D49" s="1">
        <f>B49*[1]属性总表!$E$5</f>
        <v>17587.5</v>
      </c>
      <c r="E49" s="1">
        <f>ROUND([1]等级属性!C49*[1]属性总表!$F$5,0)</f>
        <v>1064</v>
      </c>
      <c r="F49" s="1">
        <f>ROUND(C49*[1]属性总表!$G$5,0)</f>
        <v>319</v>
      </c>
      <c r="G49" s="1">
        <f>ROUND(C49*[1]属性总表!$H$5,0)</f>
        <v>319</v>
      </c>
    </row>
    <row r="50" spans="1:7" s="5" customFormat="1" ht="20.100000000000001" customHeight="1">
      <c r="A50" s="1">
        <v>49</v>
      </c>
      <c r="B50" s="1">
        <f t="shared" si="0"/>
        <v>17</v>
      </c>
      <c r="C50" s="1">
        <f t="shared" si="1"/>
        <v>10.759999999999984</v>
      </c>
      <c r="D50" s="1">
        <f>B50*[1]属性总表!$E$5</f>
        <v>17850</v>
      </c>
      <c r="E50" s="1">
        <f>ROUND([1]等级属性!C50*[1]属性总表!$F$5,0)</f>
        <v>1076</v>
      </c>
      <c r="F50" s="1">
        <f>ROUND(C50*[1]属性总表!$G$5,0)</f>
        <v>323</v>
      </c>
      <c r="G50" s="1">
        <f>ROUND(C50*[1]属性总表!$H$5,0)</f>
        <v>323</v>
      </c>
    </row>
    <row r="51" spans="1:7" s="5" customFormat="1" ht="20.100000000000001" customHeight="1">
      <c r="A51" s="1">
        <v>50</v>
      </c>
      <c r="B51" s="1">
        <f t="shared" si="0"/>
        <v>17.25</v>
      </c>
      <c r="C51" s="1">
        <f t="shared" si="1"/>
        <v>10.879999999999983</v>
      </c>
      <c r="D51" s="1">
        <f>B51*[1]属性总表!$E$5</f>
        <v>18112.5</v>
      </c>
      <c r="E51" s="1">
        <f>ROUND([1]等级属性!C51*[1]属性总表!$F$5,0)</f>
        <v>1088</v>
      </c>
      <c r="F51" s="1">
        <f>ROUND(C51*[1]属性总表!$G$5,0)</f>
        <v>326</v>
      </c>
      <c r="G51" s="1">
        <f>ROUND(C51*[1]属性总表!$H$5,0)</f>
        <v>326</v>
      </c>
    </row>
    <row r="52" spans="1:7" s="5" customFormat="1" ht="20.100000000000001" customHeight="1">
      <c r="A52" s="1">
        <v>51</v>
      </c>
      <c r="B52" s="1">
        <f t="shared" si="0"/>
        <v>17.5</v>
      </c>
      <c r="C52" s="1">
        <f t="shared" si="1"/>
        <v>10.999999999999982</v>
      </c>
      <c r="D52" s="1">
        <f>B52*[1]属性总表!$E$5</f>
        <v>18375</v>
      </c>
      <c r="E52" s="1">
        <f>ROUND([1]等级属性!C52*[1]属性总表!$F$5,0)</f>
        <v>1100</v>
      </c>
      <c r="F52" s="1">
        <f>ROUND(C52*[1]属性总表!$G$5,0)</f>
        <v>330</v>
      </c>
      <c r="G52" s="1">
        <f>ROUND(C52*[1]属性总表!$H$5,0)</f>
        <v>330</v>
      </c>
    </row>
    <row r="53" spans="1:7" ht="20.100000000000001" customHeight="1">
      <c r="A53" s="1">
        <v>52</v>
      </c>
      <c r="B53" s="1">
        <f t="shared" si="0"/>
        <v>17.75</v>
      </c>
      <c r="C53" s="1">
        <f t="shared" si="1"/>
        <v>11.119999999999981</v>
      </c>
      <c r="D53" s="1">
        <f>B53*[1]属性总表!$E$5</f>
        <v>18637.5</v>
      </c>
      <c r="E53" s="1">
        <f>ROUND([1]等级属性!C53*[1]属性总表!$F$5,0)</f>
        <v>1112</v>
      </c>
      <c r="F53" s="1">
        <f>ROUND(C53*[1]属性总表!$G$5,0)</f>
        <v>334</v>
      </c>
      <c r="G53" s="1">
        <f>ROUND(C53*[1]属性总表!$H$5,0)</f>
        <v>334</v>
      </c>
    </row>
    <row r="54" spans="1:7" ht="20.100000000000001" customHeight="1">
      <c r="A54" s="1">
        <v>53</v>
      </c>
      <c r="B54" s="1">
        <f t="shared" si="0"/>
        <v>18</v>
      </c>
      <c r="C54" s="1">
        <f t="shared" si="1"/>
        <v>11.239999999999981</v>
      </c>
      <c r="D54" s="1">
        <f>B54*[1]属性总表!$E$5</f>
        <v>18900</v>
      </c>
      <c r="E54" s="1">
        <f>ROUND([1]等级属性!C54*[1]属性总表!$F$5,0)</f>
        <v>1124</v>
      </c>
      <c r="F54" s="1">
        <f>ROUND(C54*[1]属性总表!$G$5,0)</f>
        <v>337</v>
      </c>
      <c r="G54" s="1">
        <f>ROUND(C54*[1]属性总表!$H$5,0)</f>
        <v>337</v>
      </c>
    </row>
    <row r="55" spans="1:7" ht="20.100000000000001" customHeight="1">
      <c r="A55" s="1">
        <v>54</v>
      </c>
      <c r="B55" s="1">
        <f t="shared" si="0"/>
        <v>18.25</v>
      </c>
      <c r="C55" s="1">
        <f t="shared" si="1"/>
        <v>11.35999999999998</v>
      </c>
      <c r="D55" s="1">
        <f>B55*[1]属性总表!$E$5</f>
        <v>19162.5</v>
      </c>
      <c r="E55" s="1">
        <f>ROUND([1]等级属性!C55*[1]属性总表!$F$5,0)</f>
        <v>1136</v>
      </c>
      <c r="F55" s="1">
        <f>ROUND(C55*[1]属性总表!$G$5,0)</f>
        <v>341</v>
      </c>
      <c r="G55" s="1">
        <f>ROUND(C55*[1]属性总表!$H$5,0)</f>
        <v>341</v>
      </c>
    </row>
    <row r="56" spans="1:7" ht="20.100000000000001" customHeight="1">
      <c r="A56" s="1">
        <v>55</v>
      </c>
      <c r="B56" s="1">
        <f t="shared" si="0"/>
        <v>18.5</v>
      </c>
      <c r="C56" s="1">
        <f t="shared" si="1"/>
        <v>11.479999999999979</v>
      </c>
      <c r="D56" s="1">
        <f>B56*[1]属性总表!$E$5</f>
        <v>19425</v>
      </c>
      <c r="E56" s="1">
        <f>ROUND([1]等级属性!C56*[1]属性总表!$F$5,0)</f>
        <v>1148</v>
      </c>
      <c r="F56" s="1">
        <f>ROUND(C56*[1]属性总表!$G$5,0)</f>
        <v>344</v>
      </c>
      <c r="G56" s="1">
        <f>ROUND(C56*[1]属性总表!$H$5,0)</f>
        <v>344</v>
      </c>
    </row>
    <row r="57" spans="1:7" ht="20.100000000000001" customHeight="1">
      <c r="A57" s="1">
        <v>56</v>
      </c>
      <c r="B57" s="1">
        <f t="shared" si="0"/>
        <v>18.75</v>
      </c>
      <c r="C57" s="1">
        <f t="shared" si="1"/>
        <v>11.599999999999978</v>
      </c>
      <c r="D57" s="1">
        <f>B57*[1]属性总表!$E$5</f>
        <v>19687.5</v>
      </c>
      <c r="E57" s="1">
        <f>ROUND([1]等级属性!C57*[1]属性总表!$F$5,0)</f>
        <v>1160</v>
      </c>
      <c r="F57" s="1">
        <f>ROUND(C57*[1]属性总表!$G$5,0)</f>
        <v>348</v>
      </c>
      <c r="G57" s="1">
        <f>ROUND(C57*[1]属性总表!$H$5,0)</f>
        <v>348</v>
      </c>
    </row>
    <row r="58" spans="1:7" ht="20.100000000000001" customHeight="1">
      <c r="A58" s="1">
        <v>57</v>
      </c>
      <c r="B58" s="1">
        <f t="shared" si="0"/>
        <v>19</v>
      </c>
      <c r="C58" s="1">
        <f t="shared" si="1"/>
        <v>11.719999999999978</v>
      </c>
      <c r="D58" s="1">
        <f>B58*[1]属性总表!$E$5</f>
        <v>19950</v>
      </c>
      <c r="E58" s="1">
        <f>ROUND([1]等级属性!C58*[1]属性总表!$F$5,0)</f>
        <v>1172</v>
      </c>
      <c r="F58" s="1">
        <f>ROUND(C58*[1]属性总表!$G$5,0)</f>
        <v>352</v>
      </c>
      <c r="G58" s="1">
        <f>ROUND(C58*[1]属性总表!$H$5,0)</f>
        <v>352</v>
      </c>
    </row>
    <row r="59" spans="1:7" ht="20.100000000000001" customHeight="1">
      <c r="A59" s="1">
        <v>58</v>
      </c>
      <c r="B59" s="1">
        <f t="shared" si="0"/>
        <v>19.25</v>
      </c>
      <c r="C59" s="1">
        <f t="shared" si="1"/>
        <v>11.839999999999977</v>
      </c>
      <c r="D59" s="1">
        <f>B59*[1]属性总表!$E$5</f>
        <v>20212.5</v>
      </c>
      <c r="E59" s="1">
        <f>ROUND([1]等级属性!C59*[1]属性总表!$F$5,0)</f>
        <v>1184</v>
      </c>
      <c r="F59" s="1">
        <f>ROUND(C59*[1]属性总表!$G$5,0)</f>
        <v>355</v>
      </c>
      <c r="G59" s="1">
        <f>ROUND(C59*[1]属性总表!$H$5,0)</f>
        <v>355</v>
      </c>
    </row>
    <row r="60" spans="1:7" ht="20.100000000000001" customHeight="1">
      <c r="A60" s="1">
        <v>59</v>
      </c>
      <c r="B60" s="1">
        <f t="shared" si="0"/>
        <v>19.5</v>
      </c>
      <c r="C60" s="1">
        <f t="shared" si="1"/>
        <v>11.959999999999976</v>
      </c>
      <c r="D60" s="1">
        <f>B60*[1]属性总表!$E$5</f>
        <v>20475</v>
      </c>
      <c r="E60" s="1">
        <f>ROUND([1]等级属性!C60*[1]属性总表!$F$5,0)</f>
        <v>1196</v>
      </c>
      <c r="F60" s="1">
        <f>ROUND(C60*[1]属性总表!$G$5,0)</f>
        <v>359</v>
      </c>
      <c r="G60" s="1">
        <f>ROUND(C60*[1]属性总表!$H$5,0)</f>
        <v>359</v>
      </c>
    </row>
    <row r="61" spans="1:7" ht="20.100000000000001" customHeight="1">
      <c r="A61" s="1">
        <v>60</v>
      </c>
      <c r="B61" s="1">
        <f t="shared" si="0"/>
        <v>19.75</v>
      </c>
      <c r="C61" s="1">
        <f t="shared" si="1"/>
        <v>12.079999999999975</v>
      </c>
      <c r="D61" s="1">
        <f>B61*[1]属性总表!$E$5</f>
        <v>20737.5</v>
      </c>
      <c r="E61" s="1">
        <f>ROUND([1]等级属性!C61*[1]属性总表!$F$5,0)</f>
        <v>1208</v>
      </c>
      <c r="F61" s="1">
        <f>ROUND(C61*[1]属性总表!$G$5,0)</f>
        <v>362</v>
      </c>
      <c r="G61" s="1">
        <f>ROUND(C61*[1]属性总表!$H$5,0)</f>
        <v>362</v>
      </c>
    </row>
    <row r="62" spans="1:7" ht="20.100000000000001" customHeight="1">
      <c r="A62" s="1">
        <v>61</v>
      </c>
      <c r="B62" s="1">
        <f t="shared" si="0"/>
        <v>20</v>
      </c>
      <c r="C62" s="1">
        <f t="shared" si="1"/>
        <v>12.199999999999974</v>
      </c>
      <c r="D62" s="1">
        <f>B62*[1]属性总表!$E$5</f>
        <v>21000</v>
      </c>
      <c r="E62" s="1">
        <f>ROUND([1]等级属性!C62*[1]属性总表!$F$5,0)</f>
        <v>1220</v>
      </c>
      <c r="F62" s="1">
        <f>ROUND(C62*[1]属性总表!$G$5,0)</f>
        <v>366</v>
      </c>
      <c r="G62" s="1">
        <f>ROUND(C62*[1]属性总表!$H$5,0)</f>
        <v>366</v>
      </c>
    </row>
    <row r="63" spans="1:7" ht="20.100000000000001" customHeight="1">
      <c r="A63" s="1">
        <v>62</v>
      </c>
      <c r="B63" s="1">
        <f t="shared" si="0"/>
        <v>20.25</v>
      </c>
      <c r="C63" s="1">
        <f t="shared" si="1"/>
        <v>12.319999999999974</v>
      </c>
      <c r="D63" s="1">
        <f>B63*[1]属性总表!$E$5</f>
        <v>21262.5</v>
      </c>
      <c r="E63" s="1">
        <f>ROUND([1]等级属性!C63*[1]属性总表!$F$5,0)</f>
        <v>1232</v>
      </c>
      <c r="F63" s="1">
        <f>ROUND(C63*[1]属性总表!$G$5,0)</f>
        <v>370</v>
      </c>
      <c r="G63" s="1">
        <f>ROUND(C63*[1]属性总表!$H$5,0)</f>
        <v>370</v>
      </c>
    </row>
    <row r="64" spans="1:7" ht="20.100000000000001" customHeight="1">
      <c r="A64" s="1">
        <v>63</v>
      </c>
      <c r="B64" s="1">
        <f t="shared" si="0"/>
        <v>20.5</v>
      </c>
      <c r="C64" s="1">
        <f t="shared" si="1"/>
        <v>12.439999999999973</v>
      </c>
      <c r="D64" s="1">
        <f>B64*[1]属性总表!$E$5</f>
        <v>21525</v>
      </c>
      <c r="E64" s="1">
        <f>ROUND([1]等级属性!C64*[1]属性总表!$F$5,0)</f>
        <v>1244</v>
      </c>
      <c r="F64" s="1">
        <f>ROUND(C64*[1]属性总表!$G$5,0)</f>
        <v>373</v>
      </c>
      <c r="G64" s="1">
        <f>ROUND(C64*[1]属性总表!$H$5,0)</f>
        <v>373</v>
      </c>
    </row>
    <row r="65" spans="1:7" ht="20.100000000000001" customHeight="1">
      <c r="A65" s="1">
        <v>64</v>
      </c>
      <c r="B65" s="1">
        <f t="shared" si="0"/>
        <v>20.75</v>
      </c>
      <c r="C65" s="1">
        <f t="shared" si="1"/>
        <v>12.559999999999972</v>
      </c>
      <c r="D65" s="1">
        <f>B65*[1]属性总表!$E$5</f>
        <v>21787.5</v>
      </c>
      <c r="E65" s="1">
        <f>ROUND([1]等级属性!C65*[1]属性总表!$F$5,0)</f>
        <v>1256</v>
      </c>
      <c r="F65" s="1">
        <f>ROUND(C65*[1]属性总表!$G$5,0)</f>
        <v>377</v>
      </c>
      <c r="G65" s="1">
        <f>ROUND(C65*[1]属性总表!$H$5,0)</f>
        <v>377</v>
      </c>
    </row>
    <row r="66" spans="1:7" ht="20.100000000000001" customHeight="1">
      <c r="A66" s="1">
        <v>65</v>
      </c>
      <c r="B66" s="1">
        <f t="shared" si="0"/>
        <v>21</v>
      </c>
      <c r="C66" s="1">
        <f t="shared" si="1"/>
        <v>12.679999999999971</v>
      </c>
      <c r="D66" s="1">
        <f>B66*[1]属性总表!$E$5</f>
        <v>22050</v>
      </c>
      <c r="E66" s="1">
        <f>ROUND([1]等级属性!C66*[1]属性总表!$F$5,0)</f>
        <v>1268</v>
      </c>
      <c r="F66" s="1">
        <f>ROUND(C66*[1]属性总表!$G$5,0)</f>
        <v>380</v>
      </c>
      <c r="G66" s="1">
        <f>ROUND(C66*[1]属性总表!$H$5,0)</f>
        <v>380</v>
      </c>
    </row>
    <row r="67" spans="1:7" ht="20.100000000000001" customHeight="1">
      <c r="A67" s="1">
        <v>66</v>
      </c>
      <c r="B67" s="1">
        <f t="shared" si="0"/>
        <v>21.25</v>
      </c>
      <c r="C67" s="1">
        <f t="shared" si="1"/>
        <v>12.799999999999971</v>
      </c>
      <c r="D67" s="1">
        <f>B67*[1]属性总表!$E$5</f>
        <v>22312.5</v>
      </c>
      <c r="E67" s="1">
        <f>ROUND([1]等级属性!C67*[1]属性总表!$F$5,0)</f>
        <v>1280</v>
      </c>
      <c r="F67" s="1">
        <f>ROUND(C67*[1]属性总表!$G$5,0)</f>
        <v>384</v>
      </c>
      <c r="G67" s="1">
        <f>ROUND(C67*[1]属性总表!$H$5,0)</f>
        <v>384</v>
      </c>
    </row>
    <row r="68" spans="1:7" ht="20.100000000000001" customHeight="1">
      <c r="A68" s="1">
        <v>67</v>
      </c>
      <c r="B68" s="1">
        <f t="shared" ref="B68:B71" si="2">B67+0.25</f>
        <v>21.5</v>
      </c>
      <c r="C68" s="1">
        <f t="shared" ref="C68:C71" si="3">C67+0.12</f>
        <v>12.91999999999997</v>
      </c>
      <c r="D68" s="1">
        <f>B68*[1]属性总表!$E$5</f>
        <v>22575</v>
      </c>
      <c r="E68" s="1">
        <f>ROUND([1]等级属性!C68*[1]属性总表!$F$5,0)</f>
        <v>1292</v>
      </c>
      <c r="F68" s="1">
        <f>ROUND(C68*[1]属性总表!$G$5,0)</f>
        <v>388</v>
      </c>
      <c r="G68" s="1">
        <f>ROUND(C68*[1]属性总表!$H$5,0)</f>
        <v>388</v>
      </c>
    </row>
    <row r="69" spans="1:7" ht="20.100000000000001" customHeight="1">
      <c r="A69" s="1">
        <v>68</v>
      </c>
      <c r="B69" s="1">
        <f t="shared" si="2"/>
        <v>21.75</v>
      </c>
      <c r="C69" s="1">
        <f t="shared" si="3"/>
        <v>13.039999999999969</v>
      </c>
      <c r="D69" s="1">
        <f>B69*[1]属性总表!$E$5</f>
        <v>22837.5</v>
      </c>
      <c r="E69" s="1">
        <f>ROUND([1]等级属性!C69*[1]属性总表!$F$5,0)</f>
        <v>1304</v>
      </c>
      <c r="F69" s="1">
        <f>ROUND(C69*[1]属性总表!$G$5,0)</f>
        <v>391</v>
      </c>
      <c r="G69" s="1">
        <f>ROUND(C69*[1]属性总表!$H$5,0)</f>
        <v>391</v>
      </c>
    </row>
    <row r="70" spans="1:7" ht="20.100000000000001" customHeight="1">
      <c r="A70" s="1">
        <v>69</v>
      </c>
      <c r="B70" s="1">
        <f t="shared" si="2"/>
        <v>22</v>
      </c>
      <c r="C70" s="1">
        <f t="shared" si="3"/>
        <v>13.159999999999968</v>
      </c>
      <c r="D70" s="1">
        <f>B70*[1]属性总表!$E$5</f>
        <v>23100</v>
      </c>
      <c r="E70" s="1">
        <f>ROUND([1]等级属性!C70*[1]属性总表!$F$5,0)</f>
        <v>1316</v>
      </c>
      <c r="F70" s="1">
        <f>ROUND(C70*[1]属性总表!$G$5,0)</f>
        <v>395</v>
      </c>
      <c r="G70" s="1">
        <f>ROUND(C70*[1]属性总表!$H$5,0)</f>
        <v>395</v>
      </c>
    </row>
    <row r="71" spans="1:7" ht="20.100000000000001" customHeight="1">
      <c r="A71" s="1">
        <v>70</v>
      </c>
      <c r="B71" s="1">
        <f t="shared" si="2"/>
        <v>22.25</v>
      </c>
      <c r="C71" s="1">
        <f t="shared" si="3"/>
        <v>13.279999999999967</v>
      </c>
      <c r="D71" s="1">
        <f>B71*[1]属性总表!$E$5</f>
        <v>23362.5</v>
      </c>
      <c r="E71" s="1">
        <f>ROUND([1]等级属性!C71*[1]属性总表!$F$5,0)</f>
        <v>1328</v>
      </c>
      <c r="F71" s="1">
        <f>ROUND(C71*[1]属性总表!$G$5,0)</f>
        <v>398</v>
      </c>
      <c r="G71" s="1">
        <f>ROUND(C71*[1]属性总表!$H$5,0)</f>
        <v>398</v>
      </c>
    </row>
  </sheetData>
  <phoneticPr fontId="3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0"/>
  <sheetViews>
    <sheetView workbookViewId="0">
      <selection activeCell="N3" sqref="N3"/>
    </sheetView>
  </sheetViews>
  <sheetFormatPr defaultColWidth="9" defaultRowHeight="14.25"/>
  <cols>
    <col min="6" max="6" width="15.25" customWidth="1"/>
  </cols>
  <sheetData>
    <row r="1" spans="2:18" s="3" customFormat="1" ht="20.100000000000001" customHeight="1"/>
    <row r="2" spans="2:18" s="3" customFormat="1" ht="20.100000000000001" customHeight="1">
      <c r="B2" s="3" t="s">
        <v>30</v>
      </c>
      <c r="F2" s="3" t="s">
        <v>31</v>
      </c>
      <c r="K2" s="1" t="s">
        <v>25</v>
      </c>
      <c r="L2" s="3" t="s">
        <v>32</v>
      </c>
      <c r="M2" s="1"/>
      <c r="N2" s="1"/>
      <c r="O2" s="1"/>
      <c r="P2" s="1"/>
      <c r="Q2" s="1"/>
      <c r="R2" s="1"/>
    </row>
    <row r="3" spans="2:18" s="3" customFormat="1" ht="20.100000000000001" customHeight="1">
      <c r="F3" s="3" t="s">
        <v>33</v>
      </c>
      <c r="K3" s="1">
        <v>20</v>
      </c>
      <c r="L3" s="1">
        <v>200</v>
      </c>
      <c r="M3" s="1"/>
      <c r="N3" s="1">
        <v>150</v>
      </c>
      <c r="O3" s="1"/>
      <c r="P3" s="1">
        <f>N3/L3*50</f>
        <v>37.5</v>
      </c>
      <c r="Q3" s="1">
        <f>N3/L3*100</f>
        <v>75</v>
      </c>
      <c r="R3" s="1"/>
    </row>
    <row r="4" spans="2:18" s="3" customFormat="1" ht="20.100000000000001" customHeight="1">
      <c r="K4" s="1">
        <v>30</v>
      </c>
      <c r="L4" s="1">
        <v>300</v>
      </c>
      <c r="M4" s="1"/>
      <c r="N4" s="1"/>
      <c r="O4" s="1"/>
      <c r="P4" s="1"/>
      <c r="Q4" s="1"/>
      <c r="R4" s="1"/>
    </row>
    <row r="5" spans="2:18" s="3" customFormat="1" ht="20.100000000000001" customHeight="1">
      <c r="I5" s="3">
        <f>500/3</f>
        <v>166.66666666666666</v>
      </c>
      <c r="K5" s="1">
        <v>40</v>
      </c>
      <c r="L5" s="1">
        <v>400</v>
      </c>
    </row>
    <row r="6" spans="2:18" s="3" customFormat="1" ht="20.100000000000001" customHeight="1">
      <c r="K6" s="1">
        <v>50</v>
      </c>
      <c r="L6" s="1">
        <v>500</v>
      </c>
    </row>
    <row r="7" spans="2:18" s="3" customFormat="1" ht="20.100000000000001" customHeight="1"/>
    <row r="8" spans="2:18" s="3" customFormat="1" ht="20.100000000000001" customHeight="1"/>
    <row r="9" spans="2:18" s="3" customFormat="1" ht="20.100000000000001" customHeight="1"/>
    <row r="10" spans="2:18" s="3" customFormat="1" ht="20.100000000000001" customHeight="1"/>
    <row r="11" spans="2:18" s="3" customFormat="1" ht="20.100000000000001" customHeight="1"/>
    <row r="12" spans="2:18" s="3" customFormat="1" ht="20.100000000000001" customHeight="1"/>
    <row r="13" spans="2:18" s="3" customFormat="1" ht="20.100000000000001" customHeight="1"/>
    <row r="14" spans="2:18" s="3" customFormat="1" ht="20.100000000000001" customHeight="1"/>
    <row r="15" spans="2:18" s="3" customFormat="1" ht="20.100000000000001" customHeight="1"/>
    <row r="16" spans="2:18" s="3" customFormat="1" ht="20.100000000000001" customHeight="1"/>
    <row r="17" s="3" customFormat="1" ht="20.100000000000001" customHeight="1"/>
    <row r="18" s="3" customFormat="1" ht="20.100000000000001" customHeight="1"/>
    <row r="19" s="3" customFormat="1" ht="20.100000000000001" customHeight="1"/>
    <row r="20" s="3" customFormat="1" ht="20.100000000000001" customHeight="1"/>
    <row r="21" s="3" customFormat="1" ht="20.100000000000001" customHeight="1"/>
    <row r="22" s="3" customFormat="1" ht="20.100000000000001" customHeight="1"/>
    <row r="23" s="3" customFormat="1" ht="20.100000000000001" customHeight="1"/>
    <row r="24" s="3" customFormat="1" ht="20.100000000000001" customHeight="1"/>
    <row r="25" s="3" customFormat="1" ht="20.100000000000001" customHeight="1"/>
    <row r="26" s="3" customFormat="1" ht="20.100000000000001" customHeight="1"/>
    <row r="27" s="3" customFormat="1" ht="20.100000000000001" customHeight="1"/>
    <row r="28" s="3" customFormat="1" ht="20.100000000000001" customHeight="1"/>
    <row r="29" s="3" customFormat="1" ht="20.100000000000001" customHeight="1"/>
    <row r="30" s="3" customFormat="1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89"/>
  <sheetViews>
    <sheetView topLeftCell="A7" workbookViewId="0">
      <selection activeCell="BT16" sqref="BT10:CF16"/>
    </sheetView>
  </sheetViews>
  <sheetFormatPr defaultColWidth="9" defaultRowHeight="16.5"/>
  <cols>
    <col min="1" max="1" width="9" style="68"/>
    <col min="2" max="2" width="14.875" style="68" customWidth="1"/>
    <col min="3" max="3" width="9" style="68"/>
    <col min="4" max="4" width="9.5" style="68" customWidth="1"/>
    <col min="5" max="5" width="17.875" style="68" customWidth="1"/>
    <col min="6" max="6" width="11.375" style="68" customWidth="1"/>
    <col min="7" max="7" width="86.375" style="68" customWidth="1"/>
    <col min="8" max="8" width="10.125" style="68" customWidth="1"/>
    <col min="9" max="13" width="9" style="68"/>
    <col min="14" max="14" width="81.875" style="68" customWidth="1"/>
    <col min="15" max="19" width="9" style="68"/>
    <col min="20" max="20" width="29.125" style="68" customWidth="1"/>
    <col min="21" max="25" width="9" style="68"/>
    <col min="26" max="26" width="9.5" style="68" customWidth="1"/>
    <col min="27" max="27" width="10.625" style="68" customWidth="1"/>
    <col min="28" max="29" width="9" style="68"/>
    <col min="30" max="30" width="11.375" style="68" customWidth="1"/>
    <col min="31" max="38" width="9" style="68"/>
    <col min="39" max="39" width="11.125" style="68" customWidth="1"/>
    <col min="40" max="40" width="10.5" style="68" customWidth="1"/>
    <col min="41" max="41" width="11.125" style="68" customWidth="1"/>
    <col min="42" max="42" width="10.75" style="68" customWidth="1"/>
    <col min="43" max="43" width="9" style="68"/>
    <col min="44" max="44" width="11.375" style="68" customWidth="1"/>
    <col min="45" max="45" width="82.375" style="68" customWidth="1"/>
    <col min="46" max="65" width="9" style="68"/>
    <col min="66" max="66" width="11" style="68" customWidth="1"/>
    <col min="67" max="69" width="9" style="68"/>
    <col min="70" max="70" width="11.375" style="68" customWidth="1"/>
    <col min="71" max="74" width="9" style="68"/>
    <col min="75" max="76" width="11.375" style="68" customWidth="1"/>
    <col min="77" max="77" width="9" style="68"/>
    <col min="78" max="78" width="15.375" style="68" customWidth="1"/>
    <col min="79" max="16384" width="9" style="68"/>
  </cols>
  <sheetData>
    <row r="1" spans="2:98" ht="20.100000000000001" customHeight="1">
      <c r="AC1" s="68" t="s">
        <v>34</v>
      </c>
      <c r="AD1" s="68" t="s">
        <v>35</v>
      </c>
    </row>
    <row r="2" spans="2:98" ht="20.100000000000001" customHeight="1">
      <c r="S2" s="68" t="s">
        <v>36</v>
      </c>
      <c r="AC2" s="68" t="s">
        <v>37</v>
      </c>
      <c r="AD2" s="68" t="s">
        <v>38</v>
      </c>
      <c r="AR2" s="68" t="s">
        <v>39</v>
      </c>
      <c r="BL2" s="72" t="s">
        <v>40</v>
      </c>
      <c r="BY2" s="68" t="s">
        <v>41</v>
      </c>
      <c r="CA2" s="68" t="s">
        <v>42</v>
      </c>
      <c r="CB2" s="68" t="s">
        <v>43</v>
      </c>
      <c r="CC2" s="68" t="s">
        <v>44</v>
      </c>
    </row>
    <row r="3" spans="2:98" ht="20.100000000000001" customHeight="1">
      <c r="B3" s="69" t="s">
        <v>45</v>
      </c>
      <c r="C3" s="69" t="s">
        <v>42</v>
      </c>
      <c r="D3" s="69" t="s">
        <v>25</v>
      </c>
      <c r="E3" s="69" t="s">
        <v>46</v>
      </c>
      <c r="F3" s="69" t="s">
        <v>47</v>
      </c>
      <c r="G3" s="69" t="s">
        <v>48</v>
      </c>
      <c r="I3" s="78">
        <v>10001</v>
      </c>
      <c r="J3" s="69" t="s">
        <v>49</v>
      </c>
      <c r="K3" s="116" t="s">
        <v>50</v>
      </c>
      <c r="L3" s="68" t="s">
        <v>51</v>
      </c>
      <c r="M3" s="68" t="s">
        <v>52</v>
      </c>
      <c r="N3" s="72" t="s">
        <v>53</v>
      </c>
      <c r="R3" s="68" t="s">
        <v>54</v>
      </c>
      <c r="S3" s="68">
        <v>1</v>
      </c>
      <c r="T3" s="72" t="s">
        <v>55</v>
      </c>
      <c r="V3" s="68" t="str">
        <f>T3&amp;","&amp;T4&amp;","&amp;T5</f>
        <v>速度专精：移动速度提升10%,装备精通：布甲,移动光环：小队内移动速度提升10%</v>
      </c>
      <c r="AB3" s="69" t="s">
        <v>56</v>
      </c>
      <c r="AC3" s="69" t="s">
        <v>42</v>
      </c>
      <c r="AD3" s="69" t="s">
        <v>25</v>
      </c>
      <c r="AE3" s="69" t="s">
        <v>46</v>
      </c>
      <c r="AF3" s="69" t="s">
        <v>47</v>
      </c>
      <c r="AG3" s="69" t="s">
        <v>48</v>
      </c>
      <c r="AN3" s="68" t="s">
        <v>57</v>
      </c>
      <c r="AS3" s="72"/>
      <c r="BK3" s="69" t="s">
        <v>45</v>
      </c>
      <c r="BL3" s="69" t="s">
        <v>42</v>
      </c>
      <c r="BM3" s="69" t="s">
        <v>25</v>
      </c>
      <c r="BN3" s="69" t="s">
        <v>46</v>
      </c>
      <c r="BO3" s="69" t="s">
        <v>47</v>
      </c>
      <c r="BP3" s="69" t="s">
        <v>48</v>
      </c>
    </row>
    <row r="4" spans="2:98" ht="20.100000000000001" customHeight="1">
      <c r="C4" s="68" t="s">
        <v>58</v>
      </c>
      <c r="D4" s="68">
        <v>1</v>
      </c>
      <c r="F4" s="70" t="s">
        <v>59</v>
      </c>
      <c r="G4" s="71" t="s">
        <v>60</v>
      </c>
      <c r="I4" s="78">
        <v>10002</v>
      </c>
      <c r="K4" s="116"/>
      <c r="L4" s="68" t="s">
        <v>61</v>
      </c>
      <c r="M4" s="68" t="s">
        <v>62</v>
      </c>
      <c r="N4" s="72" t="s">
        <v>63</v>
      </c>
      <c r="S4" s="68">
        <v>2</v>
      </c>
      <c r="T4" s="72" t="s">
        <v>64</v>
      </c>
      <c r="Z4" s="68">
        <v>22000010</v>
      </c>
      <c r="AA4" s="68">
        <v>22000010</v>
      </c>
      <c r="AC4" s="68" t="s">
        <v>34</v>
      </c>
      <c r="AD4" s="68">
        <v>1</v>
      </c>
      <c r="AF4" s="68" t="s">
        <v>65</v>
      </c>
      <c r="AG4" s="72" t="s">
        <v>66</v>
      </c>
      <c r="AN4" s="73" t="s">
        <v>67</v>
      </c>
      <c r="AO4" s="68" t="s">
        <v>68</v>
      </c>
      <c r="AP4" s="68">
        <v>20</v>
      </c>
      <c r="AR4" s="68" t="s">
        <v>69</v>
      </c>
      <c r="AS4" s="72" t="s">
        <v>70</v>
      </c>
      <c r="AV4" s="68">
        <v>10001</v>
      </c>
      <c r="AW4" s="69" t="s">
        <v>49</v>
      </c>
      <c r="AX4" s="116" t="s">
        <v>50</v>
      </c>
      <c r="AY4" s="68" t="s">
        <v>51</v>
      </c>
      <c r="AZ4" s="68" t="s">
        <v>71</v>
      </c>
      <c r="BA4" s="72" t="s">
        <v>72</v>
      </c>
      <c r="BI4" s="68" t="s">
        <v>73</v>
      </c>
      <c r="BK4" s="68" t="s">
        <v>74</v>
      </c>
      <c r="BL4" s="68" t="s">
        <v>43</v>
      </c>
      <c r="BM4" s="68">
        <v>1</v>
      </c>
      <c r="BN4" s="68">
        <v>30</v>
      </c>
      <c r="BO4" s="68" t="s">
        <v>75</v>
      </c>
      <c r="BP4" s="72" t="s">
        <v>76</v>
      </c>
      <c r="CA4" s="68" t="s">
        <v>77</v>
      </c>
      <c r="CC4" s="68" t="s">
        <v>78</v>
      </c>
    </row>
    <row r="5" spans="2:98" ht="20.100000000000001" customHeight="1">
      <c r="C5" s="68" t="s">
        <v>44</v>
      </c>
      <c r="D5" s="68">
        <v>1</v>
      </c>
      <c r="F5" s="68" t="s">
        <v>79</v>
      </c>
      <c r="G5" s="72" t="s">
        <v>80</v>
      </c>
      <c r="I5" s="78">
        <v>10003</v>
      </c>
      <c r="K5" s="116"/>
      <c r="L5" s="68" t="s">
        <v>81</v>
      </c>
      <c r="M5" s="68" t="s">
        <v>82</v>
      </c>
      <c r="N5" s="72" t="s">
        <v>83</v>
      </c>
      <c r="S5" s="68">
        <v>3</v>
      </c>
      <c r="T5" s="72" t="s">
        <v>84</v>
      </c>
      <c r="Z5" s="68">
        <v>22000020</v>
      </c>
      <c r="AA5" s="68" t="s">
        <v>85</v>
      </c>
      <c r="AC5" s="68" t="s">
        <v>37</v>
      </c>
      <c r="AD5" s="68">
        <v>1</v>
      </c>
      <c r="AF5" s="68" t="s">
        <v>86</v>
      </c>
      <c r="AG5" s="72" t="s">
        <v>87</v>
      </c>
      <c r="AM5" s="68" t="s">
        <v>88</v>
      </c>
      <c r="AN5" s="68" t="s">
        <v>89</v>
      </c>
      <c r="AP5" s="68">
        <v>25</v>
      </c>
      <c r="AR5" s="68" t="s">
        <v>90</v>
      </c>
      <c r="AS5" s="72" t="s">
        <v>91</v>
      </c>
      <c r="AV5" s="68">
        <v>10002</v>
      </c>
      <c r="AX5" s="116"/>
      <c r="AY5" s="68" t="s">
        <v>61</v>
      </c>
      <c r="AZ5" s="68" t="s">
        <v>92</v>
      </c>
      <c r="BA5" s="72" t="s">
        <v>93</v>
      </c>
      <c r="BI5" s="78" t="s">
        <v>94</v>
      </c>
      <c r="BK5" s="68" t="s">
        <v>95</v>
      </c>
      <c r="BL5" s="68" t="s">
        <v>44</v>
      </c>
      <c r="BM5" s="68">
        <v>1</v>
      </c>
      <c r="BN5" s="68">
        <v>30</v>
      </c>
      <c r="BO5" s="68" t="s">
        <v>96</v>
      </c>
      <c r="BP5" s="72" t="s">
        <v>97</v>
      </c>
      <c r="BY5" s="68" t="s">
        <v>98</v>
      </c>
      <c r="CA5" s="68" t="s">
        <v>99</v>
      </c>
      <c r="CC5" s="68" t="s">
        <v>100</v>
      </c>
    </row>
    <row r="6" spans="2:98" ht="20.100000000000001" customHeight="1">
      <c r="G6" s="72"/>
      <c r="I6" s="78">
        <v>10011</v>
      </c>
      <c r="K6" s="116" t="s">
        <v>101</v>
      </c>
      <c r="L6" s="68" t="s">
        <v>51</v>
      </c>
      <c r="M6" s="68" t="s">
        <v>102</v>
      </c>
      <c r="N6" s="72" t="s">
        <v>103</v>
      </c>
      <c r="AL6" s="68" t="s">
        <v>104</v>
      </c>
      <c r="AN6" s="68" t="s">
        <v>105</v>
      </c>
      <c r="AP6" s="68">
        <v>30</v>
      </c>
      <c r="AR6" s="68" t="s">
        <v>106</v>
      </c>
      <c r="AS6" s="72" t="s">
        <v>107</v>
      </c>
      <c r="AV6" s="68">
        <v>10003</v>
      </c>
      <c r="AX6" s="116"/>
      <c r="AY6" s="68" t="s">
        <v>81</v>
      </c>
      <c r="AZ6" s="68" t="s">
        <v>108</v>
      </c>
      <c r="BA6" s="72" t="s">
        <v>109</v>
      </c>
      <c r="BY6" s="68" t="s">
        <v>110</v>
      </c>
    </row>
    <row r="7" spans="2:98" ht="20.100000000000001" customHeight="1">
      <c r="C7" s="68" t="s">
        <v>58</v>
      </c>
      <c r="D7" s="68">
        <v>7</v>
      </c>
      <c r="F7" s="70" t="s">
        <v>111</v>
      </c>
      <c r="G7" s="71" t="s">
        <v>112</v>
      </c>
      <c r="I7" s="78">
        <v>10012</v>
      </c>
      <c r="K7" s="116"/>
      <c r="L7" s="68" t="s">
        <v>61</v>
      </c>
      <c r="M7" s="68" t="s">
        <v>113</v>
      </c>
      <c r="N7" s="72" t="s">
        <v>114</v>
      </c>
      <c r="Z7" s="68">
        <v>22000030</v>
      </c>
      <c r="AA7" s="68" t="s">
        <v>115</v>
      </c>
      <c r="AC7" s="68" t="s">
        <v>34</v>
      </c>
      <c r="AD7" s="68">
        <v>7</v>
      </c>
      <c r="AF7" s="68" t="s">
        <v>116</v>
      </c>
      <c r="AG7" s="72" t="s">
        <v>112</v>
      </c>
      <c r="AM7" s="68" t="s">
        <v>117</v>
      </c>
      <c r="AN7" s="68" t="s">
        <v>118</v>
      </c>
      <c r="AP7" s="68">
        <v>35</v>
      </c>
      <c r="AR7" s="78" t="s">
        <v>119</v>
      </c>
      <c r="AS7" s="76" t="s">
        <v>120</v>
      </c>
      <c r="AV7" s="68">
        <v>10011</v>
      </c>
      <c r="AX7" s="116" t="s">
        <v>101</v>
      </c>
      <c r="AY7" s="68" t="s">
        <v>51</v>
      </c>
      <c r="AZ7" s="68" t="s">
        <v>121</v>
      </c>
      <c r="BA7" s="72" t="s">
        <v>122</v>
      </c>
      <c r="BJ7" s="68" t="s">
        <v>123</v>
      </c>
      <c r="BL7" s="68" t="s">
        <v>43</v>
      </c>
      <c r="BM7" s="68">
        <v>7</v>
      </c>
      <c r="BN7" s="68">
        <v>50</v>
      </c>
      <c r="BO7" s="68" t="s">
        <v>124</v>
      </c>
      <c r="BP7" s="72" t="s">
        <v>125</v>
      </c>
    </row>
    <row r="8" spans="2:98" ht="20.100000000000001" customHeight="1">
      <c r="C8" s="68" t="s">
        <v>44</v>
      </c>
      <c r="D8" s="68">
        <v>7</v>
      </c>
      <c r="F8" s="68" t="s">
        <v>126</v>
      </c>
      <c r="G8" s="72" t="s">
        <v>127</v>
      </c>
      <c r="I8" s="78">
        <v>10013</v>
      </c>
      <c r="K8" s="116"/>
      <c r="L8" s="68" t="s">
        <v>81</v>
      </c>
      <c r="M8" s="68" t="s">
        <v>128</v>
      </c>
      <c r="N8" s="72" t="s">
        <v>129</v>
      </c>
      <c r="Z8" s="68">
        <v>22000040</v>
      </c>
      <c r="AA8" s="68" t="s">
        <v>130</v>
      </c>
      <c r="AC8" s="68" t="s">
        <v>37</v>
      </c>
      <c r="AD8" s="68">
        <v>7</v>
      </c>
      <c r="AF8" s="1" t="s">
        <v>131</v>
      </c>
      <c r="AG8" s="72" t="s">
        <v>132</v>
      </c>
      <c r="AP8" s="68" t="s">
        <v>133</v>
      </c>
      <c r="AR8" s="68" t="s">
        <v>134</v>
      </c>
      <c r="AS8" s="72" t="s">
        <v>135</v>
      </c>
      <c r="AV8" s="68">
        <v>10012</v>
      </c>
      <c r="AX8" s="116"/>
      <c r="AY8" s="68" t="s">
        <v>61</v>
      </c>
      <c r="AZ8" s="68" t="s">
        <v>136</v>
      </c>
      <c r="BA8" s="72" t="s">
        <v>137</v>
      </c>
      <c r="BL8" s="68" t="s">
        <v>44</v>
      </c>
      <c r="BM8" s="68">
        <v>7</v>
      </c>
      <c r="BN8" s="68">
        <v>30</v>
      </c>
      <c r="BO8" s="68" t="s">
        <v>138</v>
      </c>
      <c r="BP8" s="72" t="s">
        <v>139</v>
      </c>
      <c r="BY8" s="68" t="s">
        <v>140</v>
      </c>
      <c r="CN8" s="78">
        <v>10001</v>
      </c>
      <c r="CO8" s="69" t="s">
        <v>49</v>
      </c>
      <c r="CP8" s="116" t="s">
        <v>50</v>
      </c>
      <c r="CQ8" s="68" t="s">
        <v>51</v>
      </c>
      <c r="CR8" s="74" t="s">
        <v>52</v>
      </c>
      <c r="CS8" s="75" t="s">
        <v>141</v>
      </c>
      <c r="CT8" s="92"/>
    </row>
    <row r="9" spans="2:98" ht="20.100000000000001" customHeight="1">
      <c r="G9" s="72"/>
      <c r="I9" s="78">
        <v>10021</v>
      </c>
      <c r="K9" s="116" t="s">
        <v>142</v>
      </c>
      <c r="L9" s="68" t="s">
        <v>51</v>
      </c>
      <c r="M9" s="68" t="s">
        <v>143</v>
      </c>
      <c r="N9" s="72" t="s">
        <v>144</v>
      </c>
      <c r="S9" s="68" t="s">
        <v>145</v>
      </c>
      <c r="AR9" s="68" t="s">
        <v>146</v>
      </c>
      <c r="AS9" s="72" t="s">
        <v>147</v>
      </c>
      <c r="AV9" s="68">
        <v>10013</v>
      </c>
      <c r="AX9" s="116"/>
      <c r="AY9" s="68" t="s">
        <v>81</v>
      </c>
      <c r="AZ9" s="68" t="s">
        <v>148</v>
      </c>
      <c r="BA9" s="72" t="s">
        <v>149</v>
      </c>
      <c r="BZ9" s="76" t="s">
        <v>150</v>
      </c>
      <c r="CI9" s="68" t="s">
        <v>151</v>
      </c>
      <c r="CN9" s="78">
        <v>10002</v>
      </c>
      <c r="CP9" s="116"/>
      <c r="CQ9" s="68" t="s">
        <v>61</v>
      </c>
      <c r="CR9" s="74" t="s">
        <v>152</v>
      </c>
      <c r="CS9" s="75" t="s">
        <v>153</v>
      </c>
      <c r="CT9" s="92"/>
    </row>
    <row r="10" spans="2:98" ht="20.100000000000001" customHeight="1">
      <c r="C10" s="68" t="s">
        <v>58</v>
      </c>
      <c r="D10" s="68">
        <v>12</v>
      </c>
      <c r="F10" s="68" t="s">
        <v>154</v>
      </c>
      <c r="G10" s="72" t="s">
        <v>155</v>
      </c>
      <c r="I10" s="78">
        <v>10022</v>
      </c>
      <c r="K10" s="116"/>
      <c r="L10" s="68" t="s">
        <v>61</v>
      </c>
      <c r="M10" s="68" t="s">
        <v>156</v>
      </c>
      <c r="N10" s="72" t="s">
        <v>157</v>
      </c>
      <c r="S10" s="68">
        <v>1</v>
      </c>
      <c r="T10" s="72" t="s">
        <v>158</v>
      </c>
      <c r="V10" s="68" t="str">
        <f>T10&amp;","&amp;T11&amp;","&amp;T12</f>
        <v>刀类专精：使用剑类武器伤害提升5%,装备精通：轻甲,暴击光环：小队内暴击概率提升5%</v>
      </c>
      <c r="Z10" s="68">
        <v>22000050</v>
      </c>
      <c r="AA10" s="68" t="s">
        <v>159</v>
      </c>
      <c r="AC10" s="68" t="s">
        <v>34</v>
      </c>
      <c r="AD10" s="68">
        <v>12</v>
      </c>
      <c r="AF10" s="68" t="s">
        <v>160</v>
      </c>
      <c r="AG10" s="72" t="s">
        <v>161</v>
      </c>
      <c r="AM10" s="68" t="s">
        <v>162</v>
      </c>
      <c r="AV10" s="68">
        <v>10021</v>
      </c>
      <c r="AX10" s="116" t="s">
        <v>142</v>
      </c>
      <c r="AY10" s="68" t="s">
        <v>51</v>
      </c>
      <c r="AZ10" s="68" t="s">
        <v>163</v>
      </c>
      <c r="BA10" s="72" t="s">
        <v>164</v>
      </c>
      <c r="BZ10" s="72"/>
      <c r="CN10" s="78">
        <v>10003</v>
      </c>
      <c r="CP10" s="116"/>
      <c r="CQ10" s="68" t="s">
        <v>81</v>
      </c>
      <c r="CR10" s="68" t="s">
        <v>82</v>
      </c>
      <c r="CS10" s="72" t="s">
        <v>165</v>
      </c>
    </row>
    <row r="11" spans="2:98" ht="20.100000000000001" customHeight="1">
      <c r="C11" s="68" t="s">
        <v>44</v>
      </c>
      <c r="D11" s="68">
        <v>12</v>
      </c>
      <c r="F11" s="68" t="s">
        <v>166</v>
      </c>
      <c r="G11" s="72" t="s">
        <v>167</v>
      </c>
      <c r="I11" s="78">
        <v>10023</v>
      </c>
      <c r="K11" s="116"/>
      <c r="L11" s="68" t="s">
        <v>81</v>
      </c>
      <c r="M11" s="68" t="s">
        <v>168</v>
      </c>
      <c r="N11" s="72" t="s">
        <v>169</v>
      </c>
      <c r="S11" s="68">
        <v>2</v>
      </c>
      <c r="T11" s="72" t="s">
        <v>170</v>
      </c>
      <c r="Z11" s="68">
        <v>22000060</v>
      </c>
      <c r="AA11" s="68" t="s">
        <v>171</v>
      </c>
      <c r="AC11" s="68" t="s">
        <v>37</v>
      </c>
      <c r="AD11" s="68">
        <v>12</v>
      </c>
      <c r="AF11" s="68" t="s">
        <v>172</v>
      </c>
      <c r="AG11" s="72" t="s">
        <v>173</v>
      </c>
      <c r="AM11" s="68" t="s">
        <v>174</v>
      </c>
      <c r="AN11" s="73" t="s">
        <v>175</v>
      </c>
      <c r="AP11" s="68">
        <v>20</v>
      </c>
      <c r="AR11" s="68" t="s">
        <v>176</v>
      </c>
      <c r="AS11" s="72" t="s">
        <v>177</v>
      </c>
      <c r="AV11" s="68">
        <v>10022</v>
      </c>
      <c r="AX11" s="116"/>
      <c r="AY11" s="68" t="s">
        <v>61</v>
      </c>
      <c r="AZ11" s="68" t="s">
        <v>168</v>
      </c>
      <c r="BA11" s="72" t="s">
        <v>178</v>
      </c>
      <c r="BK11" s="85" t="s">
        <v>179</v>
      </c>
      <c r="BL11" s="68" t="s">
        <v>43</v>
      </c>
      <c r="BM11" s="68">
        <v>12</v>
      </c>
      <c r="BN11" s="68">
        <v>35</v>
      </c>
      <c r="BO11" s="68" t="s">
        <v>180</v>
      </c>
      <c r="BP11" s="72" t="s">
        <v>181</v>
      </c>
      <c r="BW11" s="68" t="s">
        <v>182</v>
      </c>
      <c r="BY11" s="68" t="s">
        <v>183</v>
      </c>
      <c r="BZ11" s="72"/>
      <c r="CN11" s="78">
        <v>10011</v>
      </c>
      <c r="CP11" s="116" t="s">
        <v>101</v>
      </c>
      <c r="CQ11" s="68" t="s">
        <v>51</v>
      </c>
      <c r="CR11" s="74" t="s">
        <v>184</v>
      </c>
      <c r="CS11" s="75" t="s">
        <v>185</v>
      </c>
      <c r="CT11" s="92"/>
    </row>
    <row r="12" spans="2:98" ht="20.100000000000001" customHeight="1">
      <c r="G12" s="72"/>
      <c r="H12" s="72"/>
      <c r="I12" s="78">
        <v>10031</v>
      </c>
      <c r="K12" s="116" t="s">
        <v>186</v>
      </c>
      <c r="L12" s="68" t="s">
        <v>51</v>
      </c>
      <c r="M12" s="68" t="s">
        <v>187</v>
      </c>
      <c r="N12" s="72" t="s">
        <v>188</v>
      </c>
      <c r="S12" s="68">
        <v>3</v>
      </c>
      <c r="T12" s="72" t="s">
        <v>189</v>
      </c>
      <c r="AN12" s="68" t="s">
        <v>190</v>
      </c>
      <c r="AP12" s="68">
        <v>25</v>
      </c>
      <c r="AR12" s="68" t="s">
        <v>191</v>
      </c>
      <c r="AS12" s="72" t="s">
        <v>192</v>
      </c>
      <c r="AV12" s="68">
        <v>10023</v>
      </c>
      <c r="AX12" s="116"/>
      <c r="AY12" s="68" t="s">
        <v>81</v>
      </c>
      <c r="AZ12" s="68" t="s">
        <v>193</v>
      </c>
      <c r="BA12" s="72" t="s">
        <v>194</v>
      </c>
      <c r="BI12" s="68" t="s">
        <v>195</v>
      </c>
      <c r="BK12" s="68" t="s">
        <v>196</v>
      </c>
      <c r="BL12" s="68" t="s">
        <v>44</v>
      </c>
      <c r="BM12" s="68">
        <v>12</v>
      </c>
      <c r="BN12" s="68">
        <v>35</v>
      </c>
      <c r="BO12" s="68" t="s">
        <v>197</v>
      </c>
      <c r="BP12" s="72" t="s">
        <v>198</v>
      </c>
      <c r="BW12" s="68" t="s">
        <v>199</v>
      </c>
      <c r="BX12" s="68">
        <v>30</v>
      </c>
      <c r="BY12" s="68" t="s">
        <v>200</v>
      </c>
      <c r="BZ12" s="72" t="s">
        <v>201</v>
      </c>
      <c r="CG12" s="72" t="s">
        <v>202</v>
      </c>
      <c r="CN12" s="78">
        <v>10012</v>
      </c>
      <c r="CP12" s="116"/>
      <c r="CQ12" s="68" t="s">
        <v>61</v>
      </c>
      <c r="CR12" s="89" t="s">
        <v>203</v>
      </c>
      <c r="CS12" s="93" t="s">
        <v>204</v>
      </c>
      <c r="CT12" s="92"/>
    </row>
    <row r="13" spans="2:98" ht="20.100000000000001" customHeight="1">
      <c r="B13" s="68" t="s">
        <v>57</v>
      </c>
      <c r="G13" s="72"/>
      <c r="H13" s="72"/>
      <c r="I13" s="78">
        <v>10032</v>
      </c>
      <c r="K13" s="116"/>
      <c r="L13" s="68" t="s">
        <v>61</v>
      </c>
      <c r="M13" s="68" t="s">
        <v>205</v>
      </c>
      <c r="N13" s="72" t="s">
        <v>206</v>
      </c>
      <c r="AM13" s="68" t="s">
        <v>207</v>
      </c>
      <c r="AN13" s="68" t="s">
        <v>88</v>
      </c>
      <c r="AP13" s="68">
        <v>30</v>
      </c>
      <c r="AR13" s="68" t="s">
        <v>208</v>
      </c>
      <c r="AS13" s="72" t="s">
        <v>209</v>
      </c>
      <c r="AV13" s="68">
        <v>10031</v>
      </c>
      <c r="AX13" s="116" t="s">
        <v>186</v>
      </c>
      <c r="AY13" s="68" t="s">
        <v>51</v>
      </c>
      <c r="AZ13" s="68" t="s">
        <v>210</v>
      </c>
      <c r="BA13" s="72" t="s">
        <v>211</v>
      </c>
      <c r="BP13" s="76" t="s">
        <v>212</v>
      </c>
      <c r="BU13" s="68" t="s">
        <v>213</v>
      </c>
      <c r="BW13" s="68" t="s">
        <v>214</v>
      </c>
      <c r="BX13" s="68">
        <v>35</v>
      </c>
      <c r="BY13" s="68" t="s">
        <v>215</v>
      </c>
      <c r="BZ13" s="72" t="s">
        <v>216</v>
      </c>
      <c r="CG13" s="72" t="s">
        <v>217</v>
      </c>
      <c r="CN13" s="78">
        <v>10013</v>
      </c>
      <c r="CP13" s="116"/>
      <c r="CQ13" s="68" t="s">
        <v>81</v>
      </c>
      <c r="CR13" s="68" t="s">
        <v>218</v>
      </c>
      <c r="CS13" s="72" t="s">
        <v>219</v>
      </c>
      <c r="CT13" s="92"/>
    </row>
    <row r="14" spans="2:98" ht="20.100000000000001" customHeight="1">
      <c r="B14" s="73" t="s">
        <v>220</v>
      </c>
      <c r="C14" s="68" t="s">
        <v>68</v>
      </c>
      <c r="D14" s="68">
        <v>20</v>
      </c>
      <c r="F14" s="68" t="s">
        <v>221</v>
      </c>
      <c r="G14" s="72" t="s">
        <v>222</v>
      </c>
      <c r="H14" s="72"/>
      <c r="I14" s="78">
        <v>10033</v>
      </c>
      <c r="K14" s="116"/>
      <c r="L14" s="68" t="s">
        <v>81</v>
      </c>
      <c r="M14" s="68" t="s">
        <v>223</v>
      </c>
      <c r="N14" s="72" t="s">
        <v>224</v>
      </c>
      <c r="AB14" s="68" t="s">
        <v>225</v>
      </c>
      <c r="AC14" s="68" t="s">
        <v>226</v>
      </c>
      <c r="AN14" s="68" t="s">
        <v>227</v>
      </c>
      <c r="AP14" s="68">
        <v>35</v>
      </c>
      <c r="AR14" s="68" t="s">
        <v>228</v>
      </c>
      <c r="AS14" s="72" t="s">
        <v>229</v>
      </c>
      <c r="AV14" s="68">
        <v>10032</v>
      </c>
      <c r="AX14" s="116"/>
      <c r="AY14" s="68" t="s">
        <v>61</v>
      </c>
      <c r="AZ14" s="68" t="s">
        <v>168</v>
      </c>
      <c r="BA14" s="72" t="s">
        <v>230</v>
      </c>
      <c r="BL14" s="76" t="s">
        <v>231</v>
      </c>
      <c r="BP14" s="72"/>
      <c r="BU14" s="68" t="s">
        <v>232</v>
      </c>
      <c r="BW14" s="68" t="s">
        <v>233</v>
      </c>
      <c r="BX14" s="68">
        <v>40</v>
      </c>
      <c r="BY14" s="68" t="s">
        <v>234</v>
      </c>
      <c r="BZ14" s="72" t="s">
        <v>235</v>
      </c>
      <c r="CG14" s="72" t="s">
        <v>236</v>
      </c>
      <c r="CN14" s="78">
        <v>10021</v>
      </c>
      <c r="CP14" s="116" t="s">
        <v>142</v>
      </c>
      <c r="CQ14" s="68" t="s">
        <v>51</v>
      </c>
      <c r="CR14" s="68" t="s">
        <v>237</v>
      </c>
      <c r="CS14" s="72" t="s">
        <v>238</v>
      </c>
      <c r="CT14" s="92"/>
    </row>
    <row r="15" spans="2:98" ht="20.100000000000001" customHeight="1">
      <c r="D15" s="68">
        <v>25</v>
      </c>
      <c r="F15" s="68" t="s">
        <v>239</v>
      </c>
      <c r="G15" s="72" t="s">
        <v>240</v>
      </c>
      <c r="H15" s="72"/>
      <c r="I15" s="78">
        <v>10041</v>
      </c>
      <c r="K15" s="116" t="s">
        <v>241</v>
      </c>
      <c r="L15" s="68" t="s">
        <v>51</v>
      </c>
      <c r="M15" s="68" t="s">
        <v>242</v>
      </c>
      <c r="N15" s="72" t="s">
        <v>243</v>
      </c>
      <c r="AB15" s="68" t="s">
        <v>162</v>
      </c>
      <c r="AC15" s="68" t="s">
        <v>244</v>
      </c>
      <c r="AP15" s="68" t="s">
        <v>133</v>
      </c>
      <c r="AR15" s="68" t="s">
        <v>134</v>
      </c>
      <c r="AS15" s="72" t="s">
        <v>245</v>
      </c>
      <c r="AV15" s="68">
        <v>10033</v>
      </c>
      <c r="AX15" s="116"/>
      <c r="AY15" s="68" t="s">
        <v>81</v>
      </c>
      <c r="AZ15" s="68" t="s">
        <v>246</v>
      </c>
      <c r="BA15" s="72" t="s">
        <v>247</v>
      </c>
      <c r="BL15" s="72" t="s">
        <v>248</v>
      </c>
      <c r="BX15" s="68">
        <v>50</v>
      </c>
      <c r="BY15" s="68" t="s">
        <v>249</v>
      </c>
      <c r="BZ15" s="72" t="s">
        <v>250</v>
      </c>
      <c r="CN15" s="78">
        <v>10022</v>
      </c>
      <c r="CP15" s="116"/>
      <c r="CQ15" s="68" t="s">
        <v>61</v>
      </c>
      <c r="CR15" s="68" t="s">
        <v>251</v>
      </c>
      <c r="CS15" s="72" t="s">
        <v>252</v>
      </c>
      <c r="CT15" s="92"/>
    </row>
    <row r="16" spans="2:98" ht="20.100000000000001" customHeight="1">
      <c r="D16" s="68">
        <v>30</v>
      </c>
      <c r="F16" s="74" t="s">
        <v>253</v>
      </c>
      <c r="G16" s="75" t="s">
        <v>254</v>
      </c>
      <c r="H16" s="76"/>
      <c r="I16" s="78">
        <v>10042</v>
      </c>
      <c r="K16" s="116"/>
      <c r="L16" s="68" t="s">
        <v>61</v>
      </c>
      <c r="M16" s="68" t="s">
        <v>255</v>
      </c>
      <c r="N16" s="72" t="s">
        <v>256</v>
      </c>
      <c r="S16" s="68" t="s">
        <v>257</v>
      </c>
      <c r="AB16" s="68" t="s">
        <v>258</v>
      </c>
      <c r="AC16" s="68" t="s">
        <v>259</v>
      </c>
      <c r="AR16" s="68" t="s">
        <v>146</v>
      </c>
      <c r="AS16" s="72" t="s">
        <v>260</v>
      </c>
      <c r="AV16" s="68">
        <v>10041</v>
      </c>
      <c r="AX16" s="116" t="s">
        <v>241</v>
      </c>
      <c r="AY16" s="68" t="s">
        <v>51</v>
      </c>
      <c r="AZ16" s="68" t="s">
        <v>160</v>
      </c>
      <c r="BA16" s="72" t="s">
        <v>261</v>
      </c>
      <c r="BO16" s="70"/>
      <c r="BP16" s="71"/>
      <c r="BZ16" s="72"/>
      <c r="CN16" s="78">
        <v>10023</v>
      </c>
      <c r="CP16" s="116"/>
      <c r="CQ16" s="68" t="s">
        <v>81</v>
      </c>
      <c r="CR16" s="68" t="s">
        <v>168</v>
      </c>
      <c r="CS16" s="72" t="s">
        <v>262</v>
      </c>
      <c r="CT16" s="92"/>
    </row>
    <row r="17" spans="2:98" ht="20.100000000000001" customHeight="1">
      <c r="D17" s="68">
        <v>35</v>
      </c>
      <c r="F17" s="68" t="s">
        <v>263</v>
      </c>
      <c r="G17" s="72" t="s">
        <v>264</v>
      </c>
      <c r="H17" s="72"/>
      <c r="I17" s="78">
        <v>10043</v>
      </c>
      <c r="K17" s="116"/>
      <c r="L17" s="68" t="s">
        <v>81</v>
      </c>
      <c r="M17" s="68" t="s">
        <v>156</v>
      </c>
      <c r="N17" s="72" t="s">
        <v>265</v>
      </c>
      <c r="S17" s="68">
        <v>1</v>
      </c>
      <c r="T17" s="72" t="s">
        <v>266</v>
      </c>
      <c r="V17" s="68" t="str">
        <f>T17&amp;","&amp;T18&amp;","&amp;T19</f>
        <v>刀类专精：使用刀类武器伤害提升5%,装备精通：重甲,伤害光环：小队内造成伤害提升5%</v>
      </c>
      <c r="AV17" s="68">
        <v>10042</v>
      </c>
      <c r="AX17" s="116"/>
      <c r="AY17" s="68" t="s">
        <v>61</v>
      </c>
      <c r="AZ17" s="68" t="s">
        <v>168</v>
      </c>
      <c r="BA17" s="72" t="s">
        <v>267</v>
      </c>
      <c r="BV17" s="68" t="s">
        <v>268</v>
      </c>
      <c r="BW17" s="68" t="s">
        <v>269</v>
      </c>
      <c r="BZ17" s="72" t="s">
        <v>270</v>
      </c>
      <c r="CG17" s="72" t="s">
        <v>271</v>
      </c>
      <c r="CN17" s="78">
        <v>10031</v>
      </c>
      <c r="CP17" s="116" t="s">
        <v>186</v>
      </c>
      <c r="CQ17" s="68" t="s">
        <v>51</v>
      </c>
      <c r="CR17" s="68" t="s">
        <v>272</v>
      </c>
      <c r="CS17" s="72" t="s">
        <v>273</v>
      </c>
      <c r="CT17" s="92"/>
    </row>
    <row r="18" spans="2:98" ht="20.100000000000001" customHeight="1">
      <c r="D18" s="68" t="s">
        <v>133</v>
      </c>
      <c r="F18" s="68" t="s">
        <v>134</v>
      </c>
      <c r="G18" s="72" t="s">
        <v>274</v>
      </c>
      <c r="H18" s="72"/>
      <c r="I18" s="68">
        <v>10051</v>
      </c>
      <c r="K18" s="116" t="s">
        <v>275</v>
      </c>
      <c r="L18" s="68" t="s">
        <v>51</v>
      </c>
      <c r="M18" s="68" t="s">
        <v>276</v>
      </c>
      <c r="N18" s="72" t="s">
        <v>277</v>
      </c>
      <c r="S18" s="68">
        <v>2</v>
      </c>
      <c r="T18" s="72" t="s">
        <v>278</v>
      </c>
      <c r="AM18" s="68" t="s">
        <v>190</v>
      </c>
      <c r="AN18" s="73" t="s">
        <v>279</v>
      </c>
      <c r="AP18" s="68">
        <v>20</v>
      </c>
      <c r="AR18" s="68" t="s">
        <v>280</v>
      </c>
      <c r="AS18" s="72" t="s">
        <v>281</v>
      </c>
      <c r="AV18" s="68">
        <v>10043</v>
      </c>
      <c r="AX18" s="116"/>
      <c r="AY18" s="68" t="s">
        <v>81</v>
      </c>
      <c r="AZ18" s="68" t="s">
        <v>282</v>
      </c>
      <c r="BA18" s="72" t="s">
        <v>283</v>
      </c>
      <c r="BN18" s="68" t="s">
        <v>284</v>
      </c>
      <c r="CN18" s="78">
        <v>10032</v>
      </c>
      <c r="CP18" s="116"/>
      <c r="CQ18" s="68" t="s">
        <v>61</v>
      </c>
      <c r="CR18" s="78" t="s">
        <v>285</v>
      </c>
      <c r="CS18" s="76" t="s">
        <v>286</v>
      </c>
      <c r="CT18" s="78"/>
    </row>
    <row r="19" spans="2:98" ht="20.100000000000001" customHeight="1">
      <c r="F19" s="68" t="s">
        <v>146</v>
      </c>
      <c r="G19" s="72" t="s">
        <v>287</v>
      </c>
      <c r="H19" s="72"/>
      <c r="I19" s="68">
        <v>10052</v>
      </c>
      <c r="K19" s="116"/>
      <c r="L19" s="68" t="s">
        <v>61</v>
      </c>
      <c r="M19" s="68" t="s">
        <v>288</v>
      </c>
      <c r="N19" s="72" t="s">
        <v>289</v>
      </c>
      <c r="S19" s="68">
        <v>3</v>
      </c>
      <c r="T19" s="72" t="s">
        <v>290</v>
      </c>
      <c r="AM19" s="68" t="s">
        <v>291</v>
      </c>
      <c r="AO19" s="68" t="s">
        <v>292</v>
      </c>
      <c r="AP19" s="68">
        <v>25</v>
      </c>
      <c r="AR19" s="68" t="s">
        <v>293</v>
      </c>
      <c r="AS19" s="72" t="s">
        <v>294</v>
      </c>
      <c r="AV19" s="68">
        <v>10051</v>
      </c>
      <c r="AX19" s="116" t="s">
        <v>275</v>
      </c>
      <c r="AY19" s="68" t="s">
        <v>51</v>
      </c>
      <c r="AZ19" s="68" t="s">
        <v>295</v>
      </c>
      <c r="BA19" s="72" t="s">
        <v>296</v>
      </c>
      <c r="BN19" s="68" t="s">
        <v>297</v>
      </c>
      <c r="BO19" s="72" t="s">
        <v>298</v>
      </c>
      <c r="BW19" s="68" t="s">
        <v>133</v>
      </c>
      <c r="CN19" s="78">
        <v>10033</v>
      </c>
      <c r="CP19" s="116"/>
      <c r="CQ19" s="68" t="s">
        <v>81</v>
      </c>
      <c r="CR19" s="68" t="s">
        <v>223</v>
      </c>
      <c r="CS19" s="72" t="s">
        <v>299</v>
      </c>
      <c r="CT19" s="92"/>
    </row>
    <row r="20" spans="2:98" ht="20.100000000000001" customHeight="1">
      <c r="I20" s="68">
        <v>10053</v>
      </c>
      <c r="K20" s="116"/>
      <c r="L20" s="68" t="s">
        <v>81</v>
      </c>
      <c r="M20" s="68" t="s">
        <v>300</v>
      </c>
      <c r="N20" s="72" t="s">
        <v>301</v>
      </c>
      <c r="AB20" s="68" t="s">
        <v>302</v>
      </c>
      <c r="AC20" s="68" t="s">
        <v>303</v>
      </c>
      <c r="AN20" s="68" t="s">
        <v>190</v>
      </c>
      <c r="AP20" s="68">
        <v>30</v>
      </c>
      <c r="AR20" s="68" t="s">
        <v>304</v>
      </c>
      <c r="AS20" s="72" t="s">
        <v>305</v>
      </c>
      <c r="AV20" s="68">
        <v>10052</v>
      </c>
      <c r="AX20" s="116"/>
      <c r="AY20" s="68" t="s">
        <v>61</v>
      </c>
      <c r="AZ20" s="68" t="s">
        <v>168</v>
      </c>
      <c r="BA20" s="72" t="s">
        <v>306</v>
      </c>
      <c r="BN20" s="68" t="s">
        <v>307</v>
      </c>
      <c r="BO20" s="68" t="s">
        <v>308</v>
      </c>
      <c r="BY20" s="68" t="s">
        <v>146</v>
      </c>
      <c r="BZ20" s="72" t="s">
        <v>309</v>
      </c>
      <c r="CN20" s="78">
        <v>10041</v>
      </c>
      <c r="CP20" s="116" t="s">
        <v>241</v>
      </c>
      <c r="CQ20" s="68" t="s">
        <v>51</v>
      </c>
      <c r="CR20" s="68" t="s">
        <v>310</v>
      </c>
      <c r="CS20" s="72" t="s">
        <v>311</v>
      </c>
      <c r="CT20" s="92"/>
    </row>
    <row r="21" spans="2:98" ht="20.100000000000001" customHeight="1">
      <c r="B21" s="73" t="s">
        <v>312</v>
      </c>
      <c r="D21" s="68">
        <v>20</v>
      </c>
      <c r="F21" s="68" t="s">
        <v>313</v>
      </c>
      <c r="G21" s="72" t="s">
        <v>314</v>
      </c>
      <c r="H21" s="72"/>
      <c r="I21" s="70">
        <v>10051</v>
      </c>
      <c r="J21" s="70"/>
      <c r="K21" s="117" t="s">
        <v>315</v>
      </c>
      <c r="L21" s="70" t="s">
        <v>51</v>
      </c>
      <c r="M21" s="70" t="s">
        <v>316</v>
      </c>
      <c r="N21" s="71" t="s">
        <v>317</v>
      </c>
      <c r="AN21" s="68" t="s">
        <v>318</v>
      </c>
      <c r="AP21" s="68">
        <v>35</v>
      </c>
      <c r="AR21" s="68" t="s">
        <v>319</v>
      </c>
      <c r="AS21" s="72" t="s">
        <v>320</v>
      </c>
      <c r="AV21" s="68">
        <v>10053</v>
      </c>
      <c r="AX21" s="116"/>
      <c r="AY21" s="68" t="s">
        <v>81</v>
      </c>
      <c r="AZ21" s="68" t="s">
        <v>321</v>
      </c>
      <c r="BA21" s="72" t="s">
        <v>322</v>
      </c>
      <c r="BZ21" s="72" t="s">
        <v>323</v>
      </c>
      <c r="CN21" s="78">
        <v>10042</v>
      </c>
      <c r="CP21" s="116"/>
      <c r="CQ21" s="68" t="s">
        <v>61</v>
      </c>
      <c r="CR21" s="74" t="s">
        <v>255</v>
      </c>
      <c r="CS21" s="75" t="s">
        <v>256</v>
      </c>
      <c r="CT21" s="74"/>
    </row>
    <row r="22" spans="2:98" ht="20.100000000000001" customHeight="1">
      <c r="D22" s="68">
        <v>25</v>
      </c>
      <c r="F22" s="68" t="s">
        <v>324</v>
      </c>
      <c r="G22" s="72" t="s">
        <v>325</v>
      </c>
      <c r="H22" s="72"/>
      <c r="I22" s="70">
        <v>10052</v>
      </c>
      <c r="J22" s="70"/>
      <c r="K22" s="117"/>
      <c r="L22" s="70" t="s">
        <v>61</v>
      </c>
      <c r="M22" s="70" t="s">
        <v>156</v>
      </c>
      <c r="N22" s="71" t="s">
        <v>326</v>
      </c>
      <c r="AG22" s="72"/>
      <c r="AP22" s="68" t="s">
        <v>133</v>
      </c>
      <c r="AR22" s="68" t="s">
        <v>134</v>
      </c>
      <c r="AS22" s="72" t="s">
        <v>327</v>
      </c>
      <c r="AV22" s="70">
        <v>10051</v>
      </c>
      <c r="AW22" s="70"/>
      <c r="AX22" s="117" t="s">
        <v>315</v>
      </c>
      <c r="AY22" s="70" t="s">
        <v>51</v>
      </c>
      <c r="AZ22" s="70" t="s">
        <v>156</v>
      </c>
      <c r="BA22" s="71" t="s">
        <v>328</v>
      </c>
      <c r="BB22" s="70"/>
      <c r="BC22" s="70"/>
      <c r="BD22" s="70"/>
      <c r="BE22" s="70"/>
      <c r="BF22" s="70"/>
      <c r="BG22" s="70"/>
      <c r="BH22" s="70"/>
      <c r="BR22" s="68" t="s">
        <v>329</v>
      </c>
      <c r="CN22" s="78">
        <v>10043</v>
      </c>
      <c r="CP22" s="116"/>
      <c r="CQ22" s="68" t="s">
        <v>81</v>
      </c>
      <c r="CR22" s="68" t="s">
        <v>156</v>
      </c>
      <c r="CS22" s="72" t="s">
        <v>330</v>
      </c>
      <c r="CT22" s="92"/>
    </row>
    <row r="23" spans="2:98" ht="20.100000000000001" customHeight="1">
      <c r="D23" s="68">
        <v>30</v>
      </c>
      <c r="F23" s="68" t="s">
        <v>331</v>
      </c>
      <c r="G23" s="72" t="s">
        <v>332</v>
      </c>
      <c r="H23" s="72"/>
      <c r="I23" s="70">
        <v>10053</v>
      </c>
      <c r="J23" s="70"/>
      <c r="K23" s="117"/>
      <c r="L23" s="70" t="s">
        <v>81</v>
      </c>
      <c r="M23" s="70" t="s">
        <v>333</v>
      </c>
      <c r="N23" s="71" t="s">
        <v>334</v>
      </c>
      <c r="AF23" s="68" t="s">
        <v>335</v>
      </c>
      <c r="AG23" s="72"/>
      <c r="AI23" s="68" t="s">
        <v>335</v>
      </c>
      <c r="AK23" s="68" t="s">
        <v>336</v>
      </c>
      <c r="AL23" s="68" t="s">
        <v>335</v>
      </c>
      <c r="AM23" s="72"/>
      <c r="AR23" s="68" t="s">
        <v>146</v>
      </c>
      <c r="AS23" s="72" t="s">
        <v>337</v>
      </c>
      <c r="AV23" s="70">
        <v>10052</v>
      </c>
      <c r="AW23" s="70"/>
      <c r="AX23" s="117"/>
      <c r="AY23" s="70" t="s">
        <v>61</v>
      </c>
      <c r="AZ23" s="70" t="s">
        <v>338</v>
      </c>
      <c r="BA23" s="71" t="s">
        <v>339</v>
      </c>
      <c r="BB23" s="70"/>
      <c r="BC23" s="70"/>
      <c r="BD23" s="70"/>
      <c r="BE23" s="70"/>
      <c r="BF23" s="70"/>
      <c r="BG23" s="70"/>
      <c r="BH23" s="70"/>
      <c r="BN23" s="68" t="s">
        <v>340</v>
      </c>
      <c r="CN23" s="68">
        <v>10051</v>
      </c>
      <c r="CP23" s="116" t="s">
        <v>275</v>
      </c>
      <c r="CQ23" s="68" t="s">
        <v>51</v>
      </c>
      <c r="CR23" s="68" t="s">
        <v>341</v>
      </c>
      <c r="CS23" s="72" t="s">
        <v>309</v>
      </c>
      <c r="CT23" s="92"/>
    </row>
    <row r="24" spans="2:98" ht="20.100000000000001" customHeight="1">
      <c r="D24" s="68">
        <v>35</v>
      </c>
      <c r="F24" s="68" t="s">
        <v>342</v>
      </c>
      <c r="G24" s="72" t="s">
        <v>343</v>
      </c>
      <c r="H24" s="72"/>
      <c r="I24" s="72"/>
      <c r="AD24" s="68" t="s">
        <v>344</v>
      </c>
      <c r="AF24" s="68">
        <v>2.5</v>
      </c>
      <c r="AG24" s="68">
        <v>300</v>
      </c>
      <c r="AI24" s="68">
        <v>2.5</v>
      </c>
      <c r="AJ24" s="68">
        <v>1500</v>
      </c>
      <c r="AK24" s="68">
        <v>3</v>
      </c>
      <c r="AL24" s="68">
        <v>2.5</v>
      </c>
      <c r="AM24" s="68">
        <v>300</v>
      </c>
      <c r="AN24" s="68">
        <f>AL24*1500</f>
        <v>3750</v>
      </c>
      <c r="AO24" s="68">
        <f>AM24</f>
        <v>300</v>
      </c>
      <c r="AP24" s="68">
        <f>AO24+AN24</f>
        <v>4050</v>
      </c>
      <c r="AV24" s="70">
        <v>10053</v>
      </c>
      <c r="AW24" s="70"/>
      <c r="AX24" s="117"/>
      <c r="AY24" s="70" t="s">
        <v>81</v>
      </c>
      <c r="AZ24" s="70" t="s">
        <v>345</v>
      </c>
      <c r="BA24" s="71" t="s">
        <v>346</v>
      </c>
      <c r="BB24" s="70"/>
      <c r="BC24" s="70"/>
      <c r="BD24" s="70"/>
      <c r="BE24" s="70"/>
      <c r="BF24" s="70"/>
      <c r="BG24" s="70"/>
      <c r="BH24" s="70"/>
      <c r="BN24" s="68" t="s">
        <v>347</v>
      </c>
      <c r="BO24" s="72" t="s">
        <v>348</v>
      </c>
      <c r="BU24" s="68" t="s">
        <v>349</v>
      </c>
      <c r="BW24" s="68" t="s">
        <v>350</v>
      </c>
      <c r="BY24" s="68" t="s">
        <v>99</v>
      </c>
      <c r="BZ24" s="72"/>
      <c r="CN24" s="68">
        <v>10052</v>
      </c>
      <c r="CP24" s="116"/>
      <c r="CQ24" s="68" t="s">
        <v>61</v>
      </c>
      <c r="CR24" s="78" t="s">
        <v>351</v>
      </c>
      <c r="CS24" s="76" t="s">
        <v>352</v>
      </c>
      <c r="CT24" s="92"/>
    </row>
    <row r="25" spans="2:98" ht="20.100000000000001" customHeight="1">
      <c r="D25" s="68" t="s">
        <v>133</v>
      </c>
      <c r="F25" s="68" t="s">
        <v>134</v>
      </c>
      <c r="G25" s="72" t="s">
        <v>353</v>
      </c>
      <c r="H25" s="72"/>
      <c r="N25" s="68" t="s">
        <v>354</v>
      </c>
      <c r="S25" s="68" t="s">
        <v>45</v>
      </c>
      <c r="AE25" s="68">
        <f>AF25-AF24</f>
        <v>0</v>
      </c>
      <c r="AF25" s="68">
        <v>2.5</v>
      </c>
      <c r="AG25" s="68">
        <v>300</v>
      </c>
      <c r="AI25" s="68">
        <v>2.5</v>
      </c>
      <c r="AJ25" s="68">
        <v>1500</v>
      </c>
      <c r="AK25" s="68">
        <v>3</v>
      </c>
      <c r="AL25" s="68">
        <v>2.5</v>
      </c>
      <c r="AM25" s="68">
        <v>300</v>
      </c>
      <c r="AN25" s="68">
        <f t="shared" ref="AN25:AN29" si="0">AL25*1500</f>
        <v>3750</v>
      </c>
      <c r="AO25" s="68">
        <f t="shared" ref="AO25:AO29" si="1">AM25</f>
        <v>300</v>
      </c>
      <c r="AP25" s="68">
        <f t="shared" ref="AP25:AP29" si="2">AO25+AN25</f>
        <v>4050</v>
      </c>
      <c r="BA25" s="68" t="s">
        <v>355</v>
      </c>
      <c r="BS25" s="68" t="s">
        <v>356</v>
      </c>
      <c r="BV25" s="68" t="s">
        <v>357</v>
      </c>
      <c r="BX25" s="68">
        <v>30</v>
      </c>
      <c r="BY25" s="68" t="s">
        <v>358</v>
      </c>
      <c r="BZ25" s="72" t="s">
        <v>359</v>
      </c>
      <c r="CG25" s="68" t="s">
        <v>360</v>
      </c>
      <c r="CN25" s="68">
        <v>10053</v>
      </c>
      <c r="CP25" s="116"/>
      <c r="CQ25" s="68" t="s">
        <v>81</v>
      </c>
      <c r="CR25" s="68" t="s">
        <v>300</v>
      </c>
      <c r="CS25" s="72" t="s">
        <v>361</v>
      </c>
      <c r="CT25" s="92"/>
    </row>
    <row r="26" spans="2:98" ht="20.100000000000001" customHeight="1">
      <c r="F26" s="68" t="s">
        <v>146</v>
      </c>
      <c r="G26" s="72" t="s">
        <v>362</v>
      </c>
      <c r="H26" s="72"/>
      <c r="R26" s="68" t="s">
        <v>363</v>
      </c>
      <c r="S26" s="68">
        <v>1</v>
      </c>
      <c r="T26" s="68" t="s">
        <v>364</v>
      </c>
      <c r="U26" s="72" t="s">
        <v>365</v>
      </c>
      <c r="AD26" s="68">
        <f>1000*AE26</f>
        <v>0</v>
      </c>
      <c r="AE26" s="68">
        <f t="shared" ref="AE26:AE29" si="3">AF26-AF25</f>
        <v>0</v>
      </c>
      <c r="AF26" s="68">
        <v>2.5</v>
      </c>
      <c r="AG26" s="68">
        <v>600</v>
      </c>
      <c r="AI26" s="68">
        <v>2.5</v>
      </c>
      <c r="AJ26" s="68">
        <v>2000</v>
      </c>
      <c r="AK26" s="68">
        <v>3</v>
      </c>
      <c r="AL26" s="68">
        <v>2.5</v>
      </c>
      <c r="AM26" s="68">
        <v>600</v>
      </c>
      <c r="AN26" s="68">
        <f t="shared" si="0"/>
        <v>3750</v>
      </c>
      <c r="AO26" s="68">
        <f t="shared" si="1"/>
        <v>600</v>
      </c>
      <c r="AP26" s="68">
        <f t="shared" si="2"/>
        <v>4350</v>
      </c>
      <c r="AZ26" s="68" t="s">
        <v>52</v>
      </c>
      <c r="BA26" s="72" t="s">
        <v>53</v>
      </c>
      <c r="BT26" s="68" t="s">
        <v>366</v>
      </c>
      <c r="BV26" s="68" t="s">
        <v>367</v>
      </c>
      <c r="BX26" s="68">
        <v>35</v>
      </c>
      <c r="BY26" s="68" t="s">
        <v>368</v>
      </c>
      <c r="BZ26" s="72" t="s">
        <v>369</v>
      </c>
      <c r="CG26" s="68" t="s">
        <v>370</v>
      </c>
      <c r="CN26" s="70">
        <v>10051</v>
      </c>
      <c r="CO26" s="70"/>
      <c r="CP26" s="117" t="s">
        <v>315</v>
      </c>
      <c r="CQ26" s="70" t="s">
        <v>51</v>
      </c>
      <c r="CR26" s="70" t="s">
        <v>371</v>
      </c>
      <c r="CS26" s="71" t="s">
        <v>372</v>
      </c>
      <c r="CT26" s="92"/>
    </row>
    <row r="27" spans="2:98" ht="20.100000000000001" customHeight="1">
      <c r="K27" s="76" t="s">
        <v>373</v>
      </c>
      <c r="L27" s="78"/>
      <c r="M27" s="78"/>
      <c r="N27" s="68" t="s">
        <v>374</v>
      </c>
      <c r="S27" s="68">
        <v>2</v>
      </c>
      <c r="T27" s="68" t="s">
        <v>375</v>
      </c>
      <c r="U27" s="72" t="s">
        <v>376</v>
      </c>
      <c r="AE27" s="68">
        <f t="shared" si="3"/>
        <v>0</v>
      </c>
      <c r="AF27" s="68">
        <v>2.5</v>
      </c>
      <c r="AG27" s="68">
        <v>1000</v>
      </c>
      <c r="AI27" s="68">
        <v>2.5</v>
      </c>
      <c r="AJ27" s="68">
        <v>2500</v>
      </c>
      <c r="AK27" s="68">
        <v>3</v>
      </c>
      <c r="AL27" s="68">
        <v>2.5</v>
      </c>
      <c r="AM27" s="68">
        <v>1000</v>
      </c>
      <c r="AN27" s="68">
        <f t="shared" si="0"/>
        <v>3750</v>
      </c>
      <c r="AO27" s="68">
        <f t="shared" si="1"/>
        <v>1000</v>
      </c>
      <c r="AP27" s="68">
        <f t="shared" si="2"/>
        <v>4750</v>
      </c>
      <c r="AR27" s="68" t="s">
        <v>377</v>
      </c>
      <c r="AS27" s="72" t="s">
        <v>378</v>
      </c>
      <c r="AZ27" s="68" t="s">
        <v>62</v>
      </c>
      <c r="BA27" s="72" t="s">
        <v>63</v>
      </c>
      <c r="BU27" s="68" t="s">
        <v>379</v>
      </c>
      <c r="BX27" s="68">
        <v>40</v>
      </c>
      <c r="BY27" s="68" t="s">
        <v>380</v>
      </c>
      <c r="BZ27" s="72" t="s">
        <v>381</v>
      </c>
      <c r="CG27" s="68" t="s">
        <v>382</v>
      </c>
      <c r="CJ27" s="68" t="s">
        <v>383</v>
      </c>
      <c r="CN27" s="70">
        <v>10052</v>
      </c>
      <c r="CO27" s="70"/>
      <c r="CP27" s="117"/>
      <c r="CQ27" s="70" t="s">
        <v>61</v>
      </c>
      <c r="CR27" s="90" t="s">
        <v>384</v>
      </c>
      <c r="CS27" s="94" t="s">
        <v>385</v>
      </c>
      <c r="CT27" s="92"/>
    </row>
    <row r="28" spans="2:98" ht="20.100000000000001" customHeight="1">
      <c r="B28" s="73" t="s">
        <v>386</v>
      </c>
      <c r="D28" s="68">
        <v>20</v>
      </c>
      <c r="F28" s="68" t="s">
        <v>387</v>
      </c>
      <c r="G28" s="72" t="s">
        <v>388</v>
      </c>
      <c r="H28" s="72"/>
      <c r="K28" s="76" t="s">
        <v>389</v>
      </c>
      <c r="L28" s="78"/>
      <c r="M28" s="78"/>
      <c r="N28" s="68" t="s">
        <v>390</v>
      </c>
      <c r="S28" s="68">
        <v>3</v>
      </c>
      <c r="AE28" s="68">
        <f t="shared" si="3"/>
        <v>0</v>
      </c>
      <c r="AF28" s="68">
        <v>2.5</v>
      </c>
      <c r="AG28" s="68">
        <v>1500</v>
      </c>
      <c r="AI28" s="68">
        <v>2.5</v>
      </c>
      <c r="AJ28" s="68">
        <v>3000</v>
      </c>
      <c r="AK28" s="68">
        <v>3</v>
      </c>
      <c r="AL28" s="68">
        <v>2.5</v>
      </c>
      <c r="AM28" s="68">
        <v>1500</v>
      </c>
      <c r="AN28" s="68">
        <f t="shared" si="0"/>
        <v>3750</v>
      </c>
      <c r="AO28" s="68">
        <f t="shared" si="1"/>
        <v>1500</v>
      </c>
      <c r="AP28" s="68">
        <f t="shared" si="2"/>
        <v>5250</v>
      </c>
      <c r="AS28" s="72"/>
      <c r="AZ28" s="68" t="s">
        <v>82</v>
      </c>
      <c r="BA28" s="72" t="s">
        <v>83</v>
      </c>
      <c r="BS28" s="68" t="s">
        <v>391</v>
      </c>
      <c r="BV28" s="68" t="s">
        <v>392</v>
      </c>
      <c r="BX28" s="68">
        <v>50</v>
      </c>
      <c r="BY28" s="68" t="s">
        <v>393</v>
      </c>
      <c r="BZ28" s="72" t="s">
        <v>394</v>
      </c>
      <c r="CG28" s="68" t="s">
        <v>395</v>
      </c>
      <c r="CN28" s="70">
        <v>10053</v>
      </c>
      <c r="CO28" s="70"/>
      <c r="CP28" s="117"/>
      <c r="CQ28" s="70" t="s">
        <v>81</v>
      </c>
      <c r="CR28" s="91" t="s">
        <v>396</v>
      </c>
      <c r="CS28" s="95" t="s">
        <v>397</v>
      </c>
      <c r="CT28" s="92"/>
    </row>
    <row r="29" spans="2:98" ht="20.100000000000001" customHeight="1">
      <c r="D29" s="68">
        <v>25</v>
      </c>
      <c r="F29" s="68" t="s">
        <v>398</v>
      </c>
      <c r="G29" s="72" t="s">
        <v>399</v>
      </c>
      <c r="H29" s="72"/>
      <c r="K29" s="72"/>
      <c r="N29" s="68" t="s">
        <v>400</v>
      </c>
      <c r="S29" s="68">
        <v>4</v>
      </c>
      <c r="AE29" s="68">
        <f t="shared" si="3"/>
        <v>0</v>
      </c>
      <c r="AF29" s="68">
        <v>2.5</v>
      </c>
      <c r="AG29" s="68">
        <v>2000</v>
      </c>
      <c r="AI29" s="68">
        <v>2.5</v>
      </c>
      <c r="AJ29" s="68">
        <v>3500</v>
      </c>
      <c r="AK29" s="68">
        <v>3</v>
      </c>
      <c r="AL29" s="68">
        <v>2.5</v>
      </c>
      <c r="AM29" s="68">
        <v>2000</v>
      </c>
      <c r="AN29" s="68">
        <f t="shared" si="0"/>
        <v>3750</v>
      </c>
      <c r="AO29" s="68">
        <f t="shared" si="1"/>
        <v>2000</v>
      </c>
      <c r="AP29" s="68">
        <f t="shared" si="2"/>
        <v>5750</v>
      </c>
      <c r="AR29" s="78"/>
      <c r="AS29" s="76"/>
      <c r="AZ29" s="68" t="s">
        <v>102</v>
      </c>
      <c r="BA29" s="72" t="s">
        <v>103</v>
      </c>
      <c r="BN29" s="68" t="s">
        <v>401</v>
      </c>
      <c r="BO29" s="72" t="s">
        <v>402</v>
      </c>
      <c r="BZ29" s="72"/>
    </row>
    <row r="30" spans="2:98" ht="20.100000000000001" customHeight="1">
      <c r="D30" s="68">
        <v>30</v>
      </c>
      <c r="F30" s="68" t="s">
        <v>403</v>
      </c>
      <c r="G30" s="72" t="s">
        <v>404</v>
      </c>
      <c r="H30" s="72"/>
      <c r="N30" s="68" t="s">
        <v>405</v>
      </c>
      <c r="S30" s="68">
        <v>5</v>
      </c>
      <c r="AS30" s="72"/>
      <c r="AZ30" s="68" t="s">
        <v>113</v>
      </c>
      <c r="BA30" s="72" t="s">
        <v>114</v>
      </c>
      <c r="BN30" s="68" t="s">
        <v>406</v>
      </c>
      <c r="BV30" s="68" t="s">
        <v>407</v>
      </c>
      <c r="BW30" s="68" t="s">
        <v>269</v>
      </c>
      <c r="BZ30" s="72" t="s">
        <v>408</v>
      </c>
      <c r="CG30" s="68" t="s">
        <v>409</v>
      </c>
    </row>
    <row r="31" spans="2:98" ht="20.100000000000001" customHeight="1">
      <c r="D31" s="68">
        <v>35</v>
      </c>
      <c r="F31" s="68" t="s">
        <v>410</v>
      </c>
      <c r="G31" s="72" t="s">
        <v>411</v>
      </c>
      <c r="H31" s="72"/>
      <c r="J31" s="68" t="s">
        <v>412</v>
      </c>
      <c r="K31" s="68" t="s">
        <v>225</v>
      </c>
      <c r="L31" s="68" t="s">
        <v>413</v>
      </c>
      <c r="N31" s="68" t="s">
        <v>414</v>
      </c>
      <c r="S31" s="68">
        <v>6</v>
      </c>
      <c r="AF31" s="68" t="s">
        <v>415</v>
      </c>
      <c r="AI31" s="68" t="s">
        <v>415</v>
      </c>
      <c r="AS31" s="72"/>
      <c r="AZ31" s="68" t="s">
        <v>128</v>
      </c>
      <c r="BA31" s="72" t="s">
        <v>129</v>
      </c>
      <c r="CI31" s="88"/>
      <c r="CJ31" s="88"/>
    </row>
    <row r="32" spans="2:98" ht="20.100000000000001" customHeight="1">
      <c r="D32" s="68" t="s">
        <v>133</v>
      </c>
      <c r="F32" s="68" t="s">
        <v>134</v>
      </c>
      <c r="G32" s="72" t="s">
        <v>416</v>
      </c>
      <c r="H32" s="72"/>
      <c r="I32" s="68">
        <f>K32/5*2</f>
        <v>60</v>
      </c>
      <c r="J32" s="68">
        <v>1</v>
      </c>
      <c r="K32" s="68">
        <v>150</v>
      </c>
      <c r="L32" s="68">
        <v>200</v>
      </c>
      <c r="N32" s="79"/>
      <c r="S32" s="68">
        <v>7</v>
      </c>
      <c r="AF32" s="68">
        <v>2</v>
      </c>
      <c r="AG32" s="68">
        <v>210</v>
      </c>
      <c r="AI32" s="68">
        <v>2</v>
      </c>
      <c r="AJ32" s="68">
        <v>1050</v>
      </c>
      <c r="AL32" s="68">
        <v>2</v>
      </c>
      <c r="AM32" s="68">
        <f>AM24*0.7</f>
        <v>210</v>
      </c>
      <c r="AO32" s="68">
        <v>2136</v>
      </c>
      <c r="AP32" s="68">
        <v>836</v>
      </c>
      <c r="AQ32" s="68">
        <f>AO32-AP32</f>
        <v>1300</v>
      </c>
      <c r="AS32" s="72"/>
      <c r="AZ32" s="68" t="s">
        <v>143</v>
      </c>
      <c r="BA32" s="72" t="s">
        <v>144</v>
      </c>
      <c r="BN32" s="68" t="s">
        <v>417</v>
      </c>
      <c r="BW32" s="68" t="s">
        <v>133</v>
      </c>
      <c r="CI32" s="88"/>
      <c r="CJ32" s="88"/>
    </row>
    <row r="33" spans="4:99" ht="20.100000000000001" customHeight="1">
      <c r="F33" s="68" t="s">
        <v>146</v>
      </c>
      <c r="G33" s="72" t="s">
        <v>418</v>
      </c>
      <c r="H33" s="72"/>
      <c r="I33" s="68">
        <f t="shared" ref="I33:I36" si="4">K33/5*2</f>
        <v>70</v>
      </c>
      <c r="J33" s="68">
        <v>2</v>
      </c>
      <c r="K33" s="68">
        <v>175</v>
      </c>
      <c r="L33" s="68">
        <v>280</v>
      </c>
      <c r="N33" s="68" t="s">
        <v>419</v>
      </c>
      <c r="Q33" s="68" t="s">
        <v>420</v>
      </c>
      <c r="S33" s="68">
        <v>8</v>
      </c>
      <c r="AE33" s="68">
        <f t="shared" ref="AE33:AE37" si="5">AF33-AF32</f>
        <v>0</v>
      </c>
      <c r="AF33" s="68">
        <v>2</v>
      </c>
      <c r="AG33" s="68">
        <v>210</v>
      </c>
      <c r="AI33" s="68">
        <v>2</v>
      </c>
      <c r="AJ33" s="68">
        <v>1050</v>
      </c>
      <c r="AL33" s="68">
        <v>2</v>
      </c>
      <c r="AM33" s="68">
        <f t="shared" ref="AM33:AM37" si="6">AM25*0.7</f>
        <v>210</v>
      </c>
      <c r="AQ33" s="68">
        <f>AQ32*2.25</f>
        <v>2925</v>
      </c>
      <c r="AR33" s="68">
        <f>AQ33*0.3</f>
        <v>877.5</v>
      </c>
      <c r="AZ33" s="68" t="s">
        <v>156</v>
      </c>
      <c r="BA33" s="72" t="s">
        <v>157</v>
      </c>
      <c r="BN33" s="68" t="s">
        <v>421</v>
      </c>
      <c r="BO33" s="72" t="s">
        <v>422</v>
      </c>
      <c r="BY33" s="68" t="s">
        <v>146</v>
      </c>
      <c r="BZ33" s="72" t="s">
        <v>423</v>
      </c>
      <c r="CG33" s="68" t="s">
        <v>424</v>
      </c>
      <c r="CI33" s="88"/>
      <c r="CJ33" s="88"/>
    </row>
    <row r="34" spans="4:99" ht="20.100000000000001" customHeight="1">
      <c r="I34" s="68">
        <f t="shared" si="4"/>
        <v>80</v>
      </c>
      <c r="J34" s="68">
        <v>3</v>
      </c>
      <c r="K34" s="68">
        <v>200</v>
      </c>
      <c r="L34" s="68">
        <v>360</v>
      </c>
      <c r="S34" s="68">
        <v>9</v>
      </c>
      <c r="AE34" s="68">
        <f t="shared" si="5"/>
        <v>0</v>
      </c>
      <c r="AF34" s="68">
        <v>2</v>
      </c>
      <c r="AG34" s="68">
        <v>420</v>
      </c>
      <c r="AI34" s="68">
        <v>2</v>
      </c>
      <c r="AJ34" s="68">
        <v>1400</v>
      </c>
      <c r="AK34" s="68">
        <f t="shared" ref="AK34:AK37" si="7">AJ34-AJ33</f>
        <v>350</v>
      </c>
      <c r="AL34" s="68">
        <v>2</v>
      </c>
      <c r="AM34" s="68">
        <f t="shared" si="6"/>
        <v>420</v>
      </c>
      <c r="AS34" s="72"/>
      <c r="AZ34" s="68" t="s">
        <v>168</v>
      </c>
      <c r="BA34" s="72" t="s">
        <v>169</v>
      </c>
      <c r="BZ34" s="72" t="s">
        <v>425</v>
      </c>
      <c r="CI34" s="88"/>
      <c r="CJ34" s="88"/>
    </row>
    <row r="35" spans="4:99" ht="20.100000000000001" customHeight="1">
      <c r="I35" s="68">
        <f t="shared" si="4"/>
        <v>90</v>
      </c>
      <c r="J35" s="68">
        <v>4</v>
      </c>
      <c r="K35" s="68">
        <v>225</v>
      </c>
      <c r="L35" s="68">
        <v>420</v>
      </c>
      <c r="S35" s="68">
        <v>10</v>
      </c>
      <c r="AE35" s="68">
        <f t="shared" si="5"/>
        <v>0</v>
      </c>
      <c r="AF35" s="68">
        <v>2</v>
      </c>
      <c r="AG35" s="68">
        <v>700</v>
      </c>
      <c r="AI35" s="68">
        <v>2</v>
      </c>
      <c r="AJ35" s="68">
        <v>1750</v>
      </c>
      <c r="AK35" s="68">
        <f t="shared" si="7"/>
        <v>350</v>
      </c>
      <c r="AL35" s="68">
        <v>2</v>
      </c>
      <c r="AM35" s="68">
        <f t="shared" si="6"/>
        <v>700</v>
      </c>
      <c r="AS35" s="72"/>
      <c r="AZ35" s="68" t="s">
        <v>187</v>
      </c>
      <c r="BA35" s="72" t="s">
        <v>188</v>
      </c>
      <c r="CI35" s="88"/>
      <c r="CJ35" s="88"/>
    </row>
    <row r="36" spans="4:99" ht="20.100000000000001" customHeight="1">
      <c r="I36" s="68">
        <f t="shared" si="4"/>
        <v>100</v>
      </c>
      <c r="J36" s="68">
        <v>5</v>
      </c>
      <c r="K36" s="68">
        <v>250</v>
      </c>
      <c r="L36" s="68">
        <v>500</v>
      </c>
      <c r="AE36" s="68">
        <f t="shared" si="5"/>
        <v>0</v>
      </c>
      <c r="AF36" s="68">
        <v>2</v>
      </c>
      <c r="AG36" s="68">
        <v>1050</v>
      </c>
      <c r="AI36" s="68">
        <v>2</v>
      </c>
      <c r="AJ36" s="68">
        <v>2100</v>
      </c>
      <c r="AK36" s="68">
        <f t="shared" si="7"/>
        <v>350</v>
      </c>
      <c r="AL36" s="68">
        <v>2</v>
      </c>
      <c r="AM36" s="68">
        <f t="shared" si="6"/>
        <v>1050</v>
      </c>
      <c r="AS36" s="72"/>
      <c r="AZ36" s="68" t="s">
        <v>205</v>
      </c>
      <c r="BA36" s="72" t="s">
        <v>206</v>
      </c>
      <c r="BO36" s="72"/>
      <c r="CI36" s="88"/>
      <c r="CJ36" s="88"/>
    </row>
    <row r="37" spans="4:99" ht="20.100000000000001" customHeight="1">
      <c r="F37" s="68" t="s">
        <v>426</v>
      </c>
      <c r="AE37" s="68">
        <f t="shared" si="5"/>
        <v>0</v>
      </c>
      <c r="AF37" s="68">
        <v>2</v>
      </c>
      <c r="AG37" s="68">
        <v>1400</v>
      </c>
      <c r="AI37" s="68">
        <v>2</v>
      </c>
      <c r="AJ37" s="68">
        <v>2450</v>
      </c>
      <c r="AK37" s="68">
        <f t="shared" si="7"/>
        <v>350</v>
      </c>
      <c r="AL37" s="68">
        <v>2</v>
      </c>
      <c r="AM37" s="68">
        <f t="shared" si="6"/>
        <v>1400</v>
      </c>
      <c r="AS37" s="72"/>
      <c r="AZ37" s="68" t="s">
        <v>223</v>
      </c>
      <c r="BA37" s="72" t="s">
        <v>224</v>
      </c>
      <c r="BO37" s="72"/>
      <c r="BW37" s="68" t="s">
        <v>427</v>
      </c>
      <c r="BY37" s="68" t="s">
        <v>100</v>
      </c>
      <c r="BZ37" s="72"/>
      <c r="CO37" s="68" t="s">
        <v>428</v>
      </c>
      <c r="CP37" s="68">
        <v>1</v>
      </c>
      <c r="CQ37" s="68" t="s">
        <v>429</v>
      </c>
    </row>
    <row r="38" spans="4:99" ht="20.100000000000001" customHeight="1">
      <c r="D38" s="68">
        <v>14080001</v>
      </c>
      <c r="E38" s="68" t="s">
        <v>430</v>
      </c>
      <c r="F38" s="68" t="s">
        <v>431</v>
      </c>
      <c r="G38" s="72" t="s">
        <v>432</v>
      </c>
      <c r="J38" s="68" t="s">
        <v>433</v>
      </c>
      <c r="AS38" s="72"/>
      <c r="AZ38" s="68" t="s">
        <v>242</v>
      </c>
      <c r="BA38" s="72" t="s">
        <v>243</v>
      </c>
      <c r="BV38" s="20" t="s">
        <v>434</v>
      </c>
      <c r="BX38" s="68">
        <v>30</v>
      </c>
      <c r="BY38" s="68" t="s">
        <v>435</v>
      </c>
      <c r="BZ38" s="72" t="s">
        <v>436</v>
      </c>
      <c r="CG38" s="68" t="s">
        <v>437</v>
      </c>
      <c r="CP38" s="68">
        <v>2</v>
      </c>
      <c r="CQ38" s="68" t="s">
        <v>429</v>
      </c>
      <c r="CR38" s="72" t="s">
        <v>438</v>
      </c>
      <c r="CS38" s="72"/>
      <c r="CT38" s="72"/>
      <c r="CU38" s="72"/>
    </row>
    <row r="39" spans="4:99" ht="20.100000000000001" customHeight="1">
      <c r="D39" s="68">
        <v>14080002</v>
      </c>
      <c r="E39" s="68" t="s">
        <v>439</v>
      </c>
      <c r="G39" s="72" t="s">
        <v>440</v>
      </c>
      <c r="J39" s="68">
        <v>1</v>
      </c>
      <c r="K39" s="68">
        <v>120</v>
      </c>
      <c r="L39" s="68">
        <v>100</v>
      </c>
      <c r="AS39" s="72"/>
      <c r="AZ39" s="68" t="s">
        <v>255</v>
      </c>
      <c r="BA39" s="72" t="s">
        <v>256</v>
      </c>
      <c r="BS39" s="68" t="s">
        <v>441</v>
      </c>
      <c r="BU39" s="68" t="s">
        <v>442</v>
      </c>
      <c r="BX39" s="68">
        <v>35</v>
      </c>
      <c r="BY39" s="68" t="s">
        <v>443</v>
      </c>
      <c r="BZ39" s="72" t="s">
        <v>444</v>
      </c>
      <c r="CG39" s="68" t="s">
        <v>445</v>
      </c>
      <c r="CI39" s="68" t="s">
        <v>446</v>
      </c>
      <c r="CP39" s="68">
        <v>3</v>
      </c>
      <c r="CQ39" s="68" t="s">
        <v>429</v>
      </c>
      <c r="CR39" s="72"/>
      <c r="CS39" s="72" t="s">
        <v>447</v>
      </c>
      <c r="CT39" s="72"/>
      <c r="CU39" s="72"/>
    </row>
    <row r="40" spans="4:99" ht="20.100000000000001" customHeight="1">
      <c r="D40" s="68">
        <v>14080003</v>
      </c>
      <c r="E40" s="68" t="s">
        <v>448</v>
      </c>
      <c r="G40" s="72" t="s">
        <v>449</v>
      </c>
      <c r="J40" s="68">
        <v>2</v>
      </c>
      <c r="K40" s="68">
        <v>140</v>
      </c>
      <c r="L40" s="68">
        <v>150</v>
      </c>
      <c r="T40"/>
      <c r="AZ40" s="68" t="s">
        <v>156</v>
      </c>
      <c r="BA40" s="72" t="s">
        <v>265</v>
      </c>
      <c r="BN40" s="72" t="s">
        <v>450</v>
      </c>
      <c r="BX40" s="68">
        <v>40</v>
      </c>
      <c r="BY40" s="68" t="s">
        <v>451</v>
      </c>
      <c r="BZ40" s="72" t="s">
        <v>452</v>
      </c>
      <c r="CG40" s="68" t="s">
        <v>453</v>
      </c>
      <c r="CI40" s="68" t="s">
        <v>454</v>
      </c>
      <c r="CP40" s="68">
        <v>4</v>
      </c>
      <c r="CQ40" s="68" t="s">
        <v>429</v>
      </c>
      <c r="CR40" s="72"/>
      <c r="CS40" s="72"/>
      <c r="CT40" s="72" t="s">
        <v>455</v>
      </c>
      <c r="CU40" s="72"/>
    </row>
    <row r="41" spans="4:99" ht="20.100000000000001" customHeight="1">
      <c r="D41" s="68">
        <v>15208001</v>
      </c>
      <c r="E41" s="68" t="s">
        <v>456</v>
      </c>
      <c r="G41" s="72" t="s">
        <v>457</v>
      </c>
      <c r="J41" s="68">
        <v>3</v>
      </c>
      <c r="K41" s="68">
        <v>160</v>
      </c>
      <c r="L41" s="68">
        <v>200</v>
      </c>
      <c r="T41" s="80"/>
      <c r="AS41" s="72"/>
      <c r="AZ41" s="68" t="s">
        <v>276</v>
      </c>
      <c r="BA41" s="72" t="s">
        <v>277</v>
      </c>
      <c r="BN41" s="72" t="s">
        <v>458</v>
      </c>
      <c r="BX41" s="68">
        <v>50</v>
      </c>
      <c r="BY41" s="68" t="s">
        <v>459</v>
      </c>
      <c r="BZ41" s="72" t="s">
        <v>460</v>
      </c>
      <c r="CP41" s="68">
        <v>5</v>
      </c>
      <c r="CQ41" s="68" t="s">
        <v>429</v>
      </c>
      <c r="CR41" s="72"/>
      <c r="CS41" s="72"/>
      <c r="CT41" s="72"/>
      <c r="CU41" s="72" t="s">
        <v>461</v>
      </c>
    </row>
    <row r="42" spans="4:99" ht="20.100000000000001" customHeight="1">
      <c r="D42" s="68">
        <v>15208002</v>
      </c>
      <c r="E42" s="68" t="s">
        <v>462</v>
      </c>
      <c r="F42" s="68" t="s">
        <v>463</v>
      </c>
      <c r="G42" s="72" t="s">
        <v>464</v>
      </c>
      <c r="J42" s="68">
        <v>4</v>
      </c>
      <c r="K42" s="68">
        <v>180</v>
      </c>
      <c r="L42" s="68">
        <v>250</v>
      </c>
      <c r="T42" s="81"/>
      <c r="AS42" s="72"/>
      <c r="AZ42" s="68" t="s">
        <v>288</v>
      </c>
      <c r="BA42" s="72" t="s">
        <v>289</v>
      </c>
      <c r="BO42" s="68" t="s">
        <v>465</v>
      </c>
      <c r="BZ42" s="72"/>
      <c r="CH42" s="68" t="s">
        <v>466</v>
      </c>
    </row>
    <row r="43" spans="4:99" ht="20.100000000000001" customHeight="1">
      <c r="D43" s="68">
        <v>15308001</v>
      </c>
      <c r="E43" s="68" t="s">
        <v>467</v>
      </c>
      <c r="G43" s="72" t="s">
        <v>468</v>
      </c>
      <c r="J43" s="68">
        <v>5</v>
      </c>
      <c r="K43" s="68">
        <v>200</v>
      </c>
      <c r="L43" s="68">
        <v>300</v>
      </c>
      <c r="T43" s="82"/>
      <c r="AS43" s="72"/>
      <c r="AZ43" s="68" t="s">
        <v>300</v>
      </c>
      <c r="BA43" s="72" t="s">
        <v>469</v>
      </c>
      <c r="BN43" s="72" t="s">
        <v>470</v>
      </c>
      <c r="BW43" s="68" t="s">
        <v>269</v>
      </c>
      <c r="BX43" s="68" t="s">
        <v>471</v>
      </c>
      <c r="BY43" s="68" t="s">
        <v>472</v>
      </c>
      <c r="BZ43" s="72" t="s">
        <v>473</v>
      </c>
    </row>
    <row r="44" spans="4:99" ht="20.100000000000001" customHeight="1">
      <c r="D44" s="68">
        <v>15308002</v>
      </c>
      <c r="E44" s="68" t="s">
        <v>474</v>
      </c>
      <c r="G44" s="72" t="s">
        <v>475</v>
      </c>
      <c r="T44" s="83"/>
      <c r="AS44" s="72"/>
    </row>
    <row r="45" spans="4:99" ht="20.100000000000001" customHeight="1">
      <c r="D45" s="68">
        <v>15408001</v>
      </c>
      <c r="E45" s="68" t="s">
        <v>476</v>
      </c>
      <c r="G45" s="72" t="s">
        <v>477</v>
      </c>
      <c r="T45" s="84"/>
      <c r="AS45" s="72"/>
      <c r="BW45" s="68" t="s">
        <v>133</v>
      </c>
      <c r="CO45" s="68" t="s">
        <v>478</v>
      </c>
      <c r="CP45" s="68">
        <v>1</v>
      </c>
      <c r="CQ45" s="68" t="s">
        <v>479</v>
      </c>
    </row>
    <row r="46" spans="4:99" ht="20.100000000000001" customHeight="1">
      <c r="D46" s="68">
        <v>15408002</v>
      </c>
      <c r="E46" s="68" t="s">
        <v>480</v>
      </c>
      <c r="G46" s="72" t="s">
        <v>481</v>
      </c>
      <c r="T46" s="80"/>
      <c r="AS46" s="72"/>
      <c r="BY46" s="68" t="s">
        <v>459</v>
      </c>
      <c r="BZ46" s="72" t="s">
        <v>482</v>
      </c>
      <c r="CP46" s="68">
        <v>2</v>
      </c>
      <c r="CQ46" s="68" t="s">
        <v>479</v>
      </c>
      <c r="CR46" s="68" t="s">
        <v>483</v>
      </c>
      <c r="CS46" s="72"/>
      <c r="CT46" s="72"/>
      <c r="CU46" s="72"/>
    </row>
    <row r="47" spans="4:99" ht="20.100000000000001" customHeight="1">
      <c r="D47" s="68">
        <v>15508001</v>
      </c>
      <c r="E47" s="68" t="s">
        <v>484</v>
      </c>
      <c r="F47" s="68" t="s">
        <v>431</v>
      </c>
      <c r="G47" s="72" t="s">
        <v>485</v>
      </c>
      <c r="T47" s="81"/>
      <c r="BY47" s="68" t="s">
        <v>146</v>
      </c>
      <c r="BZ47" s="72" t="s">
        <v>486</v>
      </c>
      <c r="CP47" s="68">
        <v>3</v>
      </c>
      <c r="CQ47" s="68" t="s">
        <v>479</v>
      </c>
      <c r="CR47" s="72"/>
      <c r="CS47" s="68" t="s">
        <v>487</v>
      </c>
      <c r="CT47" s="72"/>
      <c r="CU47" s="72"/>
    </row>
    <row r="48" spans="4:99" ht="20.100000000000001" customHeight="1">
      <c r="D48" s="68">
        <v>15508002</v>
      </c>
      <c r="E48" s="68" t="s">
        <v>488</v>
      </c>
      <c r="G48" s="72" t="s">
        <v>489</v>
      </c>
      <c r="BN48" s="68" t="s">
        <v>110</v>
      </c>
      <c r="BO48" s="72" t="s">
        <v>490</v>
      </c>
      <c r="CP48" s="68">
        <v>4</v>
      </c>
      <c r="CQ48" s="68" t="s">
        <v>479</v>
      </c>
      <c r="CR48" s="72"/>
      <c r="CS48" s="72"/>
      <c r="CT48" s="72" t="s">
        <v>491</v>
      </c>
      <c r="CU48" s="72"/>
    </row>
    <row r="49" spans="1:104" ht="20.100000000000001" customHeight="1">
      <c r="CP49" s="68">
        <v>5</v>
      </c>
      <c r="CQ49" s="68" t="s">
        <v>479</v>
      </c>
      <c r="CR49" s="72"/>
      <c r="CS49" s="72"/>
      <c r="CT49" s="72"/>
      <c r="CU49" s="72" t="s">
        <v>492</v>
      </c>
    </row>
    <row r="50" spans="1:104" ht="20.100000000000001" customHeight="1">
      <c r="BN50" s="68" t="s">
        <v>493</v>
      </c>
      <c r="BY50" s="78" t="s">
        <v>494</v>
      </c>
    </row>
    <row r="51" spans="1:104" ht="20.100000000000001" customHeight="1">
      <c r="B51" s="68" t="s">
        <v>495</v>
      </c>
      <c r="C51" s="68" t="s">
        <v>496</v>
      </c>
      <c r="D51" s="72" t="s">
        <v>497</v>
      </c>
      <c r="G51" s="68" t="s">
        <v>498</v>
      </c>
      <c r="BN51" s="68" t="s">
        <v>499</v>
      </c>
      <c r="BO51" s="72" t="s">
        <v>500</v>
      </c>
      <c r="BY51" s="78"/>
    </row>
    <row r="52" spans="1:104" ht="20.100000000000001" customHeight="1">
      <c r="B52" s="68" t="s">
        <v>292</v>
      </c>
      <c r="C52" s="68" t="s">
        <v>501</v>
      </c>
      <c r="D52" s="72" t="s">
        <v>502</v>
      </c>
      <c r="BN52" s="68" t="s">
        <v>310</v>
      </c>
      <c r="BO52" s="72" t="s">
        <v>503</v>
      </c>
      <c r="BY52" s="76" t="s">
        <v>504</v>
      </c>
    </row>
    <row r="53" spans="1:104" ht="20.100000000000001" customHeight="1">
      <c r="B53" s="68" t="s">
        <v>505</v>
      </c>
      <c r="C53" s="68" t="s">
        <v>506</v>
      </c>
      <c r="D53" s="72" t="s">
        <v>507</v>
      </c>
      <c r="BN53" s="68" t="s">
        <v>508</v>
      </c>
      <c r="BO53" s="68" t="s">
        <v>509</v>
      </c>
      <c r="BY53" s="76" t="s">
        <v>510</v>
      </c>
    </row>
    <row r="54" spans="1:104" ht="20.100000000000001" customHeight="1">
      <c r="B54" s="68" t="s">
        <v>511</v>
      </c>
      <c r="C54" s="68" t="s">
        <v>512</v>
      </c>
      <c r="D54" s="72" t="s">
        <v>513</v>
      </c>
      <c r="F54" s="68" t="s">
        <v>514</v>
      </c>
      <c r="BY54" s="76" t="s">
        <v>515</v>
      </c>
    </row>
    <row r="55" spans="1:104" ht="20.100000000000001" customHeight="1">
      <c r="B55" s="68" t="s">
        <v>516</v>
      </c>
      <c r="C55" s="68" t="s">
        <v>517</v>
      </c>
      <c r="D55" s="72" t="s">
        <v>518</v>
      </c>
      <c r="BO55" s="68" t="s">
        <v>519</v>
      </c>
      <c r="BY55" s="76" t="s">
        <v>520</v>
      </c>
    </row>
    <row r="56" spans="1:104" ht="20.100000000000001" customHeight="1">
      <c r="D56" s="72" t="s">
        <v>521</v>
      </c>
      <c r="BN56" s="68" t="s">
        <v>522</v>
      </c>
      <c r="BY56" s="76" t="s">
        <v>523</v>
      </c>
    </row>
    <row r="57" spans="1:104" ht="20.100000000000001" customHeight="1">
      <c r="B57" s="68" t="s">
        <v>524</v>
      </c>
      <c r="C57" s="68" t="s">
        <v>525</v>
      </c>
      <c r="D57" s="72" t="s">
        <v>526</v>
      </c>
      <c r="E57" s="68" t="s">
        <v>527</v>
      </c>
      <c r="BN57" s="68" t="s">
        <v>528</v>
      </c>
      <c r="BY57" s="76" t="s">
        <v>529</v>
      </c>
    </row>
    <row r="58" spans="1:104" ht="20.100000000000001" customHeight="1">
      <c r="D58" s="72"/>
      <c r="BN58" s="68" t="s">
        <v>530</v>
      </c>
      <c r="BY58" s="76"/>
      <c r="CP58" s="68">
        <v>210</v>
      </c>
    </row>
    <row r="59" spans="1:104" ht="20.100000000000001" customHeight="1">
      <c r="B59" s="68" t="s">
        <v>531</v>
      </c>
      <c r="C59" s="68" t="s">
        <v>532</v>
      </c>
      <c r="D59" s="72" t="s">
        <v>533</v>
      </c>
      <c r="BM59" s="68" t="s">
        <v>534</v>
      </c>
      <c r="BN59" s="86" t="s">
        <v>535</v>
      </c>
      <c r="BY59" s="76" t="s">
        <v>536</v>
      </c>
      <c r="CP59" s="68">
        <v>420</v>
      </c>
      <c r="CQ59" s="68">
        <f>CP59-CP58</f>
        <v>210</v>
      </c>
    </row>
    <row r="60" spans="1:104" ht="20.100000000000001" customHeight="1">
      <c r="BY60" s="76"/>
      <c r="CP60" s="68">
        <v>700</v>
      </c>
      <c r="CQ60" s="68">
        <f t="shared" ref="CQ60:CQ62" si="8">CP60-CP59</f>
        <v>280</v>
      </c>
    </row>
    <row r="61" spans="1:104" ht="20.100000000000001" customHeight="1">
      <c r="D61" s="72" t="s">
        <v>537</v>
      </c>
      <c r="CP61" s="68">
        <v>1050</v>
      </c>
      <c r="CQ61" s="68">
        <f t="shared" si="8"/>
        <v>350</v>
      </c>
    </row>
    <row r="62" spans="1:104" ht="20.100000000000001" customHeight="1">
      <c r="A62" s="68" t="s">
        <v>538</v>
      </c>
      <c r="B62" s="68" t="s">
        <v>539</v>
      </c>
      <c r="D62" s="68" t="s">
        <v>540</v>
      </c>
      <c r="E62" s="77" t="s">
        <v>531</v>
      </c>
      <c r="CP62" s="68">
        <v>1400</v>
      </c>
      <c r="CQ62" s="68">
        <f t="shared" si="8"/>
        <v>350</v>
      </c>
    </row>
    <row r="63" spans="1:104" ht="20.100000000000001" customHeight="1">
      <c r="D63" s="68" t="s">
        <v>541</v>
      </c>
      <c r="E63" s="77" t="s">
        <v>542</v>
      </c>
      <c r="CA63" s="87" t="s">
        <v>543</v>
      </c>
    </row>
    <row r="64" spans="1:104" ht="20.100000000000001" customHeight="1">
      <c r="A64" s="68" t="s">
        <v>544</v>
      </c>
      <c r="B64" s="68" t="s">
        <v>545</v>
      </c>
      <c r="D64" s="68" t="s">
        <v>546</v>
      </c>
      <c r="E64" s="77" t="s">
        <v>547</v>
      </c>
      <c r="G64" s="68" t="s">
        <v>548</v>
      </c>
      <c r="BR64" s="68" t="s">
        <v>471</v>
      </c>
      <c r="BY64" s="68">
        <v>3</v>
      </c>
      <c r="CA64" s="87" t="s">
        <v>543</v>
      </c>
      <c r="CK64" s="68">
        <v>27506</v>
      </c>
      <c r="CP64" s="68">
        <v>750</v>
      </c>
      <c r="CR64" s="68">
        <f>CP64</f>
        <v>750</v>
      </c>
      <c r="CS64" s="68">
        <f>CR64/2</f>
        <v>375</v>
      </c>
      <c r="CT64" s="68">
        <v>1.75</v>
      </c>
      <c r="CV64" s="68">
        <f>CR64*1.2</f>
        <v>900</v>
      </c>
      <c r="CX64" s="68">
        <f>CV64*2</f>
        <v>1800</v>
      </c>
      <c r="CY64" s="68">
        <v>500</v>
      </c>
      <c r="CZ64" s="68">
        <v>500</v>
      </c>
    </row>
    <row r="65" spans="2:104" ht="20.100000000000001" customHeight="1">
      <c r="D65" s="68" t="s">
        <v>549</v>
      </c>
      <c r="E65" s="77" t="s">
        <v>550</v>
      </c>
      <c r="BN65" s="68" t="s">
        <v>551</v>
      </c>
      <c r="CA65" s="87" t="s">
        <v>552</v>
      </c>
      <c r="CK65" s="68">
        <v>3500</v>
      </c>
      <c r="CL65" s="68">
        <f>CK65*2.5</f>
        <v>8750</v>
      </c>
      <c r="CM65" s="68">
        <v>500</v>
      </c>
      <c r="CN65" s="68">
        <f>CM65+CL65</f>
        <v>9250</v>
      </c>
      <c r="CP65" s="68">
        <v>1250</v>
      </c>
      <c r="CQ65" s="68">
        <v>750</v>
      </c>
      <c r="CR65" s="68">
        <f>CQ65+CP64</f>
        <v>1500</v>
      </c>
      <c r="CS65" s="68">
        <f t="shared" ref="CS65:CS68" si="9">CR65/2</f>
        <v>750</v>
      </c>
      <c r="CT65" s="68">
        <v>2</v>
      </c>
      <c r="CV65" s="68">
        <f t="shared" ref="CV65" si="10">CR65*1.2</f>
        <v>1800</v>
      </c>
      <c r="CW65" s="68">
        <f>CV65-CV64</f>
        <v>900</v>
      </c>
      <c r="CX65" s="68">
        <f t="shared" ref="CX65:CX68" si="11">CV65*2</f>
        <v>3600</v>
      </c>
      <c r="CY65" s="68">
        <v>300</v>
      </c>
      <c r="CZ65" s="68">
        <f>CZ64+CY65</f>
        <v>800</v>
      </c>
    </row>
    <row r="66" spans="2:104" ht="20.100000000000001" customHeight="1">
      <c r="D66" s="68" t="s">
        <v>553</v>
      </c>
      <c r="E66" s="77" t="s">
        <v>554</v>
      </c>
      <c r="G66" s="68" t="s">
        <v>555</v>
      </c>
      <c r="CA66" s="87" t="s">
        <v>556</v>
      </c>
      <c r="CK66" s="68">
        <v>3500</v>
      </c>
      <c r="CL66" s="68">
        <f>CK66*2</f>
        <v>7000</v>
      </c>
      <c r="CM66" s="68">
        <v>2000</v>
      </c>
      <c r="CN66" s="68">
        <f>CM66+CL66</f>
        <v>9000</v>
      </c>
      <c r="CP66" s="68">
        <v>1750</v>
      </c>
      <c r="CQ66" s="68">
        <v>750</v>
      </c>
      <c r="CR66" s="68">
        <f t="shared" ref="CR66:CR68" si="12">CQ66+CR65</f>
        <v>2250</v>
      </c>
      <c r="CS66" s="68">
        <f t="shared" si="9"/>
        <v>1125</v>
      </c>
      <c r="CT66" s="68">
        <v>2.25</v>
      </c>
      <c r="CV66" s="68">
        <v>2800</v>
      </c>
      <c r="CW66" s="68">
        <f t="shared" ref="CW66:CW68" si="13">CV66-CV65</f>
        <v>1000</v>
      </c>
      <c r="CX66" s="68">
        <f t="shared" si="11"/>
        <v>5600</v>
      </c>
      <c r="CY66" s="68">
        <v>350</v>
      </c>
      <c r="CZ66" s="68">
        <f t="shared" ref="CZ66:CZ68" si="14">CZ65+CY66</f>
        <v>1150</v>
      </c>
    </row>
    <row r="67" spans="2:104" ht="20.100000000000001" customHeight="1">
      <c r="D67" s="68" t="s">
        <v>557</v>
      </c>
      <c r="E67" s="77" t="s">
        <v>558</v>
      </c>
      <c r="F67" s="68" t="s">
        <v>559</v>
      </c>
      <c r="G67" s="68" t="s">
        <v>560</v>
      </c>
      <c r="BN67" s="68" t="s">
        <v>561</v>
      </c>
      <c r="BQ67" s="68" t="s">
        <v>561</v>
      </c>
      <c r="BR67" s="68" t="s">
        <v>562</v>
      </c>
      <c r="BS67" s="68" t="s">
        <v>16</v>
      </c>
      <c r="CA67" s="87" t="s">
        <v>563</v>
      </c>
      <c r="CP67" s="68">
        <v>2250</v>
      </c>
      <c r="CQ67" s="68">
        <v>1000</v>
      </c>
      <c r="CR67" s="68">
        <f t="shared" si="12"/>
        <v>3250</v>
      </c>
      <c r="CS67" s="68">
        <f t="shared" si="9"/>
        <v>1625</v>
      </c>
      <c r="CT67" s="68">
        <v>2.5</v>
      </c>
      <c r="CV67" s="68">
        <v>4000</v>
      </c>
      <c r="CW67" s="68">
        <f t="shared" si="13"/>
        <v>1200</v>
      </c>
      <c r="CX67" s="68">
        <f t="shared" si="11"/>
        <v>8000</v>
      </c>
      <c r="CY67" s="68">
        <v>400</v>
      </c>
      <c r="CZ67" s="68">
        <f t="shared" si="14"/>
        <v>1550</v>
      </c>
    </row>
    <row r="68" spans="2:104" ht="20.100000000000001" customHeight="1">
      <c r="BN68" s="68">
        <v>1</v>
      </c>
      <c r="BO68" s="6" t="s">
        <v>564</v>
      </c>
      <c r="BQ68" s="68">
        <v>6</v>
      </c>
      <c r="BR68" s="68">
        <v>7</v>
      </c>
      <c r="BS68" s="68" t="s">
        <v>565</v>
      </c>
      <c r="BT68" s="72" t="s">
        <v>566</v>
      </c>
      <c r="CA68" s="87" t="s">
        <v>567</v>
      </c>
      <c r="CP68" s="68">
        <v>2750</v>
      </c>
      <c r="CQ68" s="68">
        <v>1000</v>
      </c>
      <c r="CR68" s="68">
        <f t="shared" si="12"/>
        <v>4250</v>
      </c>
      <c r="CS68" s="68">
        <f t="shared" si="9"/>
        <v>2125</v>
      </c>
      <c r="CT68" s="68">
        <v>2.75</v>
      </c>
      <c r="CV68" s="68">
        <v>5200</v>
      </c>
      <c r="CW68" s="68">
        <f t="shared" si="13"/>
        <v>1200</v>
      </c>
      <c r="CX68" s="68">
        <f t="shared" si="11"/>
        <v>10400</v>
      </c>
      <c r="CY68" s="68">
        <v>500</v>
      </c>
      <c r="CZ68" s="68">
        <f t="shared" si="14"/>
        <v>2050</v>
      </c>
    </row>
    <row r="69" spans="2:104" ht="20.100000000000001" customHeight="1">
      <c r="BN69" s="68">
        <v>2</v>
      </c>
      <c r="BO69" s="6" t="s">
        <v>568</v>
      </c>
      <c r="BQ69" s="68">
        <v>4</v>
      </c>
      <c r="BR69" s="68">
        <v>7</v>
      </c>
      <c r="BS69" s="68" t="s">
        <v>569</v>
      </c>
      <c r="BT69" s="72" t="s">
        <v>570</v>
      </c>
    </row>
    <row r="70" spans="2:104" ht="20.100000000000001" customHeight="1">
      <c r="B70" s="68" t="s">
        <v>571</v>
      </c>
      <c r="E70" s="68" t="s">
        <v>572</v>
      </c>
      <c r="BN70" s="68">
        <v>3</v>
      </c>
      <c r="BO70" s="6" t="s">
        <v>573</v>
      </c>
      <c r="BQ70" s="68">
        <v>3</v>
      </c>
      <c r="BR70" s="68">
        <v>7</v>
      </c>
      <c r="BS70" s="68" t="s">
        <v>574</v>
      </c>
      <c r="BT70" s="77" t="s">
        <v>575</v>
      </c>
    </row>
    <row r="71" spans="2:104" ht="20.100000000000001" customHeight="1">
      <c r="BN71" s="68">
        <v>4</v>
      </c>
      <c r="BO71" s="6" t="s">
        <v>576</v>
      </c>
      <c r="BQ71" s="68">
        <v>5</v>
      </c>
      <c r="BR71" s="68">
        <v>7</v>
      </c>
      <c r="BS71" s="68" t="s">
        <v>577</v>
      </c>
      <c r="BT71" s="77" t="s">
        <v>578</v>
      </c>
      <c r="CR71" s="68">
        <v>1000</v>
      </c>
      <c r="CT71" s="68">
        <v>1.75</v>
      </c>
    </row>
    <row r="72" spans="2:104" ht="20.100000000000001" customHeight="1">
      <c r="BN72" s="68">
        <v>5</v>
      </c>
      <c r="BO72" s="6" t="s">
        <v>579</v>
      </c>
      <c r="BQ72" s="68">
        <v>5</v>
      </c>
      <c r="BR72" s="68">
        <v>7</v>
      </c>
      <c r="BS72" s="68" t="s">
        <v>580</v>
      </c>
      <c r="BT72" s="77" t="s">
        <v>581</v>
      </c>
      <c r="CQ72" s="68">
        <v>500</v>
      </c>
      <c r="CR72" s="68">
        <f>CQ72+CR71</f>
        <v>1500</v>
      </c>
      <c r="CT72" s="68">
        <v>2</v>
      </c>
    </row>
    <row r="73" spans="2:104" ht="20.100000000000001" customHeight="1">
      <c r="BN73" s="68">
        <v>6</v>
      </c>
      <c r="BO73" s="6" t="s">
        <v>582</v>
      </c>
      <c r="BQ73" s="68">
        <v>3</v>
      </c>
      <c r="BR73" s="68">
        <v>7</v>
      </c>
      <c r="BS73" s="68" t="s">
        <v>583</v>
      </c>
      <c r="BT73" s="77" t="s">
        <v>584</v>
      </c>
      <c r="CQ73" s="68">
        <v>500</v>
      </c>
      <c r="CR73" s="68">
        <f t="shared" ref="CR73:CR75" si="15">CQ73+CR72</f>
        <v>2000</v>
      </c>
      <c r="CT73" s="68">
        <v>2.25</v>
      </c>
    </row>
    <row r="74" spans="2:104" ht="20.100000000000001" customHeight="1">
      <c r="BN74" s="68">
        <v>7</v>
      </c>
      <c r="BO74" s="6" t="s">
        <v>585</v>
      </c>
      <c r="BQ74" s="68">
        <v>4</v>
      </c>
      <c r="BR74" s="68">
        <v>7</v>
      </c>
      <c r="BS74" s="68" t="s">
        <v>586</v>
      </c>
      <c r="BT74" s="77" t="s">
        <v>587</v>
      </c>
      <c r="CC74" s="96">
        <v>0.25</v>
      </c>
      <c r="CQ74" s="68">
        <v>750</v>
      </c>
      <c r="CR74" s="68">
        <f t="shared" si="15"/>
        <v>2750</v>
      </c>
      <c r="CT74" s="68">
        <v>2.5</v>
      </c>
    </row>
    <row r="75" spans="2:104" ht="20.100000000000001" customHeight="1">
      <c r="CQ75" s="68">
        <v>750</v>
      </c>
      <c r="CR75" s="68">
        <f t="shared" si="15"/>
        <v>3500</v>
      </c>
      <c r="CT75" s="68">
        <v>2.75</v>
      </c>
    </row>
    <row r="76" spans="2:104" ht="20.100000000000001" customHeight="1">
      <c r="CC76" s="96">
        <v>0.1</v>
      </c>
    </row>
    <row r="77" spans="2:104" ht="20.100000000000001" customHeight="1">
      <c r="CC77" s="96">
        <v>2.5</v>
      </c>
    </row>
    <row r="78" spans="2:104" ht="20.100000000000001" customHeight="1">
      <c r="CW78" s="97"/>
    </row>
    <row r="79" spans="2:104" ht="20.100000000000001" customHeight="1">
      <c r="BN79" s="68" t="s">
        <v>588</v>
      </c>
      <c r="BO79" s="68" t="s">
        <v>589</v>
      </c>
      <c r="CW79" s="97"/>
    </row>
    <row r="80" spans="2:104" ht="20.100000000000001" customHeight="1">
      <c r="BN80" s="68" t="s">
        <v>590</v>
      </c>
      <c r="BO80" s="68" t="s">
        <v>591</v>
      </c>
      <c r="CP80" s="88">
        <v>1.75</v>
      </c>
      <c r="CQ80" s="88">
        <v>750</v>
      </c>
      <c r="CW80" s="97"/>
    </row>
    <row r="81" spans="66:101">
      <c r="BN81" s="68" t="s">
        <v>592</v>
      </c>
      <c r="BO81" s="68" t="s">
        <v>593</v>
      </c>
      <c r="CP81" s="88">
        <v>1.75</v>
      </c>
      <c r="CQ81" s="88">
        <v>750</v>
      </c>
      <c r="CW81" s="97"/>
    </row>
    <row r="82" spans="66:101">
      <c r="BN82" s="68" t="s">
        <v>594</v>
      </c>
      <c r="BO82" s="68" t="s">
        <v>595</v>
      </c>
      <c r="CP82" s="88">
        <v>2</v>
      </c>
      <c r="CQ82" s="88">
        <v>1500</v>
      </c>
      <c r="CW82" s="97"/>
    </row>
    <row r="83" spans="66:101">
      <c r="BO83" s="68" t="s">
        <v>596</v>
      </c>
      <c r="CP83" s="88">
        <v>2.25</v>
      </c>
      <c r="CQ83" s="88">
        <v>2250</v>
      </c>
    </row>
    <row r="84" spans="66:101">
      <c r="CP84" s="88">
        <v>2.5</v>
      </c>
      <c r="CQ84" s="88">
        <v>3250</v>
      </c>
    </row>
    <row r="85" spans="66:101">
      <c r="BN85" s="72" t="s">
        <v>597</v>
      </c>
      <c r="CP85" s="88">
        <v>2.75</v>
      </c>
      <c r="CQ85" s="88">
        <v>4250</v>
      </c>
    </row>
    <row r="86" spans="66:101">
      <c r="BN86" s="72" t="s">
        <v>598</v>
      </c>
    </row>
    <row r="87" spans="66:101">
      <c r="BN87" s="72" t="s">
        <v>599</v>
      </c>
      <c r="BP87" s="68" t="s">
        <v>600</v>
      </c>
    </row>
    <row r="89" spans="66:101">
      <c r="BN89" s="68" t="s">
        <v>601</v>
      </c>
      <c r="BQ89" s="68" t="s">
        <v>602</v>
      </c>
    </row>
  </sheetData>
  <mergeCells count="21">
    <mergeCell ref="CP23:CP25"/>
    <mergeCell ref="CP26:CP28"/>
    <mergeCell ref="CP8:CP10"/>
    <mergeCell ref="CP11:CP13"/>
    <mergeCell ref="CP14:CP16"/>
    <mergeCell ref="CP17:CP19"/>
    <mergeCell ref="CP20:CP22"/>
    <mergeCell ref="K18:K20"/>
    <mergeCell ref="K21:K23"/>
    <mergeCell ref="AX4:AX6"/>
    <mergeCell ref="AX7:AX9"/>
    <mergeCell ref="AX10:AX12"/>
    <mergeCell ref="AX13:AX15"/>
    <mergeCell ref="AX16:AX18"/>
    <mergeCell ref="AX19:AX21"/>
    <mergeCell ref="AX22:AX24"/>
    <mergeCell ref="K3:K5"/>
    <mergeCell ref="K6:K8"/>
    <mergeCell ref="K9:K11"/>
    <mergeCell ref="K12:K14"/>
    <mergeCell ref="K15:K17"/>
  </mergeCells>
  <phoneticPr fontId="35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110"/>
  <sheetViews>
    <sheetView topLeftCell="AH34" workbookViewId="0">
      <selection activeCell="AP51" sqref="AP51"/>
    </sheetView>
  </sheetViews>
  <sheetFormatPr defaultColWidth="9" defaultRowHeight="14.25"/>
  <cols>
    <col min="3" max="3" width="56.875" customWidth="1"/>
    <col min="4" max="4" width="11.375" customWidth="1"/>
    <col min="8" max="8" width="12.875" customWidth="1"/>
    <col min="9" max="9" width="12.625" customWidth="1"/>
    <col min="10" max="10" width="12.75" customWidth="1"/>
    <col min="11" max="11" width="53.125" customWidth="1"/>
    <col min="12" max="12" width="76.5" customWidth="1"/>
    <col min="13" max="13" width="38.25" customWidth="1"/>
    <col min="14" max="14" width="12.625" customWidth="1"/>
    <col min="15" max="15" width="44.25" customWidth="1"/>
    <col min="16" max="16" width="13.125" customWidth="1"/>
    <col min="17" max="20" width="14.25" customWidth="1"/>
    <col min="21" max="22" width="12.375" customWidth="1"/>
    <col min="23" max="24" width="11.75" customWidth="1"/>
    <col min="25" max="25" width="15" bestFit="1" customWidth="1"/>
    <col min="26" max="26" width="14.875" customWidth="1"/>
    <col min="27" max="27" width="11.75" customWidth="1"/>
    <col min="28" max="28" width="11.25" customWidth="1"/>
    <col min="29" max="29" width="14.875" customWidth="1"/>
    <col min="30" max="30" width="11.125"/>
    <col min="31" max="31" width="13.375" customWidth="1"/>
    <col min="34" max="34" width="9" style="22"/>
    <col min="43" max="43" width="15" bestFit="1" customWidth="1"/>
    <col min="46" max="46" width="15" bestFit="1" customWidth="1"/>
    <col min="49" max="49" width="9" style="22"/>
    <col min="53" max="53" width="15" bestFit="1" customWidth="1"/>
  </cols>
  <sheetData>
    <row r="1" spans="1:51" s="3" customFormat="1" ht="20.100000000000001" customHeight="1">
      <c r="Q1" s="1" t="s">
        <v>603</v>
      </c>
      <c r="R1" s="1" t="s">
        <v>604</v>
      </c>
      <c r="AH1" s="1"/>
      <c r="AW1" s="1"/>
    </row>
    <row r="2" spans="1:51" s="3" customFormat="1" ht="20.100000000000001" customHeight="1">
      <c r="B2" s="3" t="s">
        <v>605</v>
      </c>
      <c r="Q2" s="1">
        <f>10*AC5</f>
        <v>300</v>
      </c>
      <c r="R2" s="1">
        <f>30*3*7</f>
        <v>630</v>
      </c>
      <c r="AH2" s="1"/>
      <c r="AW2" s="1"/>
    </row>
    <row r="3" spans="1:51" s="3" customFormat="1" ht="20.100000000000001" customHeight="1">
      <c r="B3" s="3" t="s">
        <v>606</v>
      </c>
      <c r="K3" s="7">
        <v>30</v>
      </c>
      <c r="O3" s="1" t="s">
        <v>607</v>
      </c>
      <c r="AH3" s="1"/>
      <c r="AW3" s="1"/>
    </row>
    <row r="4" spans="1:51" s="3" customFormat="1" ht="20.100000000000001" customHeight="1">
      <c r="L4" s="4" t="s">
        <v>608</v>
      </c>
      <c r="M4" s="4" t="s">
        <v>609</v>
      </c>
      <c r="N4" s="4"/>
      <c r="O4" s="3" t="s">
        <v>610</v>
      </c>
      <c r="Q4" s="1" t="s">
        <v>611</v>
      </c>
      <c r="R4" s="1" t="s">
        <v>612</v>
      </c>
      <c r="S4" s="1" t="s">
        <v>613</v>
      </c>
      <c r="T4" s="1" t="s">
        <v>614</v>
      </c>
      <c r="U4" s="1" t="s">
        <v>615</v>
      </c>
      <c r="V4" s="1" t="s">
        <v>616</v>
      </c>
      <c r="W4" s="1" t="s">
        <v>617</v>
      </c>
      <c r="X4" s="1" t="s">
        <v>618</v>
      </c>
      <c r="Y4" s="1" t="s">
        <v>619</v>
      </c>
      <c r="Z4" s="1" t="s">
        <v>620</v>
      </c>
      <c r="AA4" s="1" t="s">
        <v>621</v>
      </c>
      <c r="AB4" s="3" t="s">
        <v>622</v>
      </c>
      <c r="AC4" s="3" t="s">
        <v>623</v>
      </c>
      <c r="AD4" s="1" t="s">
        <v>624</v>
      </c>
      <c r="AE4" s="1" t="s">
        <v>625</v>
      </c>
      <c r="AF4" s="1"/>
      <c r="AG4" s="1"/>
      <c r="AH4" s="1" t="s">
        <v>626</v>
      </c>
      <c r="AW4" s="1" t="s">
        <v>2828</v>
      </c>
    </row>
    <row r="5" spans="1:51" s="3" customFormat="1" ht="20.100000000000001" customHeight="1">
      <c r="H5" s="1" t="s">
        <v>627</v>
      </c>
      <c r="K5" s="23" t="s">
        <v>628</v>
      </c>
      <c r="L5" s="67" t="s">
        <v>629</v>
      </c>
      <c r="M5" s="3" t="s">
        <v>630</v>
      </c>
      <c r="O5" s="3" t="s">
        <v>631</v>
      </c>
      <c r="P5" s="1">
        <v>200</v>
      </c>
      <c r="Q5" s="1">
        <v>1</v>
      </c>
      <c r="R5" s="1">
        <f>ROUND(V5+Z5+AD5,-1)</f>
        <v>60</v>
      </c>
      <c r="S5" s="1">
        <v>10</v>
      </c>
      <c r="T5" s="1">
        <f>S5/30</f>
        <v>0.33333333333333331</v>
      </c>
      <c r="U5" s="1">
        <f>SUM($T$5:T5)</f>
        <v>0.33333333333333331</v>
      </c>
      <c r="V5" s="1">
        <f>S5*3</f>
        <v>30</v>
      </c>
      <c r="W5" s="1">
        <v>1.2</v>
      </c>
      <c r="X5" s="1">
        <v>150</v>
      </c>
      <c r="Y5" s="1">
        <v>0.1</v>
      </c>
      <c r="Z5" s="1">
        <f>X5*W5*Y5</f>
        <v>18</v>
      </c>
      <c r="AA5" s="1">
        <f>T5/7</f>
        <v>4.7619047619047616E-2</v>
      </c>
      <c r="AB5" s="1">
        <v>10</v>
      </c>
      <c r="AC5" s="1">
        <v>30</v>
      </c>
      <c r="AD5" s="1">
        <f>AC5*AB5*AA5</f>
        <v>14.285714285714285</v>
      </c>
      <c r="AE5" s="1">
        <f>(AD5+Z5)/V5</f>
        <v>1.0761904761904761</v>
      </c>
      <c r="AF5" s="1">
        <v>1</v>
      </c>
      <c r="AG5" s="1">
        <v>1</v>
      </c>
      <c r="AH5" s="1" t="s">
        <v>632</v>
      </c>
      <c r="AI5" s="1">
        <v>120000</v>
      </c>
      <c r="AJ5" s="3">
        <v>10000159</v>
      </c>
      <c r="AK5" s="1" t="s">
        <v>633</v>
      </c>
      <c r="AL5" s="1">
        <f>AO5</f>
        <v>20</v>
      </c>
      <c r="AM5" s="1">
        <v>10010083</v>
      </c>
      <c r="AN5" s="1" t="s">
        <v>634</v>
      </c>
      <c r="AO5" s="1">
        <v>20</v>
      </c>
      <c r="AP5" s="1">
        <v>10000143</v>
      </c>
      <c r="AQ5" s="1" t="s">
        <v>2829</v>
      </c>
      <c r="AR5" s="1">
        <v>5</v>
      </c>
      <c r="AS5" s="51">
        <v>10000158</v>
      </c>
      <c r="AT5" s="51" t="s">
        <v>2830</v>
      </c>
      <c r="AU5" s="1">
        <v>2</v>
      </c>
      <c r="AW5" s="1">
        <v>0.5</v>
      </c>
      <c r="AY5" s="3" t="str">
        <f>AG5&amp;";"&amp;AI5&amp;"@"&amp;AJ5&amp;";"&amp;AL5&amp;"@"&amp;AM5&amp;";"&amp;AO5&amp;"@"&amp;AP5&amp;";"&amp;AR5&amp;"@"&amp;AS5&amp;";"&amp;AU5</f>
        <v>1;120000@10000159;20@10010083;20@10000143;5@10000158;2</v>
      </c>
    </row>
    <row r="6" spans="1:51" s="3" customFormat="1" ht="20.100000000000001" customHeight="1">
      <c r="B6" s="4" t="s">
        <v>635</v>
      </c>
      <c r="J6" s="1">
        <v>1</v>
      </c>
      <c r="K6" s="3" t="s">
        <v>636</v>
      </c>
      <c r="L6" s="3" t="s">
        <v>637</v>
      </c>
      <c r="M6" s="3" t="s">
        <v>638</v>
      </c>
      <c r="P6" s="1">
        <f t="shared" ref="P6:P29" si="0">R6+130</f>
        <v>250</v>
      </c>
      <c r="Q6" s="1">
        <v>2</v>
      </c>
      <c r="R6" s="1">
        <f t="shared" ref="R6:R29" si="1">ROUND(V6+Z6+AD6,-1)</f>
        <v>120</v>
      </c>
      <c r="S6" s="1">
        <f>S5+10</f>
        <v>20</v>
      </c>
      <c r="T6" s="1">
        <f t="shared" ref="T6:T29" si="2">S6/30</f>
        <v>0.66666666666666663</v>
      </c>
      <c r="U6" s="1">
        <f>SUM($T$5:T6)</f>
        <v>1</v>
      </c>
      <c r="V6" s="1">
        <f t="shared" ref="V6:V29" si="3">S6*3</f>
        <v>60</v>
      </c>
      <c r="W6" s="1">
        <v>1.2</v>
      </c>
      <c r="X6" s="1">
        <v>150</v>
      </c>
      <c r="Y6" s="1">
        <f t="shared" ref="Y6:Y14" si="4">Y5+0.1</f>
        <v>0.2</v>
      </c>
      <c r="Z6" s="1">
        <f t="shared" ref="Z6:Z29" si="5">X6*W6*Y6</f>
        <v>36</v>
      </c>
      <c r="AA6" s="1">
        <f t="shared" ref="AA6:AA29" si="6">T6/7</f>
        <v>9.5238095238095233E-2</v>
      </c>
      <c r="AB6" s="1">
        <v>10</v>
      </c>
      <c r="AC6" s="1">
        <v>30</v>
      </c>
      <c r="AD6" s="1">
        <f t="shared" ref="AD6:AD29" si="7">AC6*AB6*AA6</f>
        <v>28.571428571428569</v>
      </c>
      <c r="AE6" s="1">
        <f t="shared" ref="AE6:AE29" si="8">(AD6+Z6)/V6</f>
        <v>1.0761904761904761</v>
      </c>
      <c r="AF6" s="1">
        <v>2</v>
      </c>
      <c r="AG6" s="1">
        <v>1</v>
      </c>
      <c r="AH6" s="1" t="s">
        <v>632</v>
      </c>
      <c r="AI6" s="1">
        <f>AI5+20000</f>
        <v>140000</v>
      </c>
      <c r="AJ6" s="3">
        <v>10000159</v>
      </c>
      <c r="AK6" s="1" t="s">
        <v>633</v>
      </c>
      <c r="AL6" s="1">
        <f t="shared" ref="AL6:AL29" si="9">AO6</f>
        <v>20</v>
      </c>
      <c r="AM6" s="1">
        <v>10010083</v>
      </c>
      <c r="AN6" s="1" t="s">
        <v>634</v>
      </c>
      <c r="AO6" s="1">
        <v>20</v>
      </c>
      <c r="AP6" s="1">
        <v>10000143</v>
      </c>
      <c r="AQ6" s="1" t="s">
        <v>2829</v>
      </c>
      <c r="AR6" s="1">
        <v>5</v>
      </c>
      <c r="AS6" s="51">
        <v>10000158</v>
      </c>
      <c r="AT6" s="51" t="s">
        <v>2830</v>
      </c>
      <c r="AU6" s="1">
        <v>2</v>
      </c>
      <c r="AW6" s="1">
        <v>1</v>
      </c>
      <c r="AY6" s="3" t="str">
        <f t="shared" ref="AY6:AY29" si="10">AG6&amp;";"&amp;AI6&amp;"@"&amp;AJ6&amp;";"&amp;AL6&amp;"@"&amp;AM6&amp;";"&amp;AO6&amp;"@"&amp;AP6&amp;";"&amp;AR6&amp;"@"&amp;AS6&amp;";"&amp;AU6</f>
        <v>1;140000@10000159;20@10010083;20@10000143;5@10000158;2</v>
      </c>
    </row>
    <row r="7" spans="1:51" s="3" customFormat="1" ht="20.100000000000001" customHeight="1">
      <c r="A7" s="3" t="s">
        <v>2777</v>
      </c>
      <c r="B7" s="1" t="s">
        <v>639</v>
      </c>
      <c r="C7" s="3" t="s">
        <v>640</v>
      </c>
      <c r="D7" s="3" t="str">
        <f>A7&amp;B7</f>
        <v>奖励晶核:贪婪</v>
      </c>
      <c r="G7" s="3" t="s">
        <v>329</v>
      </c>
      <c r="J7" s="1">
        <v>2</v>
      </c>
      <c r="K7" s="3" t="s">
        <v>641</v>
      </c>
      <c r="L7" s="3" t="s">
        <v>642</v>
      </c>
      <c r="M7" s="3" t="s">
        <v>643</v>
      </c>
      <c r="P7" s="1">
        <f t="shared" si="0"/>
        <v>320</v>
      </c>
      <c r="Q7" s="1">
        <v>3</v>
      </c>
      <c r="R7" s="1">
        <f t="shared" si="1"/>
        <v>190</v>
      </c>
      <c r="S7" s="1">
        <f t="shared" ref="S7:S12" si="11">S6+10</f>
        <v>30</v>
      </c>
      <c r="T7" s="1">
        <f t="shared" si="2"/>
        <v>1</v>
      </c>
      <c r="U7" s="1">
        <f>SUM($T$5:T7)</f>
        <v>2</v>
      </c>
      <c r="V7" s="1">
        <f t="shared" si="3"/>
        <v>90</v>
      </c>
      <c r="W7" s="1">
        <v>1.2</v>
      </c>
      <c r="X7" s="1">
        <v>150</v>
      </c>
      <c r="Y7" s="1">
        <f t="shared" si="4"/>
        <v>0.30000000000000004</v>
      </c>
      <c r="Z7" s="1">
        <f t="shared" si="5"/>
        <v>54.000000000000007</v>
      </c>
      <c r="AA7" s="1">
        <f t="shared" si="6"/>
        <v>0.14285714285714285</v>
      </c>
      <c r="AB7" s="1">
        <v>10</v>
      </c>
      <c r="AC7" s="1">
        <v>30</v>
      </c>
      <c r="AD7" s="1">
        <f t="shared" si="7"/>
        <v>42.857142857142854</v>
      </c>
      <c r="AE7" s="1">
        <f t="shared" si="8"/>
        <v>1.0761904761904761</v>
      </c>
      <c r="AF7" s="1">
        <v>3</v>
      </c>
      <c r="AG7" s="1">
        <v>1</v>
      </c>
      <c r="AH7" s="1" t="s">
        <v>632</v>
      </c>
      <c r="AI7" s="1">
        <f t="shared" ref="AI7:AI29" si="12">AI6+20000</f>
        <v>160000</v>
      </c>
      <c r="AJ7" s="3">
        <v>10000159</v>
      </c>
      <c r="AK7" s="1" t="s">
        <v>633</v>
      </c>
      <c r="AL7" s="1">
        <f t="shared" si="9"/>
        <v>20</v>
      </c>
      <c r="AM7" s="1">
        <v>10010083</v>
      </c>
      <c r="AN7" s="1" t="s">
        <v>634</v>
      </c>
      <c r="AO7" s="1">
        <v>20</v>
      </c>
      <c r="AP7" s="1">
        <v>10000143</v>
      </c>
      <c r="AQ7" s="1" t="s">
        <v>2829</v>
      </c>
      <c r="AR7" s="1">
        <v>5</v>
      </c>
      <c r="AS7" s="51">
        <v>10000158</v>
      </c>
      <c r="AT7" s="51" t="s">
        <v>2830</v>
      </c>
      <c r="AU7" s="1">
        <v>2</v>
      </c>
      <c r="AW7" s="1">
        <v>1.5</v>
      </c>
      <c r="AY7" s="3" t="str">
        <f t="shared" si="10"/>
        <v>1;160000@10000159;20@10010083;20@10000143;5@10000158;2</v>
      </c>
    </row>
    <row r="8" spans="1:51" s="3" customFormat="1" ht="20.100000000000001" customHeight="1">
      <c r="A8" s="3" t="s">
        <v>2777</v>
      </c>
      <c r="B8" s="1" t="s">
        <v>644</v>
      </c>
      <c r="C8" s="3" t="s">
        <v>645</v>
      </c>
      <c r="D8" s="3" t="str">
        <f t="shared" ref="D8:D9" si="13">A8&amp;B8</f>
        <v>奖励晶核:爆率</v>
      </c>
      <c r="J8" s="1">
        <v>3</v>
      </c>
      <c r="K8" s="3" t="s">
        <v>646</v>
      </c>
      <c r="L8" s="3" t="s">
        <v>647</v>
      </c>
      <c r="M8" s="3" t="s">
        <v>648</v>
      </c>
      <c r="P8" s="1">
        <f t="shared" si="0"/>
        <v>380</v>
      </c>
      <c r="Q8" s="1">
        <v>4</v>
      </c>
      <c r="R8" s="1">
        <f t="shared" si="1"/>
        <v>250</v>
      </c>
      <c r="S8" s="1">
        <f t="shared" si="11"/>
        <v>40</v>
      </c>
      <c r="T8" s="1">
        <f t="shared" si="2"/>
        <v>1.3333333333333333</v>
      </c>
      <c r="U8" s="1">
        <f>SUM($T$5:T8)</f>
        <v>3.333333333333333</v>
      </c>
      <c r="V8" s="1">
        <f t="shared" si="3"/>
        <v>120</v>
      </c>
      <c r="W8" s="1">
        <v>1.2</v>
      </c>
      <c r="X8" s="1">
        <v>150</v>
      </c>
      <c r="Y8" s="1">
        <f t="shared" si="4"/>
        <v>0.4</v>
      </c>
      <c r="Z8" s="1">
        <f t="shared" si="5"/>
        <v>72</v>
      </c>
      <c r="AA8" s="1">
        <f t="shared" si="6"/>
        <v>0.19047619047619047</v>
      </c>
      <c r="AB8" s="1">
        <v>10</v>
      </c>
      <c r="AC8" s="1">
        <v>30</v>
      </c>
      <c r="AD8" s="1">
        <f t="shared" si="7"/>
        <v>57.142857142857139</v>
      </c>
      <c r="AE8" s="1">
        <f t="shared" si="8"/>
        <v>1.0761904761904761</v>
      </c>
      <c r="AF8" s="1">
        <v>4</v>
      </c>
      <c r="AG8" s="1">
        <v>1</v>
      </c>
      <c r="AH8" s="1" t="s">
        <v>632</v>
      </c>
      <c r="AI8" s="1">
        <f t="shared" si="12"/>
        <v>180000</v>
      </c>
      <c r="AJ8" s="3">
        <v>10000159</v>
      </c>
      <c r="AK8" s="1" t="s">
        <v>633</v>
      </c>
      <c r="AL8" s="1">
        <f t="shared" si="9"/>
        <v>20</v>
      </c>
      <c r="AM8" s="1">
        <v>10010083</v>
      </c>
      <c r="AN8" s="1" t="s">
        <v>634</v>
      </c>
      <c r="AO8" s="1">
        <v>20</v>
      </c>
      <c r="AP8" s="1">
        <v>10000143</v>
      </c>
      <c r="AQ8" s="1" t="s">
        <v>2829</v>
      </c>
      <c r="AR8" s="1">
        <v>5</v>
      </c>
      <c r="AS8" s="51">
        <v>10000158</v>
      </c>
      <c r="AT8" s="51" t="s">
        <v>2830</v>
      </c>
      <c r="AU8" s="1">
        <v>2</v>
      </c>
      <c r="AW8" s="1">
        <v>2</v>
      </c>
      <c r="AY8" s="3" t="str">
        <f t="shared" si="10"/>
        <v>1;180000@10000159;20@10010083;20@10000143;5@10000158;2</v>
      </c>
    </row>
    <row r="9" spans="1:51" s="3" customFormat="1" ht="20.100000000000001" customHeight="1">
      <c r="A9" s="3" t="s">
        <v>2777</v>
      </c>
      <c r="B9" s="1" t="s">
        <v>649</v>
      </c>
      <c r="C9" s="3" t="s">
        <v>650</v>
      </c>
      <c r="D9" s="3" t="str">
        <f t="shared" si="13"/>
        <v>奖励晶核:经验</v>
      </c>
      <c r="J9" s="1">
        <v>4</v>
      </c>
      <c r="K9" s="3" t="s">
        <v>651</v>
      </c>
      <c r="L9" s="3" t="s">
        <v>652</v>
      </c>
      <c r="M9" s="3" t="s">
        <v>653</v>
      </c>
      <c r="P9" s="1">
        <f t="shared" si="0"/>
        <v>440</v>
      </c>
      <c r="Q9" s="1">
        <v>5</v>
      </c>
      <c r="R9" s="1">
        <f t="shared" si="1"/>
        <v>310</v>
      </c>
      <c r="S9" s="1">
        <f t="shared" si="11"/>
        <v>50</v>
      </c>
      <c r="T9" s="1">
        <f t="shared" si="2"/>
        <v>1.6666666666666667</v>
      </c>
      <c r="U9" s="1">
        <f>SUM($T$5:T9)</f>
        <v>5</v>
      </c>
      <c r="V9" s="1">
        <f t="shared" si="3"/>
        <v>150</v>
      </c>
      <c r="W9" s="1">
        <v>1.2</v>
      </c>
      <c r="X9" s="1">
        <v>150</v>
      </c>
      <c r="Y9" s="1">
        <f t="shared" si="4"/>
        <v>0.5</v>
      </c>
      <c r="Z9" s="1">
        <f t="shared" si="5"/>
        <v>90</v>
      </c>
      <c r="AA9" s="1">
        <f t="shared" si="6"/>
        <v>0.23809523809523811</v>
      </c>
      <c r="AB9" s="1">
        <v>10</v>
      </c>
      <c r="AC9" s="1">
        <v>30</v>
      </c>
      <c r="AD9" s="1">
        <f t="shared" si="7"/>
        <v>71.428571428571431</v>
      </c>
      <c r="AE9" s="1">
        <f t="shared" si="8"/>
        <v>1.0761904761904764</v>
      </c>
      <c r="AF9" s="1">
        <v>5</v>
      </c>
      <c r="AG9" s="1">
        <v>1</v>
      </c>
      <c r="AH9" s="1" t="s">
        <v>632</v>
      </c>
      <c r="AI9" s="1">
        <f t="shared" si="12"/>
        <v>200000</v>
      </c>
      <c r="AJ9" s="3">
        <v>10000159</v>
      </c>
      <c r="AK9" s="1" t="s">
        <v>633</v>
      </c>
      <c r="AL9" s="1">
        <f t="shared" si="9"/>
        <v>20</v>
      </c>
      <c r="AM9" s="1">
        <v>10010083</v>
      </c>
      <c r="AN9" s="1" t="s">
        <v>634</v>
      </c>
      <c r="AO9" s="1">
        <v>20</v>
      </c>
      <c r="AP9" s="1">
        <v>10000143</v>
      </c>
      <c r="AQ9" s="1" t="s">
        <v>2829</v>
      </c>
      <c r="AR9" s="1">
        <v>5</v>
      </c>
      <c r="AS9" s="51">
        <v>10000158</v>
      </c>
      <c r="AT9" s="51" t="s">
        <v>2830</v>
      </c>
      <c r="AU9" s="1">
        <v>3</v>
      </c>
      <c r="AW9" s="1">
        <v>2.5</v>
      </c>
      <c r="AY9" s="3" t="str">
        <f t="shared" si="10"/>
        <v>1;200000@10000159;20@10010083;20@10000143;5@10000158;3</v>
      </c>
    </row>
    <row r="10" spans="1:51" s="3" customFormat="1" ht="20.100000000000001" customHeight="1">
      <c r="J10" s="1">
        <v>5</v>
      </c>
      <c r="K10" s="3" t="s">
        <v>654</v>
      </c>
      <c r="L10" s="3" t="s">
        <v>655</v>
      </c>
      <c r="P10" s="1">
        <f t="shared" si="0"/>
        <v>500</v>
      </c>
      <c r="Q10" s="1">
        <v>6</v>
      </c>
      <c r="R10" s="1">
        <f t="shared" si="1"/>
        <v>370</v>
      </c>
      <c r="S10" s="1">
        <f t="shared" si="11"/>
        <v>60</v>
      </c>
      <c r="T10" s="1">
        <f t="shared" si="2"/>
        <v>2</v>
      </c>
      <c r="U10" s="1">
        <f>SUM($T$5:T10)</f>
        <v>7</v>
      </c>
      <c r="V10" s="1">
        <f t="shared" si="3"/>
        <v>180</v>
      </c>
      <c r="W10" s="1">
        <v>1.2</v>
      </c>
      <c r="X10" s="1">
        <v>150</v>
      </c>
      <c r="Y10" s="1">
        <f t="shared" si="4"/>
        <v>0.6</v>
      </c>
      <c r="Z10" s="1">
        <f t="shared" si="5"/>
        <v>108</v>
      </c>
      <c r="AA10" s="1">
        <f t="shared" si="6"/>
        <v>0.2857142857142857</v>
      </c>
      <c r="AB10" s="1">
        <v>10</v>
      </c>
      <c r="AC10" s="1">
        <v>30</v>
      </c>
      <c r="AD10" s="1">
        <f t="shared" si="7"/>
        <v>85.714285714285708</v>
      </c>
      <c r="AE10" s="1">
        <f t="shared" si="8"/>
        <v>1.0761904761904761</v>
      </c>
      <c r="AF10" s="1">
        <v>6</v>
      </c>
      <c r="AG10" s="1">
        <v>1</v>
      </c>
      <c r="AH10" s="1" t="s">
        <v>632</v>
      </c>
      <c r="AI10" s="1">
        <f t="shared" si="12"/>
        <v>220000</v>
      </c>
      <c r="AJ10" s="3">
        <v>10000159</v>
      </c>
      <c r="AK10" s="1" t="s">
        <v>633</v>
      </c>
      <c r="AL10" s="1">
        <f t="shared" si="9"/>
        <v>25</v>
      </c>
      <c r="AM10" s="1">
        <v>10010083</v>
      </c>
      <c r="AN10" s="1" t="s">
        <v>634</v>
      </c>
      <c r="AO10" s="1">
        <f>AO5+5</f>
        <v>25</v>
      </c>
      <c r="AP10" s="1">
        <v>10000143</v>
      </c>
      <c r="AQ10" s="1" t="s">
        <v>2829</v>
      </c>
      <c r="AR10" s="1">
        <v>5</v>
      </c>
      <c r="AS10" s="51">
        <v>10000158</v>
      </c>
      <c r="AT10" s="51" t="s">
        <v>2830</v>
      </c>
      <c r="AU10" s="1">
        <v>3</v>
      </c>
      <c r="AW10" s="1">
        <v>3</v>
      </c>
      <c r="AY10" s="3" t="str">
        <f t="shared" si="10"/>
        <v>1;220000@10000159;25@10010083;25@10000143;5@10000158;3</v>
      </c>
    </row>
    <row r="11" spans="1:51" s="3" customFormat="1" ht="20.100000000000001" customHeight="1">
      <c r="B11" s="4" t="s">
        <v>656</v>
      </c>
      <c r="G11" s="3" t="s">
        <v>657</v>
      </c>
      <c r="J11" s="1">
        <v>6</v>
      </c>
      <c r="K11" s="3" t="s">
        <v>658</v>
      </c>
      <c r="L11" s="3" t="s">
        <v>659</v>
      </c>
      <c r="P11" s="1">
        <f t="shared" si="0"/>
        <v>570</v>
      </c>
      <c r="Q11" s="1">
        <v>7</v>
      </c>
      <c r="R11" s="1">
        <f t="shared" si="1"/>
        <v>440</v>
      </c>
      <c r="S11" s="1">
        <f t="shared" si="11"/>
        <v>70</v>
      </c>
      <c r="T11" s="1">
        <f t="shared" si="2"/>
        <v>2.3333333333333335</v>
      </c>
      <c r="U11" s="1">
        <f>SUM($T$5:T11)</f>
        <v>9.3333333333333339</v>
      </c>
      <c r="V11" s="1">
        <f t="shared" si="3"/>
        <v>210</v>
      </c>
      <c r="W11" s="1">
        <v>1.2</v>
      </c>
      <c r="X11" s="1">
        <v>150</v>
      </c>
      <c r="Y11" s="1">
        <f t="shared" si="4"/>
        <v>0.7</v>
      </c>
      <c r="Z11" s="1">
        <f t="shared" si="5"/>
        <v>125.99999999999999</v>
      </c>
      <c r="AA11" s="1">
        <f t="shared" si="6"/>
        <v>0.33333333333333337</v>
      </c>
      <c r="AB11" s="1">
        <v>10</v>
      </c>
      <c r="AC11" s="1">
        <v>30</v>
      </c>
      <c r="AD11" s="1">
        <f t="shared" si="7"/>
        <v>100.00000000000001</v>
      </c>
      <c r="AE11" s="1">
        <f t="shared" si="8"/>
        <v>1.0761904761904761</v>
      </c>
      <c r="AF11" s="1">
        <v>7</v>
      </c>
      <c r="AG11" s="1">
        <v>1</v>
      </c>
      <c r="AH11" s="1" t="s">
        <v>632</v>
      </c>
      <c r="AI11" s="1">
        <f t="shared" si="12"/>
        <v>240000</v>
      </c>
      <c r="AJ11" s="3">
        <v>10000159</v>
      </c>
      <c r="AK11" s="1" t="s">
        <v>633</v>
      </c>
      <c r="AL11" s="1">
        <f t="shared" si="9"/>
        <v>25</v>
      </c>
      <c r="AM11" s="1">
        <v>10010083</v>
      </c>
      <c r="AN11" s="1" t="s">
        <v>634</v>
      </c>
      <c r="AO11" s="1">
        <f t="shared" ref="AO11:AO29" si="14">AO6+5</f>
        <v>25</v>
      </c>
      <c r="AP11" s="1">
        <v>10000143</v>
      </c>
      <c r="AQ11" s="1" t="s">
        <v>2829</v>
      </c>
      <c r="AR11" s="1">
        <v>5</v>
      </c>
      <c r="AS11" s="51">
        <v>10000158</v>
      </c>
      <c r="AT11" s="51" t="s">
        <v>2830</v>
      </c>
      <c r="AU11" s="1">
        <v>3</v>
      </c>
      <c r="AW11" s="1">
        <v>3.5</v>
      </c>
      <c r="AY11" s="3" t="str">
        <f t="shared" si="10"/>
        <v>1;240000@10000159;25@10010083;25@10000143;5@10000158;3</v>
      </c>
    </row>
    <row r="12" spans="1:51" s="3" customFormat="1" ht="20.100000000000001" customHeight="1">
      <c r="A12" s="3" t="s">
        <v>2776</v>
      </c>
      <c r="B12" s="1" t="s">
        <v>302</v>
      </c>
      <c r="C12" s="3" t="s">
        <v>660</v>
      </c>
      <c r="D12" s="3" t="str">
        <f t="shared" ref="D12:D28" si="15">A12&amp;B12</f>
        <v>属性晶核:召唤</v>
      </c>
      <c r="J12" s="1">
        <v>7</v>
      </c>
      <c r="K12" s="3" t="s">
        <v>661</v>
      </c>
      <c r="L12" s="3" t="s">
        <v>662</v>
      </c>
      <c r="M12" s="3" t="s">
        <v>663</v>
      </c>
      <c r="P12" s="1">
        <f t="shared" si="0"/>
        <v>630</v>
      </c>
      <c r="Q12" s="1">
        <v>8</v>
      </c>
      <c r="R12" s="1">
        <f t="shared" si="1"/>
        <v>500</v>
      </c>
      <c r="S12" s="1">
        <f t="shared" si="11"/>
        <v>80</v>
      </c>
      <c r="T12" s="1">
        <f t="shared" si="2"/>
        <v>2.6666666666666665</v>
      </c>
      <c r="U12" s="1">
        <f>SUM($T$5:T12)</f>
        <v>12</v>
      </c>
      <c r="V12" s="1">
        <f t="shared" si="3"/>
        <v>240</v>
      </c>
      <c r="W12" s="1">
        <v>1.2</v>
      </c>
      <c r="X12" s="1">
        <v>150</v>
      </c>
      <c r="Y12" s="1">
        <f t="shared" si="4"/>
        <v>0.79999999999999993</v>
      </c>
      <c r="Z12" s="1">
        <f t="shared" si="5"/>
        <v>144</v>
      </c>
      <c r="AA12" s="1">
        <f t="shared" si="6"/>
        <v>0.38095238095238093</v>
      </c>
      <c r="AB12" s="1">
        <v>10</v>
      </c>
      <c r="AC12" s="1">
        <v>30</v>
      </c>
      <c r="AD12" s="1">
        <f t="shared" si="7"/>
        <v>114.28571428571428</v>
      </c>
      <c r="AE12" s="1">
        <f t="shared" si="8"/>
        <v>1.0761904761904761</v>
      </c>
      <c r="AF12" s="1">
        <v>8</v>
      </c>
      <c r="AG12" s="1">
        <v>1</v>
      </c>
      <c r="AH12" s="1" t="s">
        <v>632</v>
      </c>
      <c r="AI12" s="1">
        <f t="shared" si="12"/>
        <v>260000</v>
      </c>
      <c r="AJ12" s="3">
        <v>10000159</v>
      </c>
      <c r="AK12" s="1" t="s">
        <v>633</v>
      </c>
      <c r="AL12" s="1">
        <f t="shared" si="9"/>
        <v>25</v>
      </c>
      <c r="AM12" s="1">
        <v>10010083</v>
      </c>
      <c r="AN12" s="1" t="s">
        <v>634</v>
      </c>
      <c r="AO12" s="1">
        <f t="shared" si="14"/>
        <v>25</v>
      </c>
      <c r="AP12" s="1">
        <v>10000143</v>
      </c>
      <c r="AQ12" s="1" t="s">
        <v>2829</v>
      </c>
      <c r="AR12" s="1">
        <v>5</v>
      </c>
      <c r="AS12" s="51">
        <v>10000158</v>
      </c>
      <c r="AT12" s="51" t="s">
        <v>2830</v>
      </c>
      <c r="AU12" s="1">
        <v>3</v>
      </c>
      <c r="AW12" s="1">
        <v>4</v>
      </c>
      <c r="AY12" s="3" t="str">
        <f t="shared" si="10"/>
        <v>1;260000@10000159;25@10010083;25@10000143;5@10000158;3</v>
      </c>
    </row>
    <row r="13" spans="1:51" s="3" customFormat="1" ht="20.100000000000001" customHeight="1">
      <c r="A13" s="3" t="s">
        <v>2776</v>
      </c>
      <c r="B13" s="1" t="s">
        <v>664</v>
      </c>
      <c r="C13" s="3" t="s">
        <v>665</v>
      </c>
      <c r="D13" s="3" t="str">
        <f t="shared" si="15"/>
        <v>属性晶核:命中</v>
      </c>
      <c r="J13" s="1">
        <v>8</v>
      </c>
      <c r="K13" s="3" t="s">
        <v>666</v>
      </c>
      <c r="L13" s="3" t="s">
        <v>667</v>
      </c>
      <c r="P13" s="1">
        <f t="shared" si="0"/>
        <v>690</v>
      </c>
      <c r="Q13" s="1">
        <v>9</v>
      </c>
      <c r="R13" s="1">
        <f t="shared" si="1"/>
        <v>560</v>
      </c>
      <c r="S13" s="1">
        <f t="shared" ref="S13:S19" si="16">S12+10</f>
        <v>90</v>
      </c>
      <c r="T13" s="1">
        <f t="shared" si="2"/>
        <v>3</v>
      </c>
      <c r="U13" s="1">
        <f>SUM($T$5:T13)</f>
        <v>15</v>
      </c>
      <c r="V13" s="1">
        <f t="shared" si="3"/>
        <v>270</v>
      </c>
      <c r="W13" s="1">
        <v>1.2</v>
      </c>
      <c r="X13" s="1">
        <v>150</v>
      </c>
      <c r="Y13" s="1">
        <f t="shared" si="4"/>
        <v>0.89999999999999991</v>
      </c>
      <c r="Z13" s="1">
        <f t="shared" si="5"/>
        <v>161.99999999999997</v>
      </c>
      <c r="AA13" s="1">
        <f t="shared" si="6"/>
        <v>0.42857142857142855</v>
      </c>
      <c r="AB13" s="1">
        <v>10</v>
      </c>
      <c r="AC13" s="1">
        <v>30</v>
      </c>
      <c r="AD13" s="1">
        <f t="shared" si="7"/>
        <v>128.57142857142856</v>
      </c>
      <c r="AE13" s="1">
        <f t="shared" si="8"/>
        <v>1.0761904761904761</v>
      </c>
      <c r="AF13" s="1">
        <v>9</v>
      </c>
      <c r="AG13" s="1">
        <v>1</v>
      </c>
      <c r="AH13" s="1" t="s">
        <v>632</v>
      </c>
      <c r="AI13" s="1">
        <f t="shared" si="12"/>
        <v>280000</v>
      </c>
      <c r="AJ13" s="3">
        <v>10000159</v>
      </c>
      <c r="AK13" s="1" t="s">
        <v>633</v>
      </c>
      <c r="AL13" s="1">
        <f t="shared" si="9"/>
        <v>25</v>
      </c>
      <c r="AM13" s="1">
        <v>10010083</v>
      </c>
      <c r="AN13" s="1" t="s">
        <v>634</v>
      </c>
      <c r="AO13" s="1">
        <f t="shared" si="14"/>
        <v>25</v>
      </c>
      <c r="AP13" s="1">
        <v>10000143</v>
      </c>
      <c r="AQ13" s="1" t="s">
        <v>2829</v>
      </c>
      <c r="AR13" s="1">
        <v>5</v>
      </c>
      <c r="AS13" s="51">
        <v>10000158</v>
      </c>
      <c r="AT13" s="51" t="s">
        <v>2830</v>
      </c>
      <c r="AU13" s="1">
        <v>3</v>
      </c>
      <c r="AW13" s="1">
        <v>4.5</v>
      </c>
      <c r="AY13" s="3" t="str">
        <f t="shared" si="10"/>
        <v>1;280000@10000159;25@10010083;25@10000143;5@10000158;3</v>
      </c>
    </row>
    <row r="14" spans="1:51" s="3" customFormat="1" ht="20.100000000000001" customHeight="1">
      <c r="A14" s="3" t="s">
        <v>2776</v>
      </c>
      <c r="B14" s="1" t="s">
        <v>668</v>
      </c>
      <c r="C14" s="3" t="s">
        <v>2788</v>
      </c>
      <c r="D14" s="3" t="str">
        <f t="shared" si="15"/>
        <v>属性晶核:闪避</v>
      </c>
      <c r="J14" s="1">
        <v>9</v>
      </c>
      <c r="K14" s="3" t="s">
        <v>669</v>
      </c>
      <c r="L14" s="3" t="s">
        <v>670</v>
      </c>
      <c r="P14" s="1">
        <f t="shared" si="0"/>
        <v>750</v>
      </c>
      <c r="Q14" s="1">
        <v>10</v>
      </c>
      <c r="R14" s="1">
        <f t="shared" si="1"/>
        <v>620</v>
      </c>
      <c r="S14" s="1">
        <f t="shared" si="16"/>
        <v>100</v>
      </c>
      <c r="T14" s="1">
        <f t="shared" si="2"/>
        <v>3.3333333333333335</v>
      </c>
      <c r="U14" s="1">
        <f>SUM($T$5:T14)</f>
        <v>18.333333333333332</v>
      </c>
      <c r="V14" s="1">
        <f t="shared" si="3"/>
        <v>300</v>
      </c>
      <c r="W14" s="1">
        <v>1.2</v>
      </c>
      <c r="X14" s="1">
        <v>150</v>
      </c>
      <c r="Y14" s="1">
        <f t="shared" si="4"/>
        <v>0.99999999999999989</v>
      </c>
      <c r="Z14" s="1">
        <f t="shared" si="5"/>
        <v>179.99999999999997</v>
      </c>
      <c r="AA14" s="1">
        <f t="shared" si="6"/>
        <v>0.47619047619047622</v>
      </c>
      <c r="AB14" s="1">
        <v>10</v>
      </c>
      <c r="AC14" s="1">
        <v>30</v>
      </c>
      <c r="AD14" s="1">
        <f t="shared" si="7"/>
        <v>142.85714285714286</v>
      </c>
      <c r="AE14" s="1">
        <f t="shared" si="8"/>
        <v>1.0761904761904761</v>
      </c>
      <c r="AF14" s="1">
        <v>10</v>
      </c>
      <c r="AG14" s="1">
        <v>1</v>
      </c>
      <c r="AH14" s="1" t="s">
        <v>632</v>
      </c>
      <c r="AI14" s="1">
        <f t="shared" si="12"/>
        <v>300000</v>
      </c>
      <c r="AJ14" s="3">
        <v>10000159</v>
      </c>
      <c r="AK14" s="1" t="s">
        <v>633</v>
      </c>
      <c r="AL14" s="1">
        <f t="shared" si="9"/>
        <v>25</v>
      </c>
      <c r="AM14" s="1">
        <v>10010083</v>
      </c>
      <c r="AN14" s="1" t="s">
        <v>634</v>
      </c>
      <c r="AO14" s="1">
        <f t="shared" si="14"/>
        <v>25</v>
      </c>
      <c r="AP14" s="1">
        <v>10000143</v>
      </c>
      <c r="AQ14" s="1" t="s">
        <v>2829</v>
      </c>
      <c r="AR14" s="1">
        <v>10</v>
      </c>
      <c r="AS14" s="51">
        <v>10000158</v>
      </c>
      <c r="AT14" s="51" t="s">
        <v>2830</v>
      </c>
      <c r="AU14" s="1">
        <v>4</v>
      </c>
      <c r="AW14" s="1">
        <v>5</v>
      </c>
      <c r="AY14" s="3" t="str">
        <f t="shared" si="10"/>
        <v>1;300000@10000159;25@10010083;25@10000143;10@10000158;4</v>
      </c>
    </row>
    <row r="15" spans="1:51" s="3" customFormat="1" ht="20.100000000000001" customHeight="1">
      <c r="A15" s="3" t="s">
        <v>2776</v>
      </c>
      <c r="B15" s="1" t="s">
        <v>671</v>
      </c>
      <c r="C15" s="3" t="s">
        <v>2789</v>
      </c>
      <c r="D15" s="3" t="str">
        <f t="shared" si="15"/>
        <v>属性晶核:抗暴</v>
      </c>
      <c r="J15" s="1">
        <v>10</v>
      </c>
      <c r="K15" s="3" t="s">
        <v>672</v>
      </c>
      <c r="L15" s="3" t="s">
        <v>673</v>
      </c>
      <c r="P15" s="1">
        <f t="shared" si="0"/>
        <v>800</v>
      </c>
      <c r="Q15" s="1">
        <v>11</v>
      </c>
      <c r="R15" s="1">
        <f t="shared" si="1"/>
        <v>670</v>
      </c>
      <c r="S15" s="1">
        <f t="shared" si="16"/>
        <v>110</v>
      </c>
      <c r="T15" s="1">
        <f t="shared" si="2"/>
        <v>3.6666666666666665</v>
      </c>
      <c r="U15" s="1">
        <f>SUM($T$5:T15)</f>
        <v>22</v>
      </c>
      <c r="V15" s="1">
        <f t="shared" si="3"/>
        <v>330</v>
      </c>
      <c r="W15" s="1">
        <v>1.2</v>
      </c>
      <c r="X15" s="1">
        <v>150</v>
      </c>
      <c r="Y15" s="1">
        <v>1</v>
      </c>
      <c r="Z15" s="1">
        <f t="shared" si="5"/>
        <v>180</v>
      </c>
      <c r="AA15" s="1">
        <f t="shared" si="6"/>
        <v>0.52380952380952384</v>
      </c>
      <c r="AB15" s="1">
        <v>10</v>
      </c>
      <c r="AC15" s="1">
        <v>30</v>
      </c>
      <c r="AD15" s="1">
        <f t="shared" si="7"/>
        <v>157.14285714285714</v>
      </c>
      <c r="AE15" s="1">
        <f t="shared" si="8"/>
        <v>1.0216450216450215</v>
      </c>
      <c r="AF15" s="1">
        <v>11</v>
      </c>
      <c r="AG15" s="1">
        <v>1</v>
      </c>
      <c r="AH15" s="1" t="s">
        <v>632</v>
      </c>
      <c r="AI15" s="1">
        <f t="shared" si="12"/>
        <v>320000</v>
      </c>
      <c r="AJ15" s="3">
        <v>10000159</v>
      </c>
      <c r="AK15" s="1" t="s">
        <v>633</v>
      </c>
      <c r="AL15" s="1">
        <f t="shared" si="9"/>
        <v>30</v>
      </c>
      <c r="AM15" s="1">
        <v>10010083</v>
      </c>
      <c r="AN15" s="1" t="s">
        <v>634</v>
      </c>
      <c r="AO15" s="1">
        <f t="shared" si="14"/>
        <v>30</v>
      </c>
      <c r="AP15" s="1">
        <v>10000143</v>
      </c>
      <c r="AQ15" s="1" t="s">
        <v>2829</v>
      </c>
      <c r="AR15" s="1">
        <v>10</v>
      </c>
      <c r="AS15" s="51">
        <v>10000158</v>
      </c>
      <c r="AT15" s="51" t="s">
        <v>2830</v>
      </c>
      <c r="AU15" s="1">
        <v>4</v>
      </c>
      <c r="AW15" s="1">
        <v>5.5</v>
      </c>
      <c r="AY15" s="3" t="str">
        <f t="shared" si="10"/>
        <v>1;320000@10000159;30@10010083;30@10000143;10@10000158;4</v>
      </c>
    </row>
    <row r="16" spans="1:51" s="3" customFormat="1" ht="20.100000000000001" customHeight="1">
      <c r="A16" s="3" t="s">
        <v>2776</v>
      </c>
      <c r="B16" s="1" t="s">
        <v>674</v>
      </c>
      <c r="C16" s="3" t="s">
        <v>2790</v>
      </c>
      <c r="D16" s="3" t="str">
        <f t="shared" si="15"/>
        <v>属性晶核:暴击</v>
      </c>
      <c r="F16" s="3" t="s">
        <v>675</v>
      </c>
      <c r="G16" s="1"/>
      <c r="H16" s="7"/>
      <c r="J16" s="1">
        <v>11</v>
      </c>
      <c r="K16" s="3" t="s">
        <v>676</v>
      </c>
      <c r="L16" s="3" t="s">
        <v>677</v>
      </c>
      <c r="P16" s="1">
        <f t="shared" si="0"/>
        <v>840</v>
      </c>
      <c r="Q16" s="1">
        <v>12</v>
      </c>
      <c r="R16" s="1">
        <f t="shared" si="1"/>
        <v>710</v>
      </c>
      <c r="S16" s="1">
        <f t="shared" si="16"/>
        <v>120</v>
      </c>
      <c r="T16" s="1">
        <f t="shared" si="2"/>
        <v>4</v>
      </c>
      <c r="U16" s="1">
        <f>SUM($T$5:T16)</f>
        <v>26</v>
      </c>
      <c r="V16" s="1">
        <f t="shared" si="3"/>
        <v>360</v>
      </c>
      <c r="W16" s="1">
        <v>1.2</v>
      </c>
      <c r="X16" s="1">
        <v>150</v>
      </c>
      <c r="Y16" s="1">
        <v>1</v>
      </c>
      <c r="Z16" s="1">
        <f t="shared" si="5"/>
        <v>180</v>
      </c>
      <c r="AA16" s="1">
        <f t="shared" si="6"/>
        <v>0.5714285714285714</v>
      </c>
      <c r="AB16" s="1">
        <v>10</v>
      </c>
      <c r="AC16" s="1">
        <v>30</v>
      </c>
      <c r="AD16" s="1">
        <f t="shared" si="7"/>
        <v>171.42857142857142</v>
      </c>
      <c r="AE16" s="1">
        <f t="shared" si="8"/>
        <v>0.97619047619047628</v>
      </c>
      <c r="AF16" s="1">
        <v>12</v>
      </c>
      <c r="AG16" s="1">
        <v>1</v>
      </c>
      <c r="AH16" s="1" t="s">
        <v>632</v>
      </c>
      <c r="AI16" s="1">
        <f t="shared" si="12"/>
        <v>340000</v>
      </c>
      <c r="AJ16" s="3">
        <v>10000159</v>
      </c>
      <c r="AK16" s="1" t="s">
        <v>633</v>
      </c>
      <c r="AL16" s="1">
        <f t="shared" si="9"/>
        <v>30</v>
      </c>
      <c r="AM16" s="1">
        <v>10010083</v>
      </c>
      <c r="AN16" s="1" t="s">
        <v>634</v>
      </c>
      <c r="AO16" s="1">
        <f t="shared" si="14"/>
        <v>30</v>
      </c>
      <c r="AP16" s="1">
        <v>10000143</v>
      </c>
      <c r="AQ16" s="1" t="s">
        <v>2829</v>
      </c>
      <c r="AR16" s="1">
        <v>10</v>
      </c>
      <c r="AS16" s="51">
        <v>10000158</v>
      </c>
      <c r="AT16" s="51" t="s">
        <v>2830</v>
      </c>
      <c r="AU16" s="1">
        <v>4</v>
      </c>
      <c r="AW16" s="1">
        <v>6</v>
      </c>
      <c r="AY16" s="3" t="str">
        <f t="shared" si="10"/>
        <v>1;340000@10000159;30@10010083;30@10000143;10@10000158;4</v>
      </c>
    </row>
    <row r="17" spans="1:62" s="3" customFormat="1" ht="20.100000000000001" customHeight="1">
      <c r="A17" s="3" t="s">
        <v>2776</v>
      </c>
      <c r="B17" s="1" t="s">
        <v>678</v>
      </c>
      <c r="C17" s="3" t="s">
        <v>2791</v>
      </c>
      <c r="D17" s="3" t="str">
        <f t="shared" si="15"/>
        <v>属性晶核:神佑</v>
      </c>
      <c r="G17" s="1"/>
      <c r="J17" s="1">
        <v>12</v>
      </c>
      <c r="K17" s="3" t="s">
        <v>679</v>
      </c>
      <c r="L17" s="3" t="s">
        <v>680</v>
      </c>
      <c r="P17" s="1">
        <f t="shared" si="0"/>
        <v>890</v>
      </c>
      <c r="Q17" s="1">
        <v>13</v>
      </c>
      <c r="R17" s="1">
        <f t="shared" si="1"/>
        <v>760</v>
      </c>
      <c r="S17" s="1">
        <f t="shared" si="16"/>
        <v>130</v>
      </c>
      <c r="T17" s="1">
        <f t="shared" si="2"/>
        <v>4.333333333333333</v>
      </c>
      <c r="U17" s="1">
        <f>SUM($T$5:T17)</f>
        <v>30.333333333333332</v>
      </c>
      <c r="V17" s="1">
        <f t="shared" si="3"/>
        <v>390</v>
      </c>
      <c r="W17" s="1">
        <v>1.2</v>
      </c>
      <c r="X17" s="1">
        <v>150</v>
      </c>
      <c r="Y17" s="1">
        <v>1</v>
      </c>
      <c r="Z17" s="1">
        <f t="shared" si="5"/>
        <v>180</v>
      </c>
      <c r="AA17" s="1">
        <f t="shared" si="6"/>
        <v>0.61904761904761896</v>
      </c>
      <c r="AB17" s="1">
        <v>10</v>
      </c>
      <c r="AC17" s="1">
        <v>30</v>
      </c>
      <c r="AD17" s="1">
        <f t="shared" si="7"/>
        <v>185.71428571428569</v>
      </c>
      <c r="AE17" s="1">
        <f t="shared" si="8"/>
        <v>0.93772893772893762</v>
      </c>
      <c r="AF17" s="1">
        <v>13</v>
      </c>
      <c r="AG17" s="1">
        <v>1</v>
      </c>
      <c r="AH17" s="1" t="s">
        <v>632</v>
      </c>
      <c r="AI17" s="1">
        <f t="shared" si="12"/>
        <v>360000</v>
      </c>
      <c r="AJ17" s="3">
        <v>10000159</v>
      </c>
      <c r="AK17" s="1" t="s">
        <v>633</v>
      </c>
      <c r="AL17" s="1">
        <f t="shared" si="9"/>
        <v>30</v>
      </c>
      <c r="AM17" s="1">
        <v>10010083</v>
      </c>
      <c r="AN17" s="1" t="s">
        <v>634</v>
      </c>
      <c r="AO17" s="1">
        <f t="shared" si="14"/>
        <v>30</v>
      </c>
      <c r="AP17" s="1">
        <v>10000143</v>
      </c>
      <c r="AQ17" s="1" t="s">
        <v>2829</v>
      </c>
      <c r="AR17" s="1">
        <v>10</v>
      </c>
      <c r="AS17" s="51">
        <v>10000158</v>
      </c>
      <c r="AT17" s="51" t="s">
        <v>2830</v>
      </c>
      <c r="AU17" s="1">
        <v>4</v>
      </c>
      <c r="AW17" s="1">
        <v>6.5</v>
      </c>
      <c r="AY17" s="3" t="str">
        <f t="shared" si="10"/>
        <v>1;360000@10000159;30@10010083;30@10000143;10@10000158;4</v>
      </c>
    </row>
    <row r="18" spans="1:62" s="3" customFormat="1" ht="20.100000000000001" customHeight="1">
      <c r="A18" s="3" t="s">
        <v>2776</v>
      </c>
      <c r="B18" s="1" t="s">
        <v>681</v>
      </c>
      <c r="C18" s="3" t="s">
        <v>682</v>
      </c>
      <c r="D18" s="3" t="str">
        <f t="shared" si="15"/>
        <v>属性晶核:物穿</v>
      </c>
      <c r="J18" s="1">
        <v>13</v>
      </c>
      <c r="K18" s="3" t="s">
        <v>683</v>
      </c>
      <c r="L18" s="3" t="s">
        <v>684</v>
      </c>
      <c r="P18" s="1">
        <f t="shared" si="0"/>
        <v>930</v>
      </c>
      <c r="Q18" s="1">
        <v>14</v>
      </c>
      <c r="R18" s="1">
        <f t="shared" si="1"/>
        <v>800</v>
      </c>
      <c r="S18" s="1">
        <f t="shared" si="16"/>
        <v>140</v>
      </c>
      <c r="T18" s="1">
        <f t="shared" si="2"/>
        <v>4.666666666666667</v>
      </c>
      <c r="U18" s="1">
        <f>SUM($T$5:T18)</f>
        <v>35</v>
      </c>
      <c r="V18" s="1">
        <f t="shared" si="3"/>
        <v>420</v>
      </c>
      <c r="W18" s="1">
        <v>1.2</v>
      </c>
      <c r="X18" s="1">
        <v>150</v>
      </c>
      <c r="Y18" s="1">
        <v>1</v>
      </c>
      <c r="Z18" s="1">
        <f t="shared" si="5"/>
        <v>180</v>
      </c>
      <c r="AA18" s="1">
        <f t="shared" si="6"/>
        <v>0.66666666666666674</v>
      </c>
      <c r="AB18" s="1">
        <v>10</v>
      </c>
      <c r="AC18" s="1">
        <v>30</v>
      </c>
      <c r="AD18" s="1">
        <f t="shared" si="7"/>
        <v>200.00000000000003</v>
      </c>
      <c r="AE18" s="1">
        <f t="shared" si="8"/>
        <v>0.90476190476190477</v>
      </c>
      <c r="AF18" s="1">
        <v>14</v>
      </c>
      <c r="AG18" s="1">
        <v>1</v>
      </c>
      <c r="AH18" s="1" t="s">
        <v>632</v>
      </c>
      <c r="AI18" s="1">
        <f t="shared" si="12"/>
        <v>380000</v>
      </c>
      <c r="AJ18" s="3">
        <v>10000159</v>
      </c>
      <c r="AK18" s="1" t="s">
        <v>633</v>
      </c>
      <c r="AL18" s="1">
        <f t="shared" si="9"/>
        <v>30</v>
      </c>
      <c r="AM18" s="1">
        <v>10010083</v>
      </c>
      <c r="AN18" s="1" t="s">
        <v>634</v>
      </c>
      <c r="AO18" s="1">
        <f t="shared" si="14"/>
        <v>30</v>
      </c>
      <c r="AP18" s="1">
        <v>10000143</v>
      </c>
      <c r="AQ18" s="1" t="s">
        <v>2829</v>
      </c>
      <c r="AR18" s="1">
        <v>10</v>
      </c>
      <c r="AS18" s="51">
        <v>10000158</v>
      </c>
      <c r="AT18" s="51" t="s">
        <v>2830</v>
      </c>
      <c r="AU18" s="1">
        <v>4</v>
      </c>
      <c r="AW18" s="1">
        <v>7</v>
      </c>
      <c r="AY18" s="3" t="str">
        <f t="shared" si="10"/>
        <v>1;380000@10000159;30@10010083;30@10000143;10@10000158;4</v>
      </c>
    </row>
    <row r="19" spans="1:62" s="3" customFormat="1" ht="20.100000000000001" customHeight="1">
      <c r="A19" s="3" t="s">
        <v>2776</v>
      </c>
      <c r="B19" s="1" t="s">
        <v>685</v>
      </c>
      <c r="C19" s="3" t="s">
        <v>686</v>
      </c>
      <c r="D19" s="3" t="str">
        <f t="shared" si="15"/>
        <v>属性晶核:魔穿</v>
      </c>
      <c r="J19" s="1">
        <v>14</v>
      </c>
      <c r="K19" s="3" t="s">
        <v>687</v>
      </c>
      <c r="L19" s="3" t="s">
        <v>688</v>
      </c>
      <c r="P19" s="1">
        <f t="shared" si="0"/>
        <v>970</v>
      </c>
      <c r="Q19" s="1">
        <v>15</v>
      </c>
      <c r="R19" s="1">
        <f t="shared" si="1"/>
        <v>840</v>
      </c>
      <c r="S19" s="1">
        <f t="shared" si="16"/>
        <v>150</v>
      </c>
      <c r="T19" s="1">
        <f t="shared" si="2"/>
        <v>5</v>
      </c>
      <c r="U19" s="1">
        <f>SUM($T$5:T19)</f>
        <v>40</v>
      </c>
      <c r="V19" s="1">
        <f t="shared" si="3"/>
        <v>450</v>
      </c>
      <c r="W19" s="1">
        <v>1.2</v>
      </c>
      <c r="X19" s="1">
        <v>150</v>
      </c>
      <c r="Y19" s="1">
        <v>1</v>
      </c>
      <c r="Z19" s="1">
        <f t="shared" si="5"/>
        <v>180</v>
      </c>
      <c r="AA19" s="1">
        <f t="shared" si="6"/>
        <v>0.7142857142857143</v>
      </c>
      <c r="AB19" s="1">
        <v>10</v>
      </c>
      <c r="AC19" s="1">
        <v>30</v>
      </c>
      <c r="AD19" s="1">
        <f t="shared" si="7"/>
        <v>214.28571428571428</v>
      </c>
      <c r="AE19" s="1">
        <f t="shared" si="8"/>
        <v>0.87619047619047619</v>
      </c>
      <c r="AF19" s="1">
        <v>15</v>
      </c>
      <c r="AG19" s="1">
        <v>1</v>
      </c>
      <c r="AH19" s="1" t="s">
        <v>632</v>
      </c>
      <c r="AI19" s="1">
        <f t="shared" si="12"/>
        <v>400000</v>
      </c>
      <c r="AJ19" s="3">
        <v>10000159</v>
      </c>
      <c r="AK19" s="1" t="s">
        <v>633</v>
      </c>
      <c r="AL19" s="1">
        <f t="shared" si="9"/>
        <v>30</v>
      </c>
      <c r="AM19" s="1">
        <v>10010083</v>
      </c>
      <c r="AN19" s="1" t="s">
        <v>634</v>
      </c>
      <c r="AO19" s="1">
        <f t="shared" si="14"/>
        <v>30</v>
      </c>
      <c r="AP19" s="1">
        <v>10000143</v>
      </c>
      <c r="AQ19" s="1" t="s">
        <v>2829</v>
      </c>
      <c r="AR19" s="1">
        <v>10</v>
      </c>
      <c r="AS19" s="51">
        <v>10000158</v>
      </c>
      <c r="AT19" s="51" t="s">
        <v>2830</v>
      </c>
      <c r="AU19" s="1">
        <v>5</v>
      </c>
      <c r="AW19" s="1">
        <v>7.5</v>
      </c>
      <c r="AY19" s="3" t="str">
        <f t="shared" si="10"/>
        <v>1;400000@10000159;30@10010083;30@10000143;10@10000158;5</v>
      </c>
    </row>
    <row r="20" spans="1:62" s="3" customFormat="1" ht="20.100000000000001" customHeight="1">
      <c r="A20" s="3" t="s">
        <v>2776</v>
      </c>
      <c r="B20" s="1" t="s">
        <v>689</v>
      </c>
      <c r="C20" s="3" t="s">
        <v>690</v>
      </c>
      <c r="D20" s="3" t="str">
        <f t="shared" si="15"/>
        <v>属性晶核:时间</v>
      </c>
      <c r="J20" s="1">
        <v>15</v>
      </c>
      <c r="K20" s="3" t="s">
        <v>691</v>
      </c>
      <c r="L20" s="3" t="s">
        <v>692</v>
      </c>
      <c r="P20" s="1">
        <f t="shared" si="0"/>
        <v>1040</v>
      </c>
      <c r="Q20" s="1">
        <v>16</v>
      </c>
      <c r="R20" s="1">
        <f t="shared" si="1"/>
        <v>910</v>
      </c>
      <c r="S20" s="1">
        <f>S19+15</f>
        <v>165</v>
      </c>
      <c r="T20" s="1">
        <f t="shared" si="2"/>
        <v>5.5</v>
      </c>
      <c r="U20" s="1">
        <f>SUM($T$5:T20)</f>
        <v>45.5</v>
      </c>
      <c r="V20" s="1">
        <f t="shared" si="3"/>
        <v>495</v>
      </c>
      <c r="W20" s="1">
        <v>1.2</v>
      </c>
      <c r="X20" s="1">
        <v>150</v>
      </c>
      <c r="Y20" s="1">
        <v>1</v>
      </c>
      <c r="Z20" s="1">
        <f t="shared" si="5"/>
        <v>180</v>
      </c>
      <c r="AA20" s="1">
        <f t="shared" si="6"/>
        <v>0.7857142857142857</v>
      </c>
      <c r="AB20" s="1">
        <v>10</v>
      </c>
      <c r="AC20" s="1">
        <v>30</v>
      </c>
      <c r="AD20" s="1">
        <f t="shared" si="7"/>
        <v>235.71428571428572</v>
      </c>
      <c r="AE20" s="1">
        <f t="shared" si="8"/>
        <v>0.83982683982683981</v>
      </c>
      <c r="AF20" s="1">
        <v>16</v>
      </c>
      <c r="AG20" s="1">
        <v>1</v>
      </c>
      <c r="AH20" s="1" t="s">
        <v>632</v>
      </c>
      <c r="AI20" s="1">
        <f t="shared" si="12"/>
        <v>420000</v>
      </c>
      <c r="AJ20" s="3">
        <v>10000159</v>
      </c>
      <c r="AK20" s="1" t="s">
        <v>633</v>
      </c>
      <c r="AL20" s="1">
        <f t="shared" si="9"/>
        <v>35</v>
      </c>
      <c r="AM20" s="1">
        <v>10010083</v>
      </c>
      <c r="AN20" s="1" t="s">
        <v>634</v>
      </c>
      <c r="AO20" s="1">
        <f t="shared" si="14"/>
        <v>35</v>
      </c>
      <c r="AP20" s="1">
        <v>10000143</v>
      </c>
      <c r="AQ20" s="1" t="s">
        <v>2829</v>
      </c>
      <c r="AR20" s="1">
        <v>10</v>
      </c>
      <c r="AS20" s="51">
        <v>10000158</v>
      </c>
      <c r="AT20" s="51" t="s">
        <v>2830</v>
      </c>
      <c r="AU20" s="1">
        <v>5</v>
      </c>
      <c r="AW20" s="1">
        <v>8</v>
      </c>
      <c r="AY20" s="3" t="str">
        <f t="shared" si="10"/>
        <v>1;420000@10000159;35@10010083;35@10000143;10@10000158;5</v>
      </c>
    </row>
    <row r="21" spans="1:62" s="3" customFormat="1" ht="20.100000000000001" customHeight="1">
      <c r="A21" s="3" t="s">
        <v>2776</v>
      </c>
      <c r="B21" s="1" t="s">
        <v>693</v>
      </c>
      <c r="C21" s="3" t="s">
        <v>694</v>
      </c>
      <c r="D21" s="3" t="str">
        <f t="shared" si="15"/>
        <v>属性晶核:物伤</v>
      </c>
      <c r="J21" s="1">
        <v>16</v>
      </c>
      <c r="K21" s="3" t="s">
        <v>695</v>
      </c>
      <c r="P21" s="1">
        <f t="shared" si="0"/>
        <v>1130</v>
      </c>
      <c r="Q21" s="1">
        <v>17</v>
      </c>
      <c r="R21" s="1">
        <f t="shared" si="1"/>
        <v>1000</v>
      </c>
      <c r="S21" s="1">
        <f t="shared" ref="S21:S29" si="17">S20+15</f>
        <v>180</v>
      </c>
      <c r="T21" s="1">
        <f t="shared" si="2"/>
        <v>6</v>
      </c>
      <c r="U21" s="1">
        <f>SUM($T$5:T21)</f>
        <v>51.5</v>
      </c>
      <c r="V21" s="1">
        <f t="shared" si="3"/>
        <v>540</v>
      </c>
      <c r="W21" s="1">
        <v>1.2</v>
      </c>
      <c r="X21" s="1">
        <v>150</v>
      </c>
      <c r="Y21" s="1">
        <v>1.1000000000000001</v>
      </c>
      <c r="Z21" s="1">
        <f t="shared" si="5"/>
        <v>198.00000000000003</v>
      </c>
      <c r="AA21" s="1">
        <f t="shared" si="6"/>
        <v>0.8571428571428571</v>
      </c>
      <c r="AB21" s="1">
        <v>10</v>
      </c>
      <c r="AC21" s="1">
        <v>30</v>
      </c>
      <c r="AD21" s="1">
        <f t="shared" si="7"/>
        <v>257.14285714285711</v>
      </c>
      <c r="AE21" s="1">
        <f t="shared" si="8"/>
        <v>0.84285714285714275</v>
      </c>
      <c r="AF21" s="1">
        <v>17</v>
      </c>
      <c r="AG21" s="1">
        <v>1</v>
      </c>
      <c r="AH21" s="1" t="s">
        <v>632</v>
      </c>
      <c r="AI21" s="1">
        <f t="shared" si="12"/>
        <v>440000</v>
      </c>
      <c r="AJ21" s="3">
        <v>10000159</v>
      </c>
      <c r="AK21" s="1" t="s">
        <v>633</v>
      </c>
      <c r="AL21" s="1">
        <f t="shared" si="9"/>
        <v>35</v>
      </c>
      <c r="AM21" s="1">
        <v>10010083</v>
      </c>
      <c r="AN21" s="1" t="s">
        <v>634</v>
      </c>
      <c r="AO21" s="1">
        <f t="shared" si="14"/>
        <v>35</v>
      </c>
      <c r="AP21" s="1">
        <v>10000143</v>
      </c>
      <c r="AQ21" s="1" t="s">
        <v>2829</v>
      </c>
      <c r="AR21" s="1">
        <v>10</v>
      </c>
      <c r="AS21" s="51">
        <v>10000158</v>
      </c>
      <c r="AT21" s="51" t="s">
        <v>2830</v>
      </c>
      <c r="AU21" s="1">
        <v>5</v>
      </c>
      <c r="AW21" s="1">
        <v>8.5</v>
      </c>
      <c r="AY21" s="3" t="str">
        <f t="shared" si="10"/>
        <v>1;440000@10000159;35@10010083;35@10000143;10@10000158;5</v>
      </c>
    </row>
    <row r="22" spans="1:62" s="3" customFormat="1" ht="20.100000000000001" customHeight="1">
      <c r="A22" s="3" t="s">
        <v>2776</v>
      </c>
      <c r="B22" s="1" t="s">
        <v>696</v>
      </c>
      <c r="C22" s="3" t="s">
        <v>697</v>
      </c>
      <c r="D22" s="3" t="str">
        <f t="shared" si="15"/>
        <v>属性晶核:魔伤</v>
      </c>
      <c r="H22" s="3" t="s">
        <v>698</v>
      </c>
      <c r="J22" s="1">
        <v>17</v>
      </c>
      <c r="K22" s="3" t="s">
        <v>699</v>
      </c>
      <c r="L22" s="67" t="s">
        <v>700</v>
      </c>
      <c r="P22" s="1">
        <f t="shared" si="0"/>
        <v>1210</v>
      </c>
      <c r="Q22" s="1">
        <v>18</v>
      </c>
      <c r="R22" s="1">
        <f t="shared" si="1"/>
        <v>1080</v>
      </c>
      <c r="S22" s="1">
        <f t="shared" si="17"/>
        <v>195</v>
      </c>
      <c r="T22" s="1">
        <f t="shared" si="2"/>
        <v>6.5</v>
      </c>
      <c r="U22" s="1">
        <f>SUM($T$5:T22)</f>
        <v>58</v>
      </c>
      <c r="V22" s="1">
        <f t="shared" si="3"/>
        <v>585</v>
      </c>
      <c r="W22" s="1">
        <v>1.2</v>
      </c>
      <c r="X22" s="1">
        <v>150</v>
      </c>
      <c r="Y22" s="1">
        <v>1.2</v>
      </c>
      <c r="Z22" s="1">
        <f t="shared" si="5"/>
        <v>216</v>
      </c>
      <c r="AA22" s="1">
        <f t="shared" si="6"/>
        <v>0.9285714285714286</v>
      </c>
      <c r="AB22" s="1">
        <v>10</v>
      </c>
      <c r="AC22" s="1">
        <v>30</v>
      </c>
      <c r="AD22" s="1">
        <f t="shared" si="7"/>
        <v>278.57142857142856</v>
      </c>
      <c r="AE22" s="1">
        <f t="shared" si="8"/>
        <v>0.84542124542124542</v>
      </c>
      <c r="AF22" s="1">
        <v>18</v>
      </c>
      <c r="AG22" s="1">
        <v>1</v>
      </c>
      <c r="AH22" s="1" t="s">
        <v>632</v>
      </c>
      <c r="AI22" s="1">
        <f t="shared" si="12"/>
        <v>460000</v>
      </c>
      <c r="AJ22" s="3">
        <v>10000159</v>
      </c>
      <c r="AK22" s="1" t="s">
        <v>633</v>
      </c>
      <c r="AL22" s="1">
        <f t="shared" si="9"/>
        <v>35</v>
      </c>
      <c r="AM22" s="1">
        <v>10010083</v>
      </c>
      <c r="AN22" s="1" t="s">
        <v>634</v>
      </c>
      <c r="AO22" s="1">
        <f t="shared" si="14"/>
        <v>35</v>
      </c>
      <c r="AP22" s="1">
        <v>10000143</v>
      </c>
      <c r="AQ22" s="1" t="s">
        <v>2829</v>
      </c>
      <c r="AR22" s="1">
        <v>10</v>
      </c>
      <c r="AS22" s="51">
        <v>10000158</v>
      </c>
      <c r="AT22" s="51" t="s">
        <v>2830</v>
      </c>
      <c r="AU22" s="1">
        <v>5</v>
      </c>
      <c r="AW22" s="1">
        <v>9</v>
      </c>
      <c r="AY22" s="3" t="str">
        <f t="shared" si="10"/>
        <v>1;460000@10000159;35@10010083;35@10000143;10@10000158;5</v>
      </c>
    </row>
    <row r="23" spans="1:62" s="3" customFormat="1" ht="20.100000000000001" customHeight="1">
      <c r="A23" s="3" t="s">
        <v>2776</v>
      </c>
      <c r="B23" s="1" t="s">
        <v>2783</v>
      </c>
      <c r="C23" s="3" t="s">
        <v>701</v>
      </c>
      <c r="D23" s="3" t="str">
        <f t="shared" si="15"/>
        <v>属性晶核:普攻</v>
      </c>
      <c r="H23" s="3" t="s">
        <v>702</v>
      </c>
      <c r="J23" s="1">
        <v>18</v>
      </c>
      <c r="K23" s="3" t="s">
        <v>703</v>
      </c>
      <c r="L23" s="3" t="s">
        <v>704</v>
      </c>
      <c r="P23" s="1">
        <f t="shared" si="0"/>
        <v>1290</v>
      </c>
      <c r="Q23" s="1">
        <v>19</v>
      </c>
      <c r="R23" s="1">
        <f t="shared" si="1"/>
        <v>1160</v>
      </c>
      <c r="S23" s="1">
        <f t="shared" si="17"/>
        <v>210</v>
      </c>
      <c r="T23" s="1">
        <f t="shared" si="2"/>
        <v>7</v>
      </c>
      <c r="U23" s="1">
        <f>SUM($T$5:T23)</f>
        <v>65</v>
      </c>
      <c r="V23" s="1">
        <f t="shared" si="3"/>
        <v>630</v>
      </c>
      <c r="W23" s="1">
        <v>1.2</v>
      </c>
      <c r="X23" s="1">
        <v>150</v>
      </c>
      <c r="Y23" s="1">
        <v>1.3</v>
      </c>
      <c r="Z23" s="1">
        <f t="shared" si="5"/>
        <v>234</v>
      </c>
      <c r="AA23" s="1">
        <f t="shared" si="6"/>
        <v>1</v>
      </c>
      <c r="AB23" s="1">
        <v>10</v>
      </c>
      <c r="AC23" s="1">
        <v>30</v>
      </c>
      <c r="AD23" s="1">
        <f t="shared" si="7"/>
        <v>300</v>
      </c>
      <c r="AE23" s="1">
        <f t="shared" si="8"/>
        <v>0.84761904761904761</v>
      </c>
      <c r="AF23" s="1">
        <v>19</v>
      </c>
      <c r="AG23" s="1">
        <v>1</v>
      </c>
      <c r="AH23" s="1" t="s">
        <v>632</v>
      </c>
      <c r="AI23" s="1">
        <f t="shared" si="12"/>
        <v>480000</v>
      </c>
      <c r="AJ23" s="3">
        <v>10000159</v>
      </c>
      <c r="AK23" s="1" t="s">
        <v>633</v>
      </c>
      <c r="AL23" s="1">
        <f t="shared" si="9"/>
        <v>35</v>
      </c>
      <c r="AM23" s="1">
        <v>10010083</v>
      </c>
      <c r="AN23" s="1" t="s">
        <v>634</v>
      </c>
      <c r="AO23" s="1">
        <f t="shared" si="14"/>
        <v>35</v>
      </c>
      <c r="AP23" s="1">
        <v>10000143</v>
      </c>
      <c r="AQ23" s="1" t="s">
        <v>2829</v>
      </c>
      <c r="AR23" s="1">
        <v>10</v>
      </c>
      <c r="AS23" s="51">
        <v>10000158</v>
      </c>
      <c r="AT23" s="51" t="s">
        <v>2830</v>
      </c>
      <c r="AU23" s="1">
        <v>5</v>
      </c>
      <c r="AW23" s="1">
        <v>9.5</v>
      </c>
      <c r="AY23" s="3" t="str">
        <f t="shared" si="10"/>
        <v>1;480000@10000159;35@10010083;35@10000143;10@10000158;5</v>
      </c>
    </row>
    <row r="24" spans="1:62" s="3" customFormat="1" ht="20.100000000000001" customHeight="1">
      <c r="A24" s="3" t="s">
        <v>2776</v>
      </c>
      <c r="B24" s="1" t="s">
        <v>2771</v>
      </c>
      <c r="C24" s="3" t="s">
        <v>705</v>
      </c>
      <c r="D24" s="3" t="str">
        <f t="shared" si="15"/>
        <v>属性晶核:攻击</v>
      </c>
      <c r="J24" s="1">
        <v>19</v>
      </c>
      <c r="K24" s="3" t="s">
        <v>706</v>
      </c>
      <c r="L24" s="3" t="s">
        <v>703</v>
      </c>
      <c r="P24" s="1">
        <f t="shared" si="0"/>
        <v>1380</v>
      </c>
      <c r="Q24" s="1">
        <v>20</v>
      </c>
      <c r="R24" s="1">
        <f t="shared" si="1"/>
        <v>1250</v>
      </c>
      <c r="S24" s="1">
        <f t="shared" si="17"/>
        <v>225</v>
      </c>
      <c r="T24" s="1">
        <f t="shared" si="2"/>
        <v>7.5</v>
      </c>
      <c r="U24" s="1">
        <f>SUM($T$5:T24)</f>
        <v>72.5</v>
      </c>
      <c r="V24" s="1">
        <f t="shared" si="3"/>
        <v>675</v>
      </c>
      <c r="W24" s="1">
        <v>1.2</v>
      </c>
      <c r="X24" s="1">
        <v>150</v>
      </c>
      <c r="Y24" s="1">
        <v>1.4</v>
      </c>
      <c r="Z24" s="1">
        <f t="shared" si="5"/>
        <v>251.99999999999997</v>
      </c>
      <c r="AA24" s="1">
        <f t="shared" si="6"/>
        <v>1.0714285714285714</v>
      </c>
      <c r="AB24" s="1">
        <v>10</v>
      </c>
      <c r="AC24" s="1">
        <v>30</v>
      </c>
      <c r="AD24" s="1">
        <f t="shared" si="7"/>
        <v>321.42857142857144</v>
      </c>
      <c r="AE24" s="1">
        <f t="shared" si="8"/>
        <v>0.84952380952380957</v>
      </c>
      <c r="AF24" s="1">
        <v>20</v>
      </c>
      <c r="AG24" s="1">
        <v>1</v>
      </c>
      <c r="AH24" s="1" t="s">
        <v>632</v>
      </c>
      <c r="AI24" s="1">
        <f t="shared" si="12"/>
        <v>500000</v>
      </c>
      <c r="AJ24" s="3">
        <v>10000159</v>
      </c>
      <c r="AK24" s="1" t="s">
        <v>633</v>
      </c>
      <c r="AL24" s="1">
        <f t="shared" si="9"/>
        <v>35</v>
      </c>
      <c r="AM24" s="1">
        <v>10010083</v>
      </c>
      <c r="AN24" s="1" t="s">
        <v>634</v>
      </c>
      <c r="AO24" s="1">
        <f t="shared" si="14"/>
        <v>35</v>
      </c>
      <c r="AP24" s="1">
        <v>10000143</v>
      </c>
      <c r="AQ24" s="1" t="s">
        <v>2829</v>
      </c>
      <c r="AR24" s="1">
        <v>15</v>
      </c>
      <c r="AS24" s="51">
        <v>10000158</v>
      </c>
      <c r="AT24" s="51" t="s">
        <v>2830</v>
      </c>
      <c r="AU24" s="1">
        <v>5</v>
      </c>
      <c r="AW24" s="1">
        <v>10</v>
      </c>
      <c r="AY24" s="3" t="str">
        <f t="shared" si="10"/>
        <v>1;500000@10000159;35@10010083;35@10000143;15@10000158;5</v>
      </c>
    </row>
    <row r="25" spans="1:62" s="3" customFormat="1" ht="20.100000000000001" customHeight="1">
      <c r="A25" s="3" t="s">
        <v>2776</v>
      </c>
      <c r="B25" s="1" t="s">
        <v>2784</v>
      </c>
      <c r="C25" s="3" t="s">
        <v>707</v>
      </c>
      <c r="D25" s="3" t="str">
        <f t="shared" si="15"/>
        <v>属性晶核:领主伤害</v>
      </c>
      <c r="J25" s="1">
        <v>20</v>
      </c>
      <c r="K25" s="3" t="s">
        <v>708</v>
      </c>
      <c r="L25" s="3" t="s">
        <v>646</v>
      </c>
      <c r="P25" s="1">
        <f t="shared" si="0"/>
        <v>1460</v>
      </c>
      <c r="Q25" s="1">
        <v>21</v>
      </c>
      <c r="R25" s="1">
        <f t="shared" si="1"/>
        <v>1330</v>
      </c>
      <c r="S25" s="1">
        <f t="shared" si="17"/>
        <v>240</v>
      </c>
      <c r="T25" s="1">
        <f t="shared" si="2"/>
        <v>8</v>
      </c>
      <c r="U25" s="1">
        <f>SUM($T$5:T25)</f>
        <v>80.5</v>
      </c>
      <c r="V25" s="1">
        <f t="shared" si="3"/>
        <v>720</v>
      </c>
      <c r="W25" s="1">
        <v>1.2</v>
      </c>
      <c r="X25" s="1">
        <v>150</v>
      </c>
      <c r="Y25" s="1">
        <v>1.5</v>
      </c>
      <c r="Z25" s="1">
        <f t="shared" si="5"/>
        <v>270</v>
      </c>
      <c r="AA25" s="1">
        <f t="shared" si="6"/>
        <v>1.1428571428571428</v>
      </c>
      <c r="AB25" s="1">
        <v>10</v>
      </c>
      <c r="AC25" s="1">
        <v>30</v>
      </c>
      <c r="AD25" s="1">
        <f t="shared" si="7"/>
        <v>342.85714285714283</v>
      </c>
      <c r="AE25" s="1">
        <f t="shared" si="8"/>
        <v>0.85119047619047628</v>
      </c>
      <c r="AF25" s="1">
        <v>21</v>
      </c>
      <c r="AG25" s="1">
        <v>1</v>
      </c>
      <c r="AH25" s="1" t="s">
        <v>632</v>
      </c>
      <c r="AI25" s="1">
        <f t="shared" si="12"/>
        <v>520000</v>
      </c>
      <c r="AJ25" s="3">
        <v>10000159</v>
      </c>
      <c r="AK25" s="1" t="s">
        <v>633</v>
      </c>
      <c r="AL25" s="1">
        <f t="shared" si="9"/>
        <v>40</v>
      </c>
      <c r="AM25" s="1">
        <v>10010083</v>
      </c>
      <c r="AN25" s="1" t="s">
        <v>634</v>
      </c>
      <c r="AO25" s="1">
        <f t="shared" si="14"/>
        <v>40</v>
      </c>
      <c r="AP25" s="1">
        <v>10000143</v>
      </c>
      <c r="AQ25" s="1" t="s">
        <v>2829</v>
      </c>
      <c r="AR25" s="1">
        <v>15</v>
      </c>
      <c r="AS25" s="51">
        <v>10000158</v>
      </c>
      <c r="AT25" s="51" t="s">
        <v>2830</v>
      </c>
      <c r="AU25" s="1">
        <v>5</v>
      </c>
      <c r="AW25" s="1">
        <v>10.5</v>
      </c>
      <c r="AY25" s="3" t="str">
        <f t="shared" si="10"/>
        <v>1;520000@10000159;40@10010083;40@10000143;15@10000158;5</v>
      </c>
    </row>
    <row r="26" spans="1:62" s="3" customFormat="1" ht="20.100000000000001" customHeight="1">
      <c r="A26" s="3" t="s">
        <v>2776</v>
      </c>
      <c r="B26" s="1" t="s">
        <v>2785</v>
      </c>
      <c r="C26" s="3" t="s">
        <v>709</v>
      </c>
      <c r="D26" s="3" t="str">
        <f t="shared" si="15"/>
        <v>属性晶核:领主减伤</v>
      </c>
      <c r="G26" s="3" t="s">
        <v>710</v>
      </c>
      <c r="J26" s="1">
        <v>21</v>
      </c>
      <c r="K26" s="3" t="s">
        <v>711</v>
      </c>
      <c r="L26" s="3" t="s">
        <v>712</v>
      </c>
      <c r="P26" s="1">
        <f t="shared" si="0"/>
        <v>1550</v>
      </c>
      <c r="Q26" s="1">
        <v>22</v>
      </c>
      <c r="R26" s="1">
        <f t="shared" si="1"/>
        <v>1420</v>
      </c>
      <c r="S26" s="1">
        <f t="shared" si="17"/>
        <v>255</v>
      </c>
      <c r="T26" s="1">
        <f t="shared" si="2"/>
        <v>8.5</v>
      </c>
      <c r="U26" s="1">
        <f>SUM($T$5:T26)</f>
        <v>89</v>
      </c>
      <c r="V26" s="1">
        <f t="shared" si="3"/>
        <v>765</v>
      </c>
      <c r="W26" s="1">
        <v>1.2</v>
      </c>
      <c r="X26" s="1">
        <v>150</v>
      </c>
      <c r="Y26" s="1">
        <v>1.6</v>
      </c>
      <c r="Z26" s="1">
        <f t="shared" si="5"/>
        <v>288</v>
      </c>
      <c r="AA26" s="1">
        <f t="shared" si="6"/>
        <v>1.2142857142857142</v>
      </c>
      <c r="AB26" s="1">
        <v>10</v>
      </c>
      <c r="AC26" s="1">
        <v>30</v>
      </c>
      <c r="AD26" s="1">
        <f t="shared" si="7"/>
        <v>364.28571428571428</v>
      </c>
      <c r="AE26" s="1">
        <f t="shared" si="8"/>
        <v>0.85266106442577028</v>
      </c>
      <c r="AF26" s="1">
        <v>22</v>
      </c>
      <c r="AG26" s="1">
        <v>1</v>
      </c>
      <c r="AH26" s="1" t="s">
        <v>632</v>
      </c>
      <c r="AI26" s="1">
        <f t="shared" si="12"/>
        <v>540000</v>
      </c>
      <c r="AJ26" s="3">
        <v>10000159</v>
      </c>
      <c r="AK26" s="1" t="s">
        <v>633</v>
      </c>
      <c r="AL26" s="1">
        <f t="shared" si="9"/>
        <v>40</v>
      </c>
      <c r="AM26" s="1">
        <v>10010083</v>
      </c>
      <c r="AN26" s="1" t="s">
        <v>634</v>
      </c>
      <c r="AO26" s="1">
        <f t="shared" si="14"/>
        <v>40</v>
      </c>
      <c r="AP26" s="1">
        <v>10000143</v>
      </c>
      <c r="AQ26" s="1" t="s">
        <v>2829</v>
      </c>
      <c r="AR26" s="1">
        <v>15</v>
      </c>
      <c r="AS26" s="51">
        <v>10000158</v>
      </c>
      <c r="AT26" s="51" t="s">
        <v>2830</v>
      </c>
      <c r="AU26" s="1">
        <v>5</v>
      </c>
      <c r="AW26" s="1">
        <v>11</v>
      </c>
      <c r="AY26" s="3" t="str">
        <f t="shared" si="10"/>
        <v>1;540000@10000159;40@10010083;40@10000143;15@10000158;5</v>
      </c>
    </row>
    <row r="27" spans="1:62" s="3" customFormat="1" ht="20.100000000000001" customHeight="1">
      <c r="A27" s="3" t="s">
        <v>2776</v>
      </c>
      <c r="B27" s="1" t="s">
        <v>2786</v>
      </c>
      <c r="C27" s="3" t="s">
        <v>713</v>
      </c>
      <c r="D27" s="3" t="str">
        <f t="shared" si="15"/>
        <v>属性晶核:抵抗</v>
      </c>
      <c r="J27" s="1">
        <v>22</v>
      </c>
      <c r="K27" s="3" t="s">
        <v>714</v>
      </c>
      <c r="L27" s="3" t="s">
        <v>715</v>
      </c>
      <c r="P27" s="1">
        <f t="shared" si="0"/>
        <v>1630</v>
      </c>
      <c r="Q27" s="1">
        <v>23</v>
      </c>
      <c r="R27" s="1">
        <f t="shared" si="1"/>
        <v>1500</v>
      </c>
      <c r="S27" s="1">
        <f t="shared" si="17"/>
        <v>270</v>
      </c>
      <c r="T27" s="1">
        <f t="shared" si="2"/>
        <v>9</v>
      </c>
      <c r="U27" s="1">
        <f>SUM($T$5:T27)</f>
        <v>98</v>
      </c>
      <c r="V27" s="1">
        <f t="shared" si="3"/>
        <v>810</v>
      </c>
      <c r="W27" s="1">
        <v>1.2</v>
      </c>
      <c r="X27" s="1">
        <v>150</v>
      </c>
      <c r="Y27" s="1">
        <v>1.7</v>
      </c>
      <c r="Z27" s="1">
        <f t="shared" si="5"/>
        <v>306</v>
      </c>
      <c r="AA27" s="1">
        <f t="shared" si="6"/>
        <v>1.2857142857142858</v>
      </c>
      <c r="AB27" s="1">
        <v>10</v>
      </c>
      <c r="AC27" s="1">
        <v>30</v>
      </c>
      <c r="AD27" s="1">
        <f t="shared" si="7"/>
        <v>385.71428571428572</v>
      </c>
      <c r="AE27" s="1">
        <f t="shared" si="8"/>
        <v>0.85396825396825404</v>
      </c>
      <c r="AF27" s="1">
        <v>23</v>
      </c>
      <c r="AG27" s="1">
        <v>1</v>
      </c>
      <c r="AH27" s="1" t="s">
        <v>632</v>
      </c>
      <c r="AI27" s="1">
        <f t="shared" si="12"/>
        <v>560000</v>
      </c>
      <c r="AJ27" s="3">
        <v>10000159</v>
      </c>
      <c r="AK27" s="1" t="s">
        <v>633</v>
      </c>
      <c r="AL27" s="1">
        <f t="shared" si="9"/>
        <v>40</v>
      </c>
      <c r="AM27" s="1">
        <v>10010083</v>
      </c>
      <c r="AN27" s="1" t="s">
        <v>634</v>
      </c>
      <c r="AO27" s="1">
        <f t="shared" si="14"/>
        <v>40</v>
      </c>
      <c r="AP27" s="1">
        <v>10000143</v>
      </c>
      <c r="AQ27" s="1" t="s">
        <v>2829</v>
      </c>
      <c r="AR27" s="1">
        <v>15</v>
      </c>
      <c r="AS27" s="51">
        <v>10000158</v>
      </c>
      <c r="AT27" s="51" t="s">
        <v>2830</v>
      </c>
      <c r="AU27" s="1">
        <v>5</v>
      </c>
      <c r="AW27" s="1">
        <v>11.5</v>
      </c>
      <c r="AY27" s="3" t="str">
        <f t="shared" si="10"/>
        <v>1;560000@10000159;40@10010083;40@10000143;15@10000158;5</v>
      </c>
    </row>
    <row r="28" spans="1:62" s="3" customFormat="1" ht="20.100000000000001" customHeight="1">
      <c r="A28" s="3" t="s">
        <v>2776</v>
      </c>
      <c r="B28" s="1" t="s">
        <v>2787</v>
      </c>
      <c r="C28" s="3" t="s">
        <v>716</v>
      </c>
      <c r="D28" s="3" t="str">
        <f t="shared" si="15"/>
        <v>属性晶核:移动</v>
      </c>
      <c r="J28" s="1">
        <v>23</v>
      </c>
      <c r="K28" s="3" t="s">
        <v>717</v>
      </c>
      <c r="L28" s="3" t="s">
        <v>718</v>
      </c>
      <c r="P28" s="1">
        <f t="shared" si="0"/>
        <v>1720</v>
      </c>
      <c r="Q28" s="1">
        <v>24</v>
      </c>
      <c r="R28" s="1">
        <f t="shared" si="1"/>
        <v>1590</v>
      </c>
      <c r="S28" s="1">
        <f t="shared" si="17"/>
        <v>285</v>
      </c>
      <c r="T28" s="1">
        <f t="shared" si="2"/>
        <v>9.5</v>
      </c>
      <c r="U28" s="1">
        <f>SUM($T$5:T28)</f>
        <v>107.5</v>
      </c>
      <c r="V28" s="1">
        <f t="shared" si="3"/>
        <v>855</v>
      </c>
      <c r="W28" s="1">
        <v>1.2</v>
      </c>
      <c r="X28" s="1">
        <v>150</v>
      </c>
      <c r="Y28" s="1">
        <v>1.8</v>
      </c>
      <c r="Z28" s="1">
        <f t="shared" si="5"/>
        <v>324</v>
      </c>
      <c r="AA28" s="1">
        <f t="shared" si="6"/>
        <v>1.3571428571428572</v>
      </c>
      <c r="AB28" s="1">
        <v>10</v>
      </c>
      <c r="AC28" s="1">
        <v>30</v>
      </c>
      <c r="AD28" s="1">
        <f t="shared" si="7"/>
        <v>407.14285714285717</v>
      </c>
      <c r="AE28" s="1">
        <f t="shared" si="8"/>
        <v>0.85513784461152875</v>
      </c>
      <c r="AF28" s="1">
        <v>24</v>
      </c>
      <c r="AG28" s="1">
        <v>1</v>
      </c>
      <c r="AH28" s="1" t="s">
        <v>632</v>
      </c>
      <c r="AI28" s="1">
        <f t="shared" si="12"/>
        <v>580000</v>
      </c>
      <c r="AJ28" s="3">
        <v>10000159</v>
      </c>
      <c r="AK28" s="1" t="s">
        <v>633</v>
      </c>
      <c r="AL28" s="1">
        <f t="shared" si="9"/>
        <v>40</v>
      </c>
      <c r="AM28" s="1">
        <v>10010083</v>
      </c>
      <c r="AN28" s="1" t="s">
        <v>634</v>
      </c>
      <c r="AO28" s="1">
        <f t="shared" si="14"/>
        <v>40</v>
      </c>
      <c r="AP28" s="1">
        <v>10000143</v>
      </c>
      <c r="AQ28" s="1" t="s">
        <v>2829</v>
      </c>
      <c r="AR28" s="1">
        <v>15</v>
      </c>
      <c r="AS28" s="51">
        <v>10000158</v>
      </c>
      <c r="AT28" s="51" t="s">
        <v>2830</v>
      </c>
      <c r="AU28" s="1">
        <v>5</v>
      </c>
      <c r="AW28" s="1">
        <v>12</v>
      </c>
      <c r="AY28" s="3" t="str">
        <f t="shared" si="10"/>
        <v>1;580000@10000159;40@10010083;40@10000143;15@10000158;5</v>
      </c>
    </row>
    <row r="29" spans="1:62" s="3" customFormat="1" ht="20.100000000000001" customHeight="1">
      <c r="E29" s="3" t="s">
        <v>719</v>
      </c>
      <c r="J29" s="1">
        <v>24</v>
      </c>
      <c r="K29" s="3" t="s">
        <v>720</v>
      </c>
      <c r="L29" s="3" t="s">
        <v>721</v>
      </c>
      <c r="P29" s="1">
        <f t="shared" si="0"/>
        <v>1800</v>
      </c>
      <c r="Q29" s="1">
        <v>25</v>
      </c>
      <c r="R29" s="1">
        <f t="shared" si="1"/>
        <v>1670</v>
      </c>
      <c r="S29" s="1">
        <f t="shared" si="17"/>
        <v>300</v>
      </c>
      <c r="T29" s="1">
        <f t="shared" si="2"/>
        <v>10</v>
      </c>
      <c r="U29" s="1">
        <f>SUM($T$5:T29)</f>
        <v>117.5</v>
      </c>
      <c r="V29" s="1">
        <f t="shared" si="3"/>
        <v>900</v>
      </c>
      <c r="W29" s="1">
        <v>1.2</v>
      </c>
      <c r="X29" s="1">
        <v>150</v>
      </c>
      <c r="Y29" s="1">
        <v>1.9</v>
      </c>
      <c r="Z29" s="1">
        <f t="shared" si="5"/>
        <v>342</v>
      </c>
      <c r="AA29" s="1">
        <f t="shared" si="6"/>
        <v>1.4285714285714286</v>
      </c>
      <c r="AB29" s="1">
        <v>10</v>
      </c>
      <c r="AC29" s="1">
        <v>30</v>
      </c>
      <c r="AD29" s="1">
        <f t="shared" si="7"/>
        <v>428.57142857142856</v>
      </c>
      <c r="AE29" s="1">
        <f t="shared" si="8"/>
        <v>0.85619047619047617</v>
      </c>
      <c r="AF29" s="1">
        <v>25</v>
      </c>
      <c r="AG29" s="1">
        <v>1</v>
      </c>
      <c r="AH29" s="1" t="s">
        <v>632</v>
      </c>
      <c r="AI29" s="1">
        <f t="shared" si="12"/>
        <v>600000</v>
      </c>
      <c r="AJ29" s="3">
        <v>10000159</v>
      </c>
      <c r="AK29" s="1" t="s">
        <v>633</v>
      </c>
      <c r="AL29" s="1">
        <f t="shared" si="9"/>
        <v>40</v>
      </c>
      <c r="AM29" s="1">
        <v>10010083</v>
      </c>
      <c r="AN29" s="1" t="s">
        <v>634</v>
      </c>
      <c r="AO29" s="1">
        <f t="shared" si="14"/>
        <v>40</v>
      </c>
      <c r="AP29" s="1">
        <v>10000143</v>
      </c>
      <c r="AQ29" s="1" t="s">
        <v>2829</v>
      </c>
      <c r="AR29" s="1">
        <v>15</v>
      </c>
      <c r="AS29" s="51">
        <v>10000158</v>
      </c>
      <c r="AT29" s="51" t="s">
        <v>2830</v>
      </c>
      <c r="AU29" s="1">
        <v>5</v>
      </c>
      <c r="AW29" s="1">
        <v>12.5</v>
      </c>
      <c r="AY29" s="3" t="str">
        <f t="shared" si="10"/>
        <v>1;600000@10000159;40@10010083;40@10000143;15@10000158;5</v>
      </c>
    </row>
    <row r="30" spans="1:62" s="3" customFormat="1" ht="20.100000000000001" customHeight="1">
      <c r="B30" s="4" t="s">
        <v>722</v>
      </c>
      <c r="J30" s="1">
        <v>25</v>
      </c>
      <c r="K30" s="3" t="s">
        <v>723</v>
      </c>
      <c r="L30" s="3" t="s">
        <v>724</v>
      </c>
      <c r="P30" s="1"/>
      <c r="AH30" s="1"/>
      <c r="AW30" s="1"/>
    </row>
    <row r="31" spans="1:62" s="3" customFormat="1" ht="20.100000000000001" customHeight="1">
      <c r="A31" s="3" t="s">
        <v>2775</v>
      </c>
      <c r="B31" s="1" t="s">
        <v>2774</v>
      </c>
      <c r="C31" s="3" t="s">
        <v>725</v>
      </c>
      <c r="D31" s="3" t="str">
        <f t="shared" ref="D31:D35" si="18">A31&amp;B31</f>
        <v>武器晶核:剑</v>
      </c>
      <c r="J31" s="1">
        <v>26</v>
      </c>
      <c r="K31" s="3" t="s">
        <v>726</v>
      </c>
      <c r="L31" s="3" t="s">
        <v>727</v>
      </c>
      <c r="P31" s="1"/>
      <c r="AE31" s="1" t="s">
        <v>2831</v>
      </c>
      <c r="AH31" s="1"/>
      <c r="AP31" s="51">
        <v>10000141</v>
      </c>
      <c r="AQ31" s="52" t="s">
        <v>2836</v>
      </c>
      <c r="AR31" s="3">
        <v>1</v>
      </c>
      <c r="AT31" s="51"/>
      <c r="AU31" s="109"/>
      <c r="AW31" s="1"/>
      <c r="AY31" s="1" t="s">
        <v>2848</v>
      </c>
    </row>
    <row r="32" spans="1:62" s="3" customFormat="1" ht="20.100000000000001" customHeight="1">
      <c r="A32" s="3" t="s">
        <v>2775</v>
      </c>
      <c r="B32" s="1" t="s">
        <v>58</v>
      </c>
      <c r="C32" s="3" t="s">
        <v>728</v>
      </c>
      <c r="D32" s="3" t="str">
        <f t="shared" si="18"/>
        <v>武器晶核:刀</v>
      </c>
      <c r="F32" s="3" t="s">
        <v>729</v>
      </c>
      <c r="J32" s="1">
        <v>27</v>
      </c>
      <c r="K32" s="3" t="s">
        <v>683</v>
      </c>
      <c r="X32" s="1" t="s">
        <v>2837</v>
      </c>
      <c r="Y32" s="1" t="s">
        <v>2838</v>
      </c>
      <c r="AH32" s="1"/>
      <c r="AT32" s="51"/>
      <c r="AU32" s="107"/>
      <c r="AW32" s="1"/>
      <c r="AY32" s="1">
        <v>1</v>
      </c>
      <c r="AZ32" s="1">
        <v>1</v>
      </c>
      <c r="BA32" s="1" t="s">
        <v>2849</v>
      </c>
      <c r="BB32" s="1">
        <v>100000</v>
      </c>
      <c r="BC32" s="1">
        <v>31</v>
      </c>
      <c r="BD32" s="1" t="s">
        <v>2832</v>
      </c>
      <c r="BE32" s="1">
        <v>20</v>
      </c>
      <c r="BF32" s="1">
        <v>10000159</v>
      </c>
      <c r="BG32" s="1" t="s">
        <v>633</v>
      </c>
      <c r="BH32" s="1">
        <v>5</v>
      </c>
      <c r="BJ32" s="3" t="str">
        <f>AZ32&amp;";"&amp;BB32&amp;"@"&amp;BC32&amp;";"&amp;BE32&amp;"@"&amp;";"&amp;BF32&amp;";"&amp;BH32</f>
        <v>1;100000@31;20@;10000159;5</v>
      </c>
    </row>
    <row r="33" spans="1:62" s="3" customFormat="1" ht="20.100000000000001" customHeight="1">
      <c r="A33" s="3" t="s">
        <v>2775</v>
      </c>
      <c r="B33" s="1" t="s">
        <v>730</v>
      </c>
      <c r="C33" s="3" t="s">
        <v>731</v>
      </c>
      <c r="D33" s="3" t="str">
        <f t="shared" si="18"/>
        <v>武器晶核:法杖</v>
      </c>
      <c r="J33" s="1">
        <v>28</v>
      </c>
      <c r="K33" s="3" t="s">
        <v>732</v>
      </c>
      <c r="X33" s="1">
        <v>1</v>
      </c>
      <c r="Y33" s="1">
        <v>1</v>
      </c>
      <c r="Z33" s="3" t="str">
        <f>"10000162;"&amp;Y33</f>
        <v>10000162;1</v>
      </c>
      <c r="AB33" s="1">
        <v>1</v>
      </c>
      <c r="AC33" s="3" t="s">
        <v>636</v>
      </c>
      <c r="AF33" s="1">
        <v>1</v>
      </c>
      <c r="AG33" s="1">
        <v>1</v>
      </c>
      <c r="AH33" s="1" t="s">
        <v>632</v>
      </c>
      <c r="AI33" s="1">
        <v>500000</v>
      </c>
      <c r="AJ33" s="3">
        <v>10000159</v>
      </c>
      <c r="AK33" s="1" t="s">
        <v>633</v>
      </c>
      <c r="AL33" s="1">
        <v>2</v>
      </c>
      <c r="AM33" s="3">
        <v>31</v>
      </c>
      <c r="AN33" s="3" t="s">
        <v>2832</v>
      </c>
      <c r="AO33" s="3">
        <v>150</v>
      </c>
      <c r="AP33" s="1">
        <v>10000143</v>
      </c>
      <c r="AQ33" s="1" t="s">
        <v>2829</v>
      </c>
      <c r="AR33" s="3">
        <v>2</v>
      </c>
      <c r="AT33" s="3" t="str">
        <f>AJ33&amp;";"&amp;AM33&amp;";"&amp;AP33</f>
        <v>10000159;31;10000143</v>
      </c>
      <c r="AV33" s="3" t="str">
        <f>AL33&amp;";"&amp;AO33&amp;";"&amp;AR33</f>
        <v>2;150;2</v>
      </c>
      <c r="AW33" s="1"/>
      <c r="AY33" s="1">
        <v>2</v>
      </c>
      <c r="AZ33" s="1">
        <v>1</v>
      </c>
      <c r="BA33" s="1" t="s">
        <v>2849</v>
      </c>
      <c r="BB33" s="1">
        <v>150000</v>
      </c>
      <c r="BC33" s="1">
        <v>31</v>
      </c>
      <c r="BD33" s="1" t="s">
        <v>2832</v>
      </c>
      <c r="BE33" s="1">
        <v>30</v>
      </c>
      <c r="BF33" s="1">
        <v>10000159</v>
      </c>
      <c r="BG33" s="1" t="s">
        <v>633</v>
      </c>
      <c r="BH33" s="1">
        <v>5</v>
      </c>
      <c r="BJ33" s="3" t="str">
        <f t="shared" ref="BJ33:BJ34" si="19">AZ33&amp;";"&amp;BB33&amp;"@"&amp;BC33&amp;";"&amp;BE33&amp;"@"&amp;";"&amp;BF33&amp;";"&amp;BH33</f>
        <v>1;150000@31;30@;10000159;5</v>
      </c>
    </row>
    <row r="34" spans="1:62" s="3" customFormat="1" ht="20.100000000000001" customHeight="1">
      <c r="A34" s="3" t="s">
        <v>2775</v>
      </c>
      <c r="B34" s="1" t="s">
        <v>37</v>
      </c>
      <c r="C34" s="3" t="s">
        <v>733</v>
      </c>
      <c r="D34" s="3" t="str">
        <f t="shared" si="18"/>
        <v>武器晶核:魔法书</v>
      </c>
      <c r="J34" s="1">
        <v>29</v>
      </c>
      <c r="K34" s="3" t="s">
        <v>734</v>
      </c>
      <c r="L34" s="67" t="s">
        <v>735</v>
      </c>
      <c r="X34" s="1">
        <v>2</v>
      </c>
      <c r="Y34" s="1">
        <v>5</v>
      </c>
      <c r="Z34" s="3" t="str">
        <f t="shared" ref="Z34:Z41" si="20">"10000162;"&amp;Y34</f>
        <v>10000162;5</v>
      </c>
      <c r="AB34" s="1">
        <v>2</v>
      </c>
      <c r="AC34" s="3" t="s">
        <v>641</v>
      </c>
      <c r="AF34" s="1">
        <v>2</v>
      </c>
      <c r="AG34" s="1">
        <v>1</v>
      </c>
      <c r="AH34" s="1" t="s">
        <v>632</v>
      </c>
      <c r="AI34" s="1">
        <v>500000</v>
      </c>
      <c r="AJ34" s="3">
        <v>10000159</v>
      </c>
      <c r="AK34" s="1" t="s">
        <v>633</v>
      </c>
      <c r="AL34" s="1">
        <v>2</v>
      </c>
      <c r="AM34" s="3">
        <v>31</v>
      </c>
      <c r="AN34" s="3" t="s">
        <v>2832</v>
      </c>
      <c r="AO34" s="3">
        <v>150</v>
      </c>
      <c r="AP34" s="51">
        <v>10000158</v>
      </c>
      <c r="AQ34" s="51" t="s">
        <v>2830</v>
      </c>
      <c r="AR34" s="3">
        <v>2</v>
      </c>
      <c r="AT34" s="3" t="str">
        <f t="shared" ref="AT34:AT62" si="21">AJ34&amp;";"&amp;AM34&amp;";"&amp;AP34</f>
        <v>10000159;31;10000158</v>
      </c>
      <c r="AV34" s="3" t="str">
        <f t="shared" ref="AV34:AV62" si="22">AL34&amp;";"&amp;AO34&amp;";"&amp;AR34</f>
        <v>2;150;2</v>
      </c>
      <c r="AW34" s="1"/>
      <c r="AY34" s="1">
        <v>3</v>
      </c>
      <c r="AZ34" s="1">
        <v>1</v>
      </c>
      <c r="BA34" s="1" t="s">
        <v>2849</v>
      </c>
      <c r="BB34" s="1">
        <v>200000</v>
      </c>
      <c r="BC34" s="1">
        <v>31</v>
      </c>
      <c r="BD34" s="1" t="s">
        <v>2832</v>
      </c>
      <c r="BE34" s="1">
        <v>40</v>
      </c>
      <c r="BF34" s="1">
        <v>10000159</v>
      </c>
      <c r="BG34" s="1" t="s">
        <v>633</v>
      </c>
      <c r="BH34" s="1">
        <v>10</v>
      </c>
      <c r="BJ34" s="3" t="str">
        <f t="shared" si="19"/>
        <v>1;200000@31;40@;10000159;10</v>
      </c>
    </row>
    <row r="35" spans="1:62" s="3" customFormat="1" ht="20.100000000000001" customHeight="1">
      <c r="A35" s="3" t="s">
        <v>2775</v>
      </c>
      <c r="B35" s="1" t="s">
        <v>43</v>
      </c>
      <c r="C35" s="3" t="s">
        <v>736</v>
      </c>
      <c r="D35" s="3" t="str">
        <f t="shared" si="18"/>
        <v>武器晶核:弓箭</v>
      </c>
      <c r="J35" s="1">
        <v>30</v>
      </c>
      <c r="K35" s="3" t="s">
        <v>737</v>
      </c>
      <c r="L35" s="3" t="s">
        <v>738</v>
      </c>
      <c r="X35" s="1">
        <v>3</v>
      </c>
      <c r="Y35" s="1">
        <v>10</v>
      </c>
      <c r="Z35" s="3" t="str">
        <f t="shared" si="20"/>
        <v>10000162;10</v>
      </c>
      <c r="AB35" s="1">
        <v>3</v>
      </c>
      <c r="AC35" s="3" t="s">
        <v>669</v>
      </c>
      <c r="AF35" s="1">
        <v>3</v>
      </c>
      <c r="AG35" s="1">
        <v>1</v>
      </c>
      <c r="AH35" s="1" t="s">
        <v>632</v>
      </c>
      <c r="AI35" s="1">
        <v>500000</v>
      </c>
      <c r="AJ35" s="3">
        <v>10000159</v>
      </c>
      <c r="AK35" s="1" t="s">
        <v>633</v>
      </c>
      <c r="AL35" s="1">
        <v>2</v>
      </c>
      <c r="AM35" s="3">
        <v>31</v>
      </c>
      <c r="AN35" s="3" t="s">
        <v>2832</v>
      </c>
      <c r="AO35" s="3">
        <v>150</v>
      </c>
      <c r="AP35" s="51">
        <v>10000162</v>
      </c>
      <c r="AQ35" s="52" t="s">
        <v>2833</v>
      </c>
      <c r="AR35" s="3">
        <v>2</v>
      </c>
      <c r="AT35" s="3" t="str">
        <f t="shared" si="21"/>
        <v>10000159;31;10000162</v>
      </c>
      <c r="AV35" s="3" t="str">
        <f t="shared" si="22"/>
        <v>2;150;2</v>
      </c>
      <c r="AW35" s="1"/>
      <c r="AY35" s="1"/>
    </row>
    <row r="36" spans="1:62" s="3" customFormat="1" ht="20.100000000000001" customHeight="1">
      <c r="J36" s="1"/>
      <c r="L36" s="3" t="s">
        <v>739</v>
      </c>
      <c r="X36" s="1">
        <v>4</v>
      </c>
      <c r="Y36" s="1">
        <v>15</v>
      </c>
      <c r="Z36" s="3" t="str">
        <f t="shared" si="20"/>
        <v>10000162;15</v>
      </c>
      <c r="AB36" s="1">
        <v>4</v>
      </c>
      <c r="AC36" s="3" t="s">
        <v>651</v>
      </c>
      <c r="AF36" s="1">
        <v>4</v>
      </c>
      <c r="AG36" s="1">
        <v>1</v>
      </c>
      <c r="AH36" s="1" t="s">
        <v>632</v>
      </c>
      <c r="AI36" s="1">
        <v>500000</v>
      </c>
      <c r="AJ36" s="3">
        <v>10000159</v>
      </c>
      <c r="AK36" s="1" t="s">
        <v>633</v>
      </c>
      <c r="AL36" s="1">
        <v>2</v>
      </c>
      <c r="AM36" s="3">
        <v>31</v>
      </c>
      <c r="AN36" s="3" t="s">
        <v>2832</v>
      </c>
      <c r="AO36" s="3">
        <v>150</v>
      </c>
      <c r="AP36" s="51">
        <v>10000139</v>
      </c>
      <c r="AQ36" s="52" t="s">
        <v>2839</v>
      </c>
      <c r="AR36" s="3">
        <v>1</v>
      </c>
      <c r="AT36" s="3" t="str">
        <f t="shared" si="21"/>
        <v>10000159;31;10000139</v>
      </c>
      <c r="AV36" s="3" t="str">
        <f t="shared" si="22"/>
        <v>2;150;1</v>
      </c>
      <c r="AW36" s="1"/>
    </row>
    <row r="37" spans="1:62" s="3" customFormat="1" ht="20.100000000000001" customHeight="1">
      <c r="B37" s="4" t="s">
        <v>740</v>
      </c>
      <c r="L37" s="3" t="s">
        <v>741</v>
      </c>
      <c r="X37" s="1">
        <v>5</v>
      </c>
      <c r="Y37" s="1">
        <v>20</v>
      </c>
      <c r="Z37" s="3" t="str">
        <f t="shared" si="20"/>
        <v>10000162;20</v>
      </c>
      <c r="AB37" s="1">
        <v>5</v>
      </c>
      <c r="AC37" s="3" t="s">
        <v>654</v>
      </c>
      <c r="AF37" s="1">
        <v>5</v>
      </c>
      <c r="AG37" s="1">
        <v>1</v>
      </c>
      <c r="AH37" s="1" t="s">
        <v>632</v>
      </c>
      <c r="AI37" s="1">
        <v>500000</v>
      </c>
      <c r="AJ37" s="3">
        <v>10000159</v>
      </c>
      <c r="AK37" s="1" t="s">
        <v>633</v>
      </c>
      <c r="AL37" s="1">
        <v>3</v>
      </c>
      <c r="AM37" s="3">
        <v>31</v>
      </c>
      <c r="AN37" s="3" t="s">
        <v>2832</v>
      </c>
      <c r="AO37" s="3">
        <v>150</v>
      </c>
      <c r="AP37" s="51">
        <v>10010029</v>
      </c>
      <c r="AQ37" s="109" t="s">
        <v>2843</v>
      </c>
      <c r="AR37" s="3">
        <v>5</v>
      </c>
      <c r="AT37" s="3" t="str">
        <f t="shared" si="21"/>
        <v>10000159;31;10010029</v>
      </c>
      <c r="AV37" s="3" t="str">
        <f t="shared" si="22"/>
        <v>3;150;5</v>
      </c>
      <c r="AY37" s="3" t="s">
        <v>2850</v>
      </c>
      <c r="AZ37" s="3" t="s">
        <v>2857</v>
      </c>
      <c r="BA37" s="1"/>
      <c r="BB37" s="1" t="s">
        <v>2852</v>
      </c>
      <c r="BD37" s="1" t="s">
        <v>2853</v>
      </c>
      <c r="BE37" s="1" t="s">
        <v>2854</v>
      </c>
    </row>
    <row r="38" spans="1:62" s="3" customFormat="1" ht="20.100000000000001" customHeight="1">
      <c r="A38" s="3" t="s">
        <v>2776</v>
      </c>
      <c r="B38" s="1" t="s">
        <v>742</v>
      </c>
      <c r="C38" s="3" t="str">
        <f>B38&amp;"提升100点"</f>
        <v>力量提升100点</v>
      </c>
      <c r="D38" s="3" t="str">
        <f t="shared" ref="D38:D43" si="23">A38&amp;B38</f>
        <v>属性晶核:力量</v>
      </c>
      <c r="L38" s="3" t="s">
        <v>743</v>
      </c>
      <c r="X38" s="1">
        <v>6</v>
      </c>
      <c r="Y38" s="1">
        <v>25</v>
      </c>
      <c r="Z38" s="3" t="str">
        <f t="shared" si="20"/>
        <v>10000162;25</v>
      </c>
      <c r="AB38" s="1">
        <v>6</v>
      </c>
      <c r="AC38" s="3" t="s">
        <v>658</v>
      </c>
      <c r="AF38" s="1">
        <v>6</v>
      </c>
      <c r="AG38" s="1">
        <v>1</v>
      </c>
      <c r="AH38" s="1" t="s">
        <v>632</v>
      </c>
      <c r="AI38" s="1">
        <v>500000</v>
      </c>
      <c r="AJ38" s="3">
        <v>10000159</v>
      </c>
      <c r="AK38" s="1" t="s">
        <v>633</v>
      </c>
      <c r="AL38" s="1">
        <v>3</v>
      </c>
      <c r="AM38" s="3">
        <v>31</v>
      </c>
      <c r="AN38" s="3" t="s">
        <v>2832</v>
      </c>
      <c r="AO38" s="3">
        <v>150</v>
      </c>
      <c r="AP38" s="1">
        <v>10000143</v>
      </c>
      <c r="AQ38" s="1" t="s">
        <v>2829</v>
      </c>
      <c r="AR38" s="3">
        <v>2</v>
      </c>
      <c r="AT38" s="3" t="str">
        <f t="shared" si="21"/>
        <v>10000159;31;10000143</v>
      </c>
      <c r="AV38" s="3" t="str">
        <f t="shared" si="22"/>
        <v>3;150;2</v>
      </c>
      <c r="AW38" s="1"/>
      <c r="AZ38" s="1" t="s">
        <v>2851</v>
      </c>
      <c r="BA38" s="1">
        <v>1</v>
      </c>
      <c r="BB38" s="1">
        <v>1</v>
      </c>
      <c r="BD38"/>
      <c r="BE38"/>
    </row>
    <row r="39" spans="1:62" s="3" customFormat="1" ht="20.100000000000001" customHeight="1">
      <c r="A39" s="3" t="s">
        <v>2776</v>
      </c>
      <c r="B39" s="1" t="s">
        <v>744</v>
      </c>
      <c r="C39" s="3" t="str">
        <f t="shared" ref="C39:C42" si="24">B39&amp;"提升100点"</f>
        <v>智力提升100点</v>
      </c>
      <c r="D39" s="3" t="str">
        <f t="shared" si="23"/>
        <v>属性晶核:智力</v>
      </c>
      <c r="K39" s="3" t="s">
        <v>745</v>
      </c>
      <c r="L39" s="3" t="s">
        <v>746</v>
      </c>
      <c r="X39" s="1">
        <v>7</v>
      </c>
      <c r="Y39" s="1">
        <v>30</v>
      </c>
      <c r="Z39" s="3" t="str">
        <f t="shared" si="20"/>
        <v>10000162;30</v>
      </c>
      <c r="AB39" s="1">
        <v>7</v>
      </c>
      <c r="AC39" s="3" t="s">
        <v>661</v>
      </c>
      <c r="AF39" s="1">
        <v>7</v>
      </c>
      <c r="AG39" s="1">
        <v>1</v>
      </c>
      <c r="AH39" s="1" t="s">
        <v>632</v>
      </c>
      <c r="AI39" s="1">
        <v>500000</v>
      </c>
      <c r="AJ39" s="3">
        <v>10000159</v>
      </c>
      <c r="AK39" s="1" t="s">
        <v>633</v>
      </c>
      <c r="AL39" s="1">
        <v>3</v>
      </c>
      <c r="AM39" s="3">
        <v>31</v>
      </c>
      <c r="AN39" s="3" t="s">
        <v>2832</v>
      </c>
      <c r="AO39" s="3">
        <v>150</v>
      </c>
      <c r="AP39" s="51">
        <v>10000157</v>
      </c>
      <c r="AQ39" s="52" t="s">
        <v>2840</v>
      </c>
      <c r="AR39" s="3">
        <v>2</v>
      </c>
      <c r="AT39" s="3" t="str">
        <f t="shared" si="21"/>
        <v>10000159;31;10000157</v>
      </c>
      <c r="AV39" s="3" t="str">
        <f t="shared" si="22"/>
        <v>3;150;2</v>
      </c>
      <c r="AW39" s="1"/>
      <c r="BA39" s="1">
        <v>1</v>
      </c>
      <c r="BB39" s="1">
        <v>0.4</v>
      </c>
      <c r="BD39"/>
      <c r="BE39" s="1">
        <v>120</v>
      </c>
    </row>
    <row r="40" spans="1:62" s="3" customFormat="1" ht="20.100000000000001" customHeight="1">
      <c r="A40" s="3" t="s">
        <v>2776</v>
      </c>
      <c r="B40" s="1" t="s">
        <v>747</v>
      </c>
      <c r="C40" s="3" t="str">
        <f t="shared" si="24"/>
        <v>敏捷提升100点</v>
      </c>
      <c r="D40" s="3" t="str">
        <f t="shared" si="23"/>
        <v>属性晶核:敏捷</v>
      </c>
      <c r="G40" s="3">
        <f>6*3600</f>
        <v>21600</v>
      </c>
      <c r="J40" s="3">
        <f>14400/3600</f>
        <v>4</v>
      </c>
      <c r="L40" s="3" t="s">
        <v>717</v>
      </c>
      <c r="X40" s="1">
        <v>8</v>
      </c>
      <c r="Y40" s="1">
        <v>40</v>
      </c>
      <c r="Z40" s="3" t="str">
        <f t="shared" si="20"/>
        <v>10000162;40</v>
      </c>
      <c r="AB40" s="1">
        <v>8</v>
      </c>
      <c r="AC40" s="3" t="s">
        <v>666</v>
      </c>
      <c r="AF40" s="1">
        <v>8</v>
      </c>
      <c r="AG40" s="1">
        <v>1</v>
      </c>
      <c r="AH40" s="1" t="s">
        <v>632</v>
      </c>
      <c r="AI40" s="1">
        <v>500000</v>
      </c>
      <c r="AJ40" s="3">
        <v>10000159</v>
      </c>
      <c r="AK40" s="1" t="s">
        <v>633</v>
      </c>
      <c r="AL40" s="1">
        <v>3</v>
      </c>
      <c r="AM40" s="3">
        <v>31</v>
      </c>
      <c r="AN40" s="3" t="s">
        <v>2832</v>
      </c>
      <c r="AO40" s="3">
        <v>150</v>
      </c>
      <c r="AP40" s="51">
        <v>10010053</v>
      </c>
      <c r="AQ40" s="107" t="s">
        <v>2841</v>
      </c>
      <c r="AR40" s="3">
        <v>1</v>
      </c>
      <c r="AT40" s="3" t="str">
        <f t="shared" si="21"/>
        <v>10000159;31;10010053</v>
      </c>
      <c r="AV40" s="3" t="str">
        <f t="shared" si="22"/>
        <v>3;150;1</v>
      </c>
      <c r="AW40" s="1"/>
      <c r="BA40" s="1">
        <v>1</v>
      </c>
      <c r="BB40" s="1">
        <v>0.1</v>
      </c>
      <c r="BD40"/>
      <c r="BE40" s="3" t="s">
        <v>2855</v>
      </c>
    </row>
    <row r="41" spans="1:62" s="3" customFormat="1" ht="20.100000000000001" customHeight="1">
      <c r="A41" s="3" t="s">
        <v>2776</v>
      </c>
      <c r="B41" s="1" t="s">
        <v>748</v>
      </c>
      <c r="C41" s="3" t="str">
        <f t="shared" si="24"/>
        <v>耐力提升100点</v>
      </c>
      <c r="D41" s="3" t="str">
        <f t="shared" si="23"/>
        <v>属性晶核:耐力</v>
      </c>
      <c r="G41" s="3">
        <f>G40*2</f>
        <v>43200</v>
      </c>
      <c r="H41" s="3">
        <v>1.8</v>
      </c>
      <c r="J41" s="3" t="s">
        <v>749</v>
      </c>
      <c r="L41" s="3" t="s">
        <v>699</v>
      </c>
      <c r="X41" s="1">
        <v>9</v>
      </c>
      <c r="Y41" s="1">
        <v>50</v>
      </c>
      <c r="Z41" s="3" t="str">
        <f t="shared" si="20"/>
        <v>10000162;50</v>
      </c>
      <c r="AB41" s="1">
        <v>9</v>
      </c>
      <c r="AC41" s="3" t="s">
        <v>672</v>
      </c>
      <c r="AF41" s="1">
        <v>9</v>
      </c>
      <c r="AG41" s="1">
        <v>1</v>
      </c>
      <c r="AH41" s="1" t="s">
        <v>632</v>
      </c>
      <c r="AI41" s="1">
        <v>500000</v>
      </c>
      <c r="AJ41" s="3">
        <v>10000159</v>
      </c>
      <c r="AK41" s="1" t="s">
        <v>633</v>
      </c>
      <c r="AL41" s="1">
        <v>3</v>
      </c>
      <c r="AM41" s="3">
        <v>31</v>
      </c>
      <c r="AN41" s="3" t="s">
        <v>2832</v>
      </c>
      <c r="AO41" s="3">
        <v>150</v>
      </c>
      <c r="AP41" s="51">
        <v>10000142</v>
      </c>
      <c r="AQ41" s="52" t="s">
        <v>2835</v>
      </c>
      <c r="AR41" s="3">
        <v>1</v>
      </c>
      <c r="AT41" s="3" t="str">
        <f t="shared" si="21"/>
        <v>10000159;31;10000142</v>
      </c>
      <c r="AV41" s="3" t="str">
        <f t="shared" si="22"/>
        <v>3;150;1</v>
      </c>
      <c r="AW41" s="1"/>
      <c r="AZ41" s="1">
        <v>0.75</v>
      </c>
      <c r="BA41" s="1" t="s">
        <v>2862</v>
      </c>
      <c r="BB41" s="1">
        <v>1</v>
      </c>
      <c r="BC41" s="1" t="s">
        <v>2867</v>
      </c>
    </row>
    <row r="42" spans="1:62" s="3" customFormat="1" ht="20.100000000000001" customHeight="1">
      <c r="A42" s="3" t="s">
        <v>2776</v>
      </c>
      <c r="B42" s="1" t="s">
        <v>750</v>
      </c>
      <c r="C42" s="3" t="str">
        <f t="shared" si="24"/>
        <v>体质提升100点</v>
      </c>
      <c r="D42" s="3" t="str">
        <f t="shared" si="23"/>
        <v>属性晶核:体质</v>
      </c>
      <c r="H42" s="3">
        <f>G41/H41</f>
        <v>24000</v>
      </c>
      <c r="L42" s="3" t="s">
        <v>751</v>
      </c>
      <c r="AB42" s="1">
        <v>10</v>
      </c>
      <c r="AC42" s="3" t="s">
        <v>646</v>
      </c>
      <c r="AF42" s="1">
        <v>10</v>
      </c>
      <c r="AG42" s="1">
        <v>1</v>
      </c>
      <c r="AH42" s="1" t="s">
        <v>632</v>
      </c>
      <c r="AI42" s="1">
        <v>750000</v>
      </c>
      <c r="AJ42" s="3">
        <v>10000159</v>
      </c>
      <c r="AK42" s="1" t="s">
        <v>633</v>
      </c>
      <c r="AL42" s="1">
        <v>4</v>
      </c>
      <c r="AM42" s="3">
        <v>31</v>
      </c>
      <c r="AN42" s="3" t="s">
        <v>2832</v>
      </c>
      <c r="AO42" s="3">
        <v>150</v>
      </c>
      <c r="AP42" s="51">
        <v>10010093</v>
      </c>
      <c r="AQ42" s="108" t="s">
        <v>2842</v>
      </c>
      <c r="AR42" s="3">
        <v>1</v>
      </c>
      <c r="AT42" s="3" t="str">
        <f t="shared" si="21"/>
        <v>10000159;31;10010093</v>
      </c>
      <c r="AV42" s="3" t="str">
        <f t="shared" si="22"/>
        <v>4;150;1</v>
      </c>
      <c r="AW42" s="1"/>
      <c r="AZ42" s="1">
        <v>0.2</v>
      </c>
      <c r="BA42" s="1" t="s">
        <v>2863</v>
      </c>
      <c r="BB42" s="1">
        <v>1</v>
      </c>
      <c r="BC42" s="1" t="s">
        <v>2866</v>
      </c>
    </row>
    <row r="43" spans="1:62" ht="20.100000000000001" customHeight="1">
      <c r="B43" s="3"/>
      <c r="C43" s="3"/>
      <c r="D43" s="3" t="str">
        <f t="shared" si="23"/>
        <v/>
      </c>
      <c r="H43">
        <f>39600/24000</f>
        <v>1.65</v>
      </c>
      <c r="AB43" s="1">
        <v>11</v>
      </c>
      <c r="AC43" s="3" t="s">
        <v>676</v>
      </c>
      <c r="AF43" s="1">
        <v>11</v>
      </c>
      <c r="AG43" s="1">
        <v>1</v>
      </c>
      <c r="AH43" s="1" t="s">
        <v>632</v>
      </c>
      <c r="AI43" s="1">
        <v>750000</v>
      </c>
      <c r="AJ43" s="3">
        <v>10000159</v>
      </c>
      <c r="AK43" s="1" t="s">
        <v>633</v>
      </c>
      <c r="AL43" s="1">
        <v>4</v>
      </c>
      <c r="AM43" s="3">
        <v>31</v>
      </c>
      <c r="AN43" s="3" t="s">
        <v>2832</v>
      </c>
      <c r="AO43" s="3">
        <v>150</v>
      </c>
      <c r="AP43" s="51">
        <v>10000141</v>
      </c>
      <c r="AQ43" s="52" t="s">
        <v>2836</v>
      </c>
      <c r="AR43" s="3">
        <v>1</v>
      </c>
      <c r="AT43" s="3" t="str">
        <f t="shared" si="21"/>
        <v>10000159;31;10000141</v>
      </c>
      <c r="AV43" s="3" t="str">
        <f t="shared" si="22"/>
        <v>4;150;1</v>
      </c>
      <c r="AZ43" s="1">
        <v>0.1</v>
      </c>
      <c r="BA43" s="1" t="s">
        <v>2864</v>
      </c>
      <c r="BB43" s="1">
        <v>1</v>
      </c>
      <c r="BC43" s="1" t="s">
        <v>2865</v>
      </c>
    </row>
    <row r="44" spans="1:62" ht="20.100000000000001" customHeight="1">
      <c r="B44" s="4" t="s">
        <v>752</v>
      </c>
      <c r="C44" s="3"/>
      <c r="AB44" s="1">
        <v>12</v>
      </c>
      <c r="AC44" s="3" t="s">
        <v>679</v>
      </c>
      <c r="AF44" s="1">
        <v>12</v>
      </c>
      <c r="AG44" s="1">
        <v>1</v>
      </c>
      <c r="AH44" s="1" t="s">
        <v>632</v>
      </c>
      <c r="AI44" s="1">
        <v>750000</v>
      </c>
      <c r="AJ44" s="3">
        <v>10000159</v>
      </c>
      <c r="AK44" s="1" t="s">
        <v>633</v>
      </c>
      <c r="AL44" s="1">
        <v>4</v>
      </c>
      <c r="AM44" s="3">
        <v>31</v>
      </c>
      <c r="AN44" s="3" t="s">
        <v>2832</v>
      </c>
      <c r="AO44" s="3">
        <v>150</v>
      </c>
      <c r="AP44" s="1">
        <v>10000143</v>
      </c>
      <c r="AQ44" s="1" t="s">
        <v>2829</v>
      </c>
      <c r="AR44" s="3">
        <v>3</v>
      </c>
      <c r="AT44" s="3" t="str">
        <f t="shared" si="21"/>
        <v>10000159;31;10000143</v>
      </c>
      <c r="AV44" s="3" t="str">
        <f t="shared" si="22"/>
        <v>4;150;3</v>
      </c>
    </row>
    <row r="45" spans="1:62" ht="20.100000000000001" customHeight="1">
      <c r="A45" s="3" t="s">
        <v>2778</v>
      </c>
      <c r="B45" s="1" t="s">
        <v>2779</v>
      </c>
      <c r="C45" s="3" t="s">
        <v>753</v>
      </c>
      <c r="AB45" s="1">
        <v>13</v>
      </c>
      <c r="AC45" s="3" t="s">
        <v>683</v>
      </c>
      <c r="AF45" s="1">
        <v>13</v>
      </c>
      <c r="AG45" s="1">
        <v>1</v>
      </c>
      <c r="AH45" s="1" t="s">
        <v>632</v>
      </c>
      <c r="AI45" s="1">
        <v>750000</v>
      </c>
      <c r="AJ45" s="3">
        <v>10000159</v>
      </c>
      <c r="AK45" s="1" t="s">
        <v>633</v>
      </c>
      <c r="AL45" s="1">
        <v>4</v>
      </c>
      <c r="AM45" s="3">
        <v>31</v>
      </c>
      <c r="AN45" s="3" t="s">
        <v>2832</v>
      </c>
      <c r="AO45" s="3">
        <v>150</v>
      </c>
      <c r="AP45" s="51">
        <v>10010029</v>
      </c>
      <c r="AQ45" s="109" t="s">
        <v>2843</v>
      </c>
      <c r="AR45" s="3">
        <v>5</v>
      </c>
      <c r="AT45" s="3" t="str">
        <f t="shared" si="21"/>
        <v>10000159;31;10010029</v>
      </c>
      <c r="AV45" s="3" t="str">
        <f t="shared" si="22"/>
        <v>4;150;5</v>
      </c>
    </row>
    <row r="46" spans="1:62" ht="20.100000000000001" customHeight="1">
      <c r="A46" s="3" t="s">
        <v>2778</v>
      </c>
      <c r="B46" s="1" t="s">
        <v>2780</v>
      </c>
      <c r="C46" s="3" t="s">
        <v>754</v>
      </c>
      <c r="J46" s="1">
        <v>1</v>
      </c>
      <c r="AB46" s="1">
        <v>14</v>
      </c>
      <c r="AC46" s="3" t="s">
        <v>687</v>
      </c>
      <c r="AF46" s="1">
        <v>14</v>
      </c>
      <c r="AG46" s="1">
        <v>1</v>
      </c>
      <c r="AH46" s="1" t="s">
        <v>632</v>
      </c>
      <c r="AI46" s="1">
        <v>750000</v>
      </c>
      <c r="AJ46" s="3">
        <v>10000159</v>
      </c>
      <c r="AK46" s="1" t="s">
        <v>633</v>
      </c>
      <c r="AL46" s="1">
        <v>4</v>
      </c>
      <c r="AM46" s="3">
        <v>31</v>
      </c>
      <c r="AN46" s="3" t="s">
        <v>2832</v>
      </c>
      <c r="AO46" s="3">
        <v>150</v>
      </c>
      <c r="AP46" s="51">
        <v>10000157</v>
      </c>
      <c r="AQ46" s="52" t="s">
        <v>2840</v>
      </c>
      <c r="AR46" s="3">
        <v>2</v>
      </c>
      <c r="AT46" s="3" t="str">
        <f t="shared" si="21"/>
        <v>10000159;31;10000157</v>
      </c>
      <c r="AV46" s="3" t="str">
        <f t="shared" si="22"/>
        <v>4;150;2</v>
      </c>
    </row>
    <row r="47" spans="1:62" ht="20.100000000000001" customHeight="1">
      <c r="A47" s="3" t="s">
        <v>2778</v>
      </c>
      <c r="B47" s="1" t="s">
        <v>2781</v>
      </c>
      <c r="C47" s="3" t="s">
        <v>755</v>
      </c>
      <c r="J47" s="1">
        <v>2</v>
      </c>
      <c r="AB47" s="1">
        <v>15</v>
      </c>
      <c r="AC47" s="3" t="s">
        <v>691</v>
      </c>
      <c r="AF47" s="1">
        <v>15</v>
      </c>
      <c r="AG47" s="1">
        <v>1</v>
      </c>
      <c r="AH47" s="1" t="s">
        <v>632</v>
      </c>
      <c r="AI47" s="1">
        <v>750000</v>
      </c>
      <c r="AJ47" s="3">
        <v>10000159</v>
      </c>
      <c r="AK47" s="1" t="s">
        <v>633</v>
      </c>
      <c r="AL47" s="1">
        <v>5</v>
      </c>
      <c r="AM47" s="3">
        <v>31</v>
      </c>
      <c r="AN47" s="3" t="s">
        <v>2832</v>
      </c>
      <c r="AO47" s="3">
        <v>150</v>
      </c>
      <c r="AP47" s="51">
        <v>10000158</v>
      </c>
      <c r="AQ47" s="51" t="s">
        <v>2830</v>
      </c>
      <c r="AR47" s="3">
        <v>2</v>
      </c>
      <c r="AT47" s="3" t="str">
        <f t="shared" si="21"/>
        <v>10000159;31;10000158</v>
      </c>
      <c r="AV47" s="3" t="str">
        <f t="shared" si="22"/>
        <v>5;150;2</v>
      </c>
      <c r="AY47" s="105" t="s">
        <v>2856</v>
      </c>
    </row>
    <row r="48" spans="1:62" ht="20.100000000000001" customHeight="1">
      <c r="A48" s="3" t="s">
        <v>2778</v>
      </c>
      <c r="B48" s="1" t="s">
        <v>2782</v>
      </c>
      <c r="C48" s="3" t="s">
        <v>756</v>
      </c>
      <c r="J48" s="1">
        <v>3</v>
      </c>
      <c r="AB48" s="1">
        <v>16</v>
      </c>
      <c r="AC48" s="3" t="s">
        <v>695</v>
      </c>
      <c r="AF48" s="1">
        <v>16</v>
      </c>
      <c r="AG48" s="1">
        <v>1</v>
      </c>
      <c r="AH48" s="1" t="s">
        <v>632</v>
      </c>
      <c r="AI48" s="1">
        <v>750000</v>
      </c>
      <c r="AJ48" s="3">
        <v>10000159</v>
      </c>
      <c r="AK48" s="1" t="s">
        <v>633</v>
      </c>
      <c r="AL48" s="1">
        <v>5</v>
      </c>
      <c r="AM48" s="3">
        <v>31</v>
      </c>
      <c r="AN48" s="3" t="s">
        <v>2832</v>
      </c>
      <c r="AO48" s="3">
        <v>150</v>
      </c>
      <c r="AP48" s="51">
        <v>10010093</v>
      </c>
      <c r="AQ48" s="108" t="s">
        <v>2842</v>
      </c>
      <c r="AR48" s="3">
        <v>1</v>
      </c>
      <c r="AT48" s="3" t="str">
        <f t="shared" si="21"/>
        <v>10000159;31;10010093</v>
      </c>
      <c r="AV48" s="3" t="str">
        <f t="shared" si="22"/>
        <v>5;150;1</v>
      </c>
    </row>
    <row r="49" spans="2:56" ht="20.100000000000001" customHeight="1">
      <c r="J49" s="1">
        <v>4</v>
      </c>
      <c r="AB49" s="1">
        <v>17</v>
      </c>
      <c r="AC49" s="3" t="s">
        <v>699</v>
      </c>
      <c r="AF49" s="1">
        <v>17</v>
      </c>
      <c r="AG49" s="1">
        <v>1</v>
      </c>
      <c r="AH49" s="1" t="s">
        <v>632</v>
      </c>
      <c r="AI49" s="1">
        <v>750000</v>
      </c>
      <c r="AJ49" s="3">
        <v>10000159</v>
      </c>
      <c r="AK49" s="1" t="s">
        <v>633</v>
      </c>
      <c r="AL49" s="1">
        <v>5</v>
      </c>
      <c r="AM49" s="3">
        <v>31</v>
      </c>
      <c r="AN49" s="3" t="s">
        <v>2832</v>
      </c>
      <c r="AO49" s="3">
        <v>150</v>
      </c>
      <c r="AP49" s="51">
        <v>10010073</v>
      </c>
      <c r="AQ49" s="107" t="s">
        <v>2844</v>
      </c>
      <c r="AR49" s="3">
        <v>1</v>
      </c>
      <c r="AT49" s="3" t="str">
        <f t="shared" si="21"/>
        <v>10000159;31;10010073</v>
      </c>
      <c r="AV49" s="3" t="str">
        <f t="shared" si="22"/>
        <v>5;150;1</v>
      </c>
      <c r="AX49" s="51"/>
      <c r="AY49" s="108"/>
      <c r="AZ49" s="3"/>
    </row>
    <row r="50" spans="2:56" ht="20.100000000000001" customHeight="1">
      <c r="B50" s="3"/>
      <c r="C50" s="3"/>
      <c r="J50" s="1">
        <v>5</v>
      </c>
      <c r="AB50" s="1">
        <v>18</v>
      </c>
      <c r="AC50" s="3" t="s">
        <v>703</v>
      </c>
      <c r="AF50" s="1">
        <v>18</v>
      </c>
      <c r="AG50" s="1">
        <v>1</v>
      </c>
      <c r="AH50" s="1" t="s">
        <v>632</v>
      </c>
      <c r="AI50" s="1">
        <v>750000</v>
      </c>
      <c r="AJ50" s="3">
        <v>10000159</v>
      </c>
      <c r="AK50" s="1" t="s">
        <v>633</v>
      </c>
      <c r="AL50" s="1">
        <v>5</v>
      </c>
      <c r="AM50" s="3">
        <v>31</v>
      </c>
      <c r="AN50" s="3" t="s">
        <v>2832</v>
      </c>
      <c r="AO50" s="3">
        <v>150</v>
      </c>
      <c r="AP50" s="51">
        <v>10000152</v>
      </c>
      <c r="AQ50" s="52" t="s">
        <v>2847</v>
      </c>
      <c r="AR50" s="3">
        <v>3</v>
      </c>
      <c r="AT50" s="3" t="str">
        <f t="shared" si="21"/>
        <v>10000159;31;10000152</v>
      </c>
      <c r="AV50" s="3" t="str">
        <f t="shared" si="22"/>
        <v>5;150;3</v>
      </c>
      <c r="AX50" s="1"/>
      <c r="AY50" s="1"/>
      <c r="AZ50" s="1"/>
      <c r="BA50" s="1"/>
      <c r="BB50" s="1"/>
      <c r="BC50" s="1"/>
      <c r="BD50" s="1"/>
    </row>
    <row r="51" spans="2:56" ht="20.100000000000001" customHeight="1">
      <c r="C51" s="3" t="s">
        <v>757</v>
      </c>
      <c r="J51" s="1">
        <v>6</v>
      </c>
      <c r="AB51" s="1">
        <v>19</v>
      </c>
      <c r="AC51" s="3" t="s">
        <v>706</v>
      </c>
      <c r="AF51" s="1">
        <v>19</v>
      </c>
      <c r="AG51" s="1">
        <v>1</v>
      </c>
      <c r="AH51" s="1" t="s">
        <v>632</v>
      </c>
      <c r="AI51" s="1">
        <v>750000</v>
      </c>
      <c r="AJ51" s="3">
        <v>10000159</v>
      </c>
      <c r="AK51" s="1" t="s">
        <v>633</v>
      </c>
      <c r="AL51" s="1">
        <v>5</v>
      </c>
      <c r="AM51" s="3">
        <v>31</v>
      </c>
      <c r="AN51" s="3" t="s">
        <v>2832</v>
      </c>
      <c r="AO51" s="3">
        <v>150</v>
      </c>
      <c r="AP51" s="51">
        <v>10000150</v>
      </c>
      <c r="AQ51" s="51" t="s">
        <v>2834</v>
      </c>
      <c r="AR51" s="3">
        <v>1</v>
      </c>
      <c r="AT51" s="3" t="str">
        <f t="shared" si="21"/>
        <v>10000159;31;10000150</v>
      </c>
      <c r="AV51" s="3" t="str">
        <f t="shared" si="22"/>
        <v>5;150;1</v>
      </c>
      <c r="AX51" s="1"/>
      <c r="AY51" s="1" t="s">
        <v>2858</v>
      </c>
      <c r="AZ51" s="1"/>
      <c r="BA51" s="1"/>
      <c r="BB51" s="1"/>
      <c r="BC51" s="1" t="s">
        <v>2859</v>
      </c>
      <c r="BD51" s="1"/>
    </row>
    <row r="52" spans="2:56" ht="20.100000000000001" customHeight="1">
      <c r="C52" s="3" t="s">
        <v>758</v>
      </c>
      <c r="J52" s="1">
        <v>7</v>
      </c>
      <c r="AB52" s="1">
        <v>20</v>
      </c>
      <c r="AC52" s="3" t="s">
        <v>708</v>
      </c>
      <c r="AF52" s="1">
        <v>20</v>
      </c>
      <c r="AG52" s="1">
        <v>1</v>
      </c>
      <c r="AH52" s="1" t="s">
        <v>632</v>
      </c>
      <c r="AI52" s="1">
        <v>750000</v>
      </c>
      <c r="AJ52" s="3">
        <v>10000159</v>
      </c>
      <c r="AK52" s="1" t="s">
        <v>633</v>
      </c>
      <c r="AL52" s="1">
        <v>6</v>
      </c>
      <c r="AM52" s="3">
        <v>31</v>
      </c>
      <c r="AN52" s="3" t="s">
        <v>2832</v>
      </c>
      <c r="AO52" s="3">
        <v>150</v>
      </c>
      <c r="AP52" s="51">
        <v>10000157</v>
      </c>
      <c r="AQ52" s="52" t="s">
        <v>2840</v>
      </c>
      <c r="AR52" s="3">
        <v>2</v>
      </c>
      <c r="AT52" s="3" t="str">
        <f t="shared" si="21"/>
        <v>10000159;31;10000157</v>
      </c>
      <c r="AV52" s="3" t="str">
        <f t="shared" si="22"/>
        <v>6;150;2</v>
      </c>
      <c r="AX52" s="1"/>
      <c r="AY52" s="1"/>
      <c r="AZ52" s="51">
        <v>10010093</v>
      </c>
      <c r="BA52" s="108" t="s">
        <v>2842</v>
      </c>
      <c r="BB52" s="1">
        <v>1</v>
      </c>
      <c r="BC52" s="1">
        <v>30</v>
      </c>
      <c r="BD52" s="1"/>
    </row>
    <row r="53" spans="2:56" ht="20.100000000000001" customHeight="1">
      <c r="C53" s="3" t="s">
        <v>759</v>
      </c>
      <c r="J53" s="1">
        <v>8</v>
      </c>
      <c r="AB53" s="1">
        <v>21</v>
      </c>
      <c r="AC53" s="3" t="s">
        <v>711</v>
      </c>
      <c r="AF53" s="1">
        <v>21</v>
      </c>
      <c r="AG53" s="1">
        <v>1</v>
      </c>
      <c r="AH53" s="1" t="s">
        <v>632</v>
      </c>
      <c r="AI53" s="1">
        <v>1000000</v>
      </c>
      <c r="AJ53" s="3">
        <v>10000159</v>
      </c>
      <c r="AK53" s="1" t="s">
        <v>633</v>
      </c>
      <c r="AL53" s="1">
        <v>6</v>
      </c>
      <c r="AM53" s="3">
        <v>31</v>
      </c>
      <c r="AN53" s="3" t="s">
        <v>2832</v>
      </c>
      <c r="AO53" s="3">
        <v>150</v>
      </c>
      <c r="AP53" s="51">
        <v>10000158</v>
      </c>
      <c r="AQ53" s="51" t="s">
        <v>2830</v>
      </c>
      <c r="AR53" s="3">
        <v>2</v>
      </c>
      <c r="AT53" s="3" t="str">
        <f t="shared" si="21"/>
        <v>10000159;31;10000158</v>
      </c>
      <c r="AV53" s="3" t="str">
        <f t="shared" si="22"/>
        <v>6;150;2</v>
      </c>
      <c r="AX53" s="1"/>
      <c r="AY53" s="1"/>
      <c r="AZ53" s="51">
        <v>10000162</v>
      </c>
      <c r="BA53" s="52" t="s">
        <v>2833</v>
      </c>
      <c r="BB53" s="1">
        <v>1</v>
      </c>
      <c r="BC53" s="1">
        <v>20</v>
      </c>
      <c r="BD53" s="1"/>
    </row>
    <row r="54" spans="2:56" ht="20.100000000000001" customHeight="1">
      <c r="J54" s="1">
        <v>9</v>
      </c>
      <c r="AB54" s="1">
        <v>22</v>
      </c>
      <c r="AC54" s="3" t="s">
        <v>714</v>
      </c>
      <c r="AF54" s="1">
        <v>22</v>
      </c>
      <c r="AG54" s="1">
        <v>1</v>
      </c>
      <c r="AH54" s="1" t="s">
        <v>632</v>
      </c>
      <c r="AI54" s="1">
        <v>1000000</v>
      </c>
      <c r="AJ54" s="3">
        <v>10000159</v>
      </c>
      <c r="AK54" s="1" t="s">
        <v>633</v>
      </c>
      <c r="AL54" s="1">
        <v>6</v>
      </c>
      <c r="AM54" s="3">
        <v>31</v>
      </c>
      <c r="AN54" s="3" t="s">
        <v>2832</v>
      </c>
      <c r="AO54" s="3">
        <v>150</v>
      </c>
      <c r="AP54" s="51">
        <v>10010086</v>
      </c>
      <c r="AQ54" s="108" t="s">
        <v>2845</v>
      </c>
      <c r="AR54" s="3">
        <v>3</v>
      </c>
      <c r="AT54" s="3" t="str">
        <f t="shared" si="21"/>
        <v>10000159;31;10010086</v>
      </c>
      <c r="AV54" s="3" t="str">
        <f t="shared" si="22"/>
        <v>6;150;3</v>
      </c>
      <c r="AX54" s="1"/>
      <c r="AY54" s="1"/>
      <c r="AZ54" s="51">
        <v>10010045</v>
      </c>
      <c r="BA54" s="52" t="s">
        <v>2860</v>
      </c>
      <c r="BB54" s="1">
        <v>1</v>
      </c>
      <c r="BC54" s="1">
        <v>30</v>
      </c>
      <c r="BD54" s="1"/>
    </row>
    <row r="55" spans="2:56" ht="20.100000000000001" customHeight="1">
      <c r="J55" s="1">
        <v>10</v>
      </c>
      <c r="AB55" s="1">
        <v>23</v>
      </c>
      <c r="AC55" s="3" t="s">
        <v>717</v>
      </c>
      <c r="AF55" s="1">
        <v>23</v>
      </c>
      <c r="AG55" s="1">
        <v>1</v>
      </c>
      <c r="AH55" s="1" t="s">
        <v>632</v>
      </c>
      <c r="AI55" s="1">
        <v>1000000</v>
      </c>
      <c r="AJ55" s="3">
        <v>10000159</v>
      </c>
      <c r="AK55" s="1" t="s">
        <v>633</v>
      </c>
      <c r="AL55" s="1">
        <v>6</v>
      </c>
      <c r="AM55" s="3">
        <v>31</v>
      </c>
      <c r="AN55" s="3" t="s">
        <v>2832</v>
      </c>
      <c r="AO55" s="3">
        <v>150</v>
      </c>
      <c r="AP55" s="51">
        <v>10010093</v>
      </c>
      <c r="AQ55" s="108" t="s">
        <v>2842</v>
      </c>
      <c r="AR55" s="3">
        <v>1</v>
      </c>
      <c r="AT55" s="3" t="str">
        <f t="shared" si="21"/>
        <v>10000159;31;10010093</v>
      </c>
      <c r="AV55" s="3" t="str">
        <f t="shared" si="22"/>
        <v>6;150;1</v>
      </c>
      <c r="AX55" s="1"/>
      <c r="AY55" s="1"/>
      <c r="AZ55" s="51">
        <v>10000158</v>
      </c>
      <c r="BA55" s="51" t="s">
        <v>2830</v>
      </c>
      <c r="BB55" s="1">
        <v>1</v>
      </c>
      <c r="BC55" s="1">
        <v>20</v>
      </c>
      <c r="BD55" s="1"/>
    </row>
    <row r="56" spans="2:56" ht="20.100000000000001" customHeight="1">
      <c r="B56" s="1" t="s">
        <v>760</v>
      </c>
      <c r="C56" s="3" t="s">
        <v>761</v>
      </c>
      <c r="J56" s="1">
        <v>11</v>
      </c>
      <c r="AB56" s="1">
        <v>24</v>
      </c>
      <c r="AC56" s="3" t="s">
        <v>720</v>
      </c>
      <c r="AF56" s="1">
        <v>24</v>
      </c>
      <c r="AG56" s="1">
        <v>1</v>
      </c>
      <c r="AH56" s="1" t="s">
        <v>632</v>
      </c>
      <c r="AI56" s="1">
        <v>1000000</v>
      </c>
      <c r="AJ56" s="3">
        <v>10000159</v>
      </c>
      <c r="AK56" s="1" t="s">
        <v>633</v>
      </c>
      <c r="AL56" s="1">
        <v>6</v>
      </c>
      <c r="AM56" s="3">
        <v>31</v>
      </c>
      <c r="AN56" s="3" t="s">
        <v>2832</v>
      </c>
      <c r="AO56" s="3">
        <v>150</v>
      </c>
      <c r="AP56" s="51">
        <v>10000152</v>
      </c>
      <c r="AQ56" s="52" t="s">
        <v>2847</v>
      </c>
      <c r="AR56" s="3">
        <v>3</v>
      </c>
      <c r="AT56" s="3" t="str">
        <f t="shared" si="21"/>
        <v>10000159;31;10000152</v>
      </c>
      <c r="AV56" s="3" t="str">
        <f t="shared" si="22"/>
        <v>6;150;3</v>
      </c>
      <c r="AX56" s="1"/>
      <c r="AY56" s="1"/>
      <c r="AZ56" s="51">
        <v>10010083</v>
      </c>
      <c r="BA56" s="107" t="s">
        <v>2861</v>
      </c>
      <c r="BB56" s="1">
        <v>1</v>
      </c>
      <c r="BC56" s="1">
        <v>2</v>
      </c>
      <c r="BD56" s="1"/>
    </row>
    <row r="57" spans="2:56" ht="20.100000000000001" customHeight="1">
      <c r="J57" s="1">
        <v>12</v>
      </c>
      <c r="AB57" s="1">
        <v>25</v>
      </c>
      <c r="AC57" s="3" t="s">
        <v>723</v>
      </c>
      <c r="AF57" s="1">
        <v>25</v>
      </c>
      <c r="AG57" s="1">
        <v>1</v>
      </c>
      <c r="AH57" s="1" t="s">
        <v>632</v>
      </c>
      <c r="AI57" s="1">
        <v>1000000</v>
      </c>
      <c r="AJ57" s="3">
        <v>10000159</v>
      </c>
      <c r="AK57" s="1" t="s">
        <v>633</v>
      </c>
      <c r="AL57" s="1">
        <v>8</v>
      </c>
      <c r="AM57" s="3">
        <v>31</v>
      </c>
      <c r="AN57" s="3" t="s">
        <v>2832</v>
      </c>
      <c r="AO57" s="3">
        <v>150</v>
      </c>
      <c r="AP57" s="51">
        <v>10000141</v>
      </c>
      <c r="AQ57" s="52" t="s">
        <v>2836</v>
      </c>
      <c r="AR57" s="3">
        <v>1</v>
      </c>
      <c r="AT57" s="3" t="str">
        <f t="shared" si="21"/>
        <v>10000159;31;10000141</v>
      </c>
      <c r="AV57" s="3" t="str">
        <f t="shared" si="22"/>
        <v>8;150;1</v>
      </c>
      <c r="AX57" s="1"/>
      <c r="AY57" s="1"/>
      <c r="AZ57" s="51">
        <v>10000143</v>
      </c>
      <c r="BA57" s="107" t="s">
        <v>2829</v>
      </c>
      <c r="BB57" s="1">
        <v>1</v>
      </c>
      <c r="BC57" s="1">
        <v>5</v>
      </c>
      <c r="BD57" s="1"/>
    </row>
    <row r="58" spans="2:56" ht="20.100000000000001" customHeight="1">
      <c r="J58" s="1">
        <v>13</v>
      </c>
      <c r="AB58" s="1">
        <v>26</v>
      </c>
      <c r="AC58" s="3" t="s">
        <v>726</v>
      </c>
      <c r="AF58" s="1">
        <v>26</v>
      </c>
      <c r="AG58" s="1">
        <v>1</v>
      </c>
      <c r="AH58" s="1" t="s">
        <v>632</v>
      </c>
      <c r="AI58" s="1">
        <v>1000000</v>
      </c>
      <c r="AJ58" s="3">
        <v>10000159</v>
      </c>
      <c r="AK58" s="1" t="s">
        <v>633</v>
      </c>
      <c r="AL58" s="1">
        <v>8</v>
      </c>
      <c r="AM58" s="3">
        <v>31</v>
      </c>
      <c r="AN58" s="3" t="s">
        <v>2832</v>
      </c>
      <c r="AO58" s="3">
        <v>150</v>
      </c>
      <c r="AP58" s="51">
        <v>10000105</v>
      </c>
      <c r="AQ58" s="52" t="s">
        <v>2846</v>
      </c>
      <c r="AR58" s="3">
        <v>1</v>
      </c>
      <c r="AT58" s="3" t="str">
        <f t="shared" si="21"/>
        <v>10000159;31;10000105</v>
      </c>
      <c r="AV58" s="3" t="str">
        <f t="shared" si="22"/>
        <v>8;150;1</v>
      </c>
      <c r="AX58" s="1"/>
      <c r="AY58" s="1"/>
      <c r="AZ58" s="51">
        <v>10000152</v>
      </c>
      <c r="BA58" s="52" t="s">
        <v>2847</v>
      </c>
      <c r="BB58" s="1">
        <v>1</v>
      </c>
      <c r="BC58" s="1">
        <v>10</v>
      </c>
      <c r="BD58" s="1"/>
    </row>
    <row r="59" spans="2:56" ht="20.100000000000001" customHeight="1">
      <c r="J59" s="1">
        <v>14</v>
      </c>
      <c r="AB59" s="1">
        <v>27</v>
      </c>
      <c r="AC59" s="3" t="s">
        <v>683</v>
      </c>
      <c r="AF59" s="1">
        <v>27</v>
      </c>
      <c r="AG59" s="1">
        <v>1</v>
      </c>
      <c r="AH59" s="1" t="s">
        <v>632</v>
      </c>
      <c r="AI59" s="1">
        <v>1000000</v>
      </c>
      <c r="AJ59" s="3">
        <v>10000159</v>
      </c>
      <c r="AK59" s="1" t="s">
        <v>633</v>
      </c>
      <c r="AL59" s="1">
        <v>8</v>
      </c>
      <c r="AM59" s="3">
        <v>31</v>
      </c>
      <c r="AN59" s="3" t="s">
        <v>2832</v>
      </c>
      <c r="AO59" s="3">
        <v>150</v>
      </c>
      <c r="AP59" s="51">
        <v>10010073</v>
      </c>
      <c r="AQ59" s="107" t="s">
        <v>2844</v>
      </c>
      <c r="AR59" s="3">
        <v>1</v>
      </c>
      <c r="AT59" s="3" t="str">
        <f t="shared" si="21"/>
        <v>10000159;31;10010073</v>
      </c>
      <c r="AV59" s="3" t="str">
        <f t="shared" si="22"/>
        <v>8;150;1</v>
      </c>
      <c r="AX59" s="1"/>
      <c r="AY59" s="1"/>
      <c r="AZ59" s="51">
        <v>10000157</v>
      </c>
      <c r="BA59" s="52" t="s">
        <v>2840</v>
      </c>
      <c r="BB59" s="1">
        <v>1</v>
      </c>
      <c r="BC59" s="1">
        <v>10</v>
      </c>
      <c r="BD59" s="1"/>
    </row>
    <row r="60" spans="2:56" ht="20.100000000000001" customHeight="1">
      <c r="J60" s="1">
        <v>15</v>
      </c>
      <c r="AB60" s="1">
        <v>28</v>
      </c>
      <c r="AC60" s="3" t="s">
        <v>732</v>
      </c>
      <c r="AF60" s="1">
        <v>28</v>
      </c>
      <c r="AG60" s="1">
        <v>1</v>
      </c>
      <c r="AH60" s="1" t="s">
        <v>632</v>
      </c>
      <c r="AI60" s="1">
        <v>1000000</v>
      </c>
      <c r="AJ60" s="3">
        <v>10000159</v>
      </c>
      <c r="AK60" s="1" t="s">
        <v>633</v>
      </c>
      <c r="AL60" s="1">
        <v>8</v>
      </c>
      <c r="AM60" s="3">
        <v>31</v>
      </c>
      <c r="AN60" s="3" t="s">
        <v>2832</v>
      </c>
      <c r="AO60" s="3">
        <v>150</v>
      </c>
      <c r="AP60" s="51">
        <v>10000158</v>
      </c>
      <c r="AQ60" s="51" t="s">
        <v>2830</v>
      </c>
      <c r="AR60" s="3">
        <v>2</v>
      </c>
      <c r="AT60" s="3" t="str">
        <f t="shared" si="21"/>
        <v>10000159;31;10000158</v>
      </c>
      <c r="AV60" s="3" t="str">
        <f t="shared" si="22"/>
        <v>8;150;2</v>
      </c>
      <c r="AX60" s="1"/>
      <c r="AY60" s="1"/>
      <c r="AZ60" s="51">
        <v>10010029</v>
      </c>
      <c r="BA60" s="52" t="s">
        <v>2843</v>
      </c>
      <c r="BB60" s="1">
        <v>1</v>
      </c>
      <c r="BC60" s="1">
        <v>5</v>
      </c>
      <c r="BD60" s="1"/>
    </row>
    <row r="61" spans="2:56" ht="20.100000000000001" customHeight="1">
      <c r="J61" s="1">
        <v>16</v>
      </c>
      <c r="AB61" s="1">
        <v>29</v>
      </c>
      <c r="AC61" s="3" t="s">
        <v>734</v>
      </c>
      <c r="AF61" s="1">
        <v>29</v>
      </c>
      <c r="AG61" s="1">
        <v>1</v>
      </c>
      <c r="AH61" s="1" t="s">
        <v>632</v>
      </c>
      <c r="AI61" s="1">
        <v>1000000</v>
      </c>
      <c r="AJ61" s="3">
        <v>10000159</v>
      </c>
      <c r="AK61" s="1" t="s">
        <v>633</v>
      </c>
      <c r="AL61" s="1">
        <v>8</v>
      </c>
      <c r="AM61" s="3">
        <v>31</v>
      </c>
      <c r="AN61" s="3" t="s">
        <v>2832</v>
      </c>
      <c r="AO61" s="3">
        <v>150</v>
      </c>
      <c r="AP61" s="51">
        <v>10010093</v>
      </c>
      <c r="AQ61" s="108" t="s">
        <v>2842</v>
      </c>
      <c r="AR61" s="3">
        <v>1</v>
      </c>
      <c r="AT61" s="3" t="str">
        <f t="shared" si="21"/>
        <v>10000159;31;10010093</v>
      </c>
      <c r="AV61" s="3" t="str">
        <f t="shared" si="22"/>
        <v>8;150;1</v>
      </c>
      <c r="AX61" s="1"/>
      <c r="AY61" s="1"/>
      <c r="AZ61" s="51">
        <v>10010086</v>
      </c>
      <c r="BA61" s="108" t="s">
        <v>2845</v>
      </c>
      <c r="BB61" s="1">
        <v>1</v>
      </c>
      <c r="BC61" s="1">
        <v>10</v>
      </c>
      <c r="BD61" s="1"/>
    </row>
    <row r="62" spans="2:56" ht="20.100000000000001" customHeight="1">
      <c r="C62" s="3" t="s">
        <v>640</v>
      </c>
      <c r="J62" s="1">
        <v>17</v>
      </c>
      <c r="AB62" s="1">
        <v>30</v>
      </c>
      <c r="AC62" s="3" t="s">
        <v>737</v>
      </c>
      <c r="AF62" s="1">
        <v>30</v>
      </c>
      <c r="AG62" s="1">
        <v>1</v>
      </c>
      <c r="AH62" s="1" t="s">
        <v>632</v>
      </c>
      <c r="AI62" s="1">
        <v>1000000</v>
      </c>
      <c r="AJ62" s="3">
        <v>10000159</v>
      </c>
      <c r="AK62" s="1" t="s">
        <v>633</v>
      </c>
      <c r="AL62" s="1">
        <v>10</v>
      </c>
      <c r="AM62" s="3">
        <v>31</v>
      </c>
      <c r="AN62" s="3" t="s">
        <v>2832</v>
      </c>
      <c r="AO62" s="3">
        <v>150</v>
      </c>
      <c r="AP62" s="51">
        <v>10000152</v>
      </c>
      <c r="AQ62" s="52" t="s">
        <v>2847</v>
      </c>
      <c r="AR62" s="3">
        <v>5</v>
      </c>
      <c r="AT62" s="3" t="str">
        <f t="shared" si="21"/>
        <v>10000159;31;10000152</v>
      </c>
      <c r="AV62" s="3" t="str">
        <f t="shared" si="22"/>
        <v>10;150;5</v>
      </c>
      <c r="AX62" s="1"/>
      <c r="AY62" s="1"/>
      <c r="AZ62" s="110">
        <v>10010101</v>
      </c>
      <c r="BA62" s="1" t="s">
        <v>2862</v>
      </c>
      <c r="BB62" s="1">
        <v>1</v>
      </c>
      <c r="BC62" s="1">
        <v>5</v>
      </c>
      <c r="BD62" s="1"/>
    </row>
    <row r="63" spans="2:56" ht="20.100000000000001" customHeight="1">
      <c r="C63" s="3" t="s">
        <v>2792</v>
      </c>
      <c r="J63" s="1">
        <v>18</v>
      </c>
      <c r="AX63" s="1"/>
      <c r="AY63" s="1"/>
      <c r="AZ63" s="110">
        <v>10010102</v>
      </c>
      <c r="BA63" s="1" t="s">
        <v>2863</v>
      </c>
      <c r="BB63" s="1">
        <v>1</v>
      </c>
      <c r="BC63" s="1">
        <v>10</v>
      </c>
      <c r="BD63" s="1"/>
    </row>
    <row r="64" spans="2:56" ht="20.100000000000001" customHeight="1">
      <c r="C64" s="3" t="s">
        <v>650</v>
      </c>
      <c r="J64" s="1">
        <v>19</v>
      </c>
      <c r="AX64" s="1"/>
      <c r="AY64" s="1"/>
      <c r="AZ64" s="110">
        <v>10010103</v>
      </c>
      <c r="BA64" s="1" t="s">
        <v>2864</v>
      </c>
      <c r="BB64" s="1">
        <v>1</v>
      </c>
      <c r="BC64" s="1">
        <v>20</v>
      </c>
      <c r="BD64" s="1"/>
    </row>
    <row r="65" spans="3:10" ht="20.100000000000001" customHeight="1">
      <c r="C65" s="3" t="s">
        <v>660</v>
      </c>
      <c r="J65" s="1">
        <v>20</v>
      </c>
    </row>
    <row r="66" spans="3:10" ht="20.100000000000001" customHeight="1">
      <c r="C66" s="3" t="s">
        <v>690</v>
      </c>
      <c r="J66" s="1">
        <v>21</v>
      </c>
    </row>
    <row r="67" spans="3:10" ht="20.100000000000001" customHeight="1">
      <c r="C67" s="104" t="s">
        <v>2793</v>
      </c>
      <c r="J67" s="1">
        <v>22</v>
      </c>
    </row>
    <row r="68" spans="3:10" ht="20.100000000000001" customHeight="1">
      <c r="C68" s="104" t="s">
        <v>2794</v>
      </c>
      <c r="J68" s="1">
        <v>23</v>
      </c>
    </row>
    <row r="69" spans="3:10" ht="20.100000000000001" customHeight="1">
      <c r="C69" s="104" t="s">
        <v>2795</v>
      </c>
      <c r="J69" s="1">
        <v>24</v>
      </c>
    </row>
    <row r="70" spans="3:10" ht="20.100000000000001" customHeight="1">
      <c r="C70" s="104" t="s">
        <v>2796</v>
      </c>
      <c r="J70" s="1">
        <v>25</v>
      </c>
    </row>
    <row r="71" spans="3:10" ht="20.100000000000001" customHeight="1">
      <c r="C71" s="104" t="s">
        <v>2797</v>
      </c>
      <c r="J71" s="1">
        <v>26</v>
      </c>
    </row>
    <row r="72" spans="3:10" ht="20.100000000000001" customHeight="1">
      <c r="C72" s="3" t="s">
        <v>665</v>
      </c>
      <c r="J72" s="1">
        <v>27</v>
      </c>
    </row>
    <row r="73" spans="3:10" ht="20.100000000000001" customHeight="1">
      <c r="C73" s="3" t="s">
        <v>2790</v>
      </c>
      <c r="J73" s="1">
        <v>28</v>
      </c>
    </row>
    <row r="74" spans="3:10" ht="20.100000000000001" customHeight="1">
      <c r="C74" s="3" t="s">
        <v>2798</v>
      </c>
      <c r="J74" s="1">
        <v>29</v>
      </c>
    </row>
    <row r="75" spans="3:10" ht="20.100000000000001" customHeight="1">
      <c r="C75" s="3" t="s">
        <v>682</v>
      </c>
      <c r="J75" s="1">
        <v>30</v>
      </c>
    </row>
    <row r="76" spans="3:10" ht="20.100000000000001" customHeight="1">
      <c r="C76" s="3" t="s">
        <v>686</v>
      </c>
    </row>
    <row r="77" spans="3:10" ht="20.100000000000001" customHeight="1">
      <c r="C77" s="3" t="s">
        <v>701</v>
      </c>
    </row>
    <row r="78" spans="3:10" ht="20.100000000000001" customHeight="1">
      <c r="C78" s="3" t="s">
        <v>705</v>
      </c>
    </row>
    <row r="79" spans="3:10" ht="20.100000000000001" customHeight="1">
      <c r="C79" s="3" t="s">
        <v>2799</v>
      </c>
    </row>
    <row r="80" spans="3:10" ht="20.100000000000001" customHeight="1">
      <c r="C80" s="3" t="s">
        <v>2800</v>
      </c>
    </row>
    <row r="81" spans="3:3" ht="20.100000000000001" customHeight="1">
      <c r="C81" s="3" t="s">
        <v>2801</v>
      </c>
    </row>
    <row r="82" spans="3:3" ht="20.100000000000001" customHeight="1">
      <c r="C82" s="3" t="s">
        <v>2789</v>
      </c>
    </row>
    <row r="83" spans="3:3" ht="20.100000000000001" customHeight="1">
      <c r="C83" s="3" t="s">
        <v>2791</v>
      </c>
    </row>
    <row r="84" spans="3:3" ht="20.100000000000001" customHeight="1">
      <c r="C84" s="3" t="s">
        <v>694</v>
      </c>
    </row>
    <row r="85" spans="3:3" ht="20.100000000000001" customHeight="1">
      <c r="C85" s="3" t="s">
        <v>697</v>
      </c>
    </row>
    <row r="86" spans="3:3" ht="20.100000000000001" customHeight="1">
      <c r="C86" s="3" t="s">
        <v>707</v>
      </c>
    </row>
    <row r="87" spans="3:3" ht="20.100000000000001" customHeight="1">
      <c r="C87" s="3" t="s">
        <v>713</v>
      </c>
    </row>
    <row r="88" spans="3:3" ht="20.100000000000001" customHeight="1">
      <c r="C88" s="3" t="s">
        <v>2802</v>
      </c>
    </row>
    <row r="89" spans="3:3" ht="20.100000000000001" customHeight="1">
      <c r="C89" s="3" t="s">
        <v>2803</v>
      </c>
    </row>
    <row r="90" spans="3:3" ht="20.100000000000001" customHeight="1">
      <c r="C90" s="3" t="s">
        <v>725</v>
      </c>
    </row>
    <row r="91" spans="3:3" ht="20.100000000000001" customHeight="1">
      <c r="C91" s="3" t="s">
        <v>728</v>
      </c>
    </row>
    <row r="92" spans="3:3" ht="20.100000000000001" customHeight="1">
      <c r="C92" s="3" t="s">
        <v>731</v>
      </c>
    </row>
    <row r="93" spans="3:3" ht="20.100000000000001" customHeight="1">
      <c r="C93" s="3" t="s">
        <v>733</v>
      </c>
    </row>
    <row r="94" spans="3:3" ht="20.100000000000001" customHeight="1">
      <c r="C94" s="3" t="s">
        <v>736</v>
      </c>
    </row>
    <row r="95" spans="3:3" ht="20.100000000000001" customHeight="1"/>
    <row r="96" spans="3:3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9"/>
  <sheetViews>
    <sheetView topLeftCell="D10" workbookViewId="0">
      <selection activeCell="Q35" sqref="J21:Q35"/>
    </sheetView>
  </sheetViews>
  <sheetFormatPr defaultColWidth="9" defaultRowHeight="14.25"/>
  <cols>
    <col min="1" max="4" width="9" style="5"/>
    <col min="5" max="5" width="12.5" style="5" customWidth="1"/>
    <col min="6" max="6" width="18.625" style="5" customWidth="1"/>
    <col min="7" max="15" width="9" style="5"/>
    <col min="16" max="16" width="59.5" style="5" customWidth="1"/>
    <col min="17" max="21" width="9" style="5"/>
  </cols>
  <sheetData>
    <row r="1" spans="5:16" ht="20.100000000000001" customHeight="1"/>
    <row r="2" spans="5:16" ht="20.100000000000001" customHeight="1">
      <c r="E2" s="1" t="s">
        <v>762</v>
      </c>
      <c r="M2" s="1" t="s">
        <v>763</v>
      </c>
      <c r="O2" s="1" t="s">
        <v>764</v>
      </c>
    </row>
    <row r="3" spans="5:16" ht="20.100000000000001" customHeight="1">
      <c r="E3" s="63">
        <v>1001</v>
      </c>
      <c r="F3" s="63" t="s">
        <v>765</v>
      </c>
      <c r="K3" s="1">
        <v>1</v>
      </c>
      <c r="L3" s="1">
        <v>0.01</v>
      </c>
      <c r="M3" s="64">
        <v>2001</v>
      </c>
      <c r="N3" s="64" t="s">
        <v>766</v>
      </c>
      <c r="O3" s="1" t="s">
        <v>42</v>
      </c>
      <c r="P3" s="1" t="s">
        <v>767</v>
      </c>
    </row>
    <row r="4" spans="5:16" ht="20.100000000000001" customHeight="1">
      <c r="E4" s="63">
        <v>1002</v>
      </c>
      <c r="F4" s="63" t="s">
        <v>3</v>
      </c>
      <c r="K4" s="1">
        <v>6</v>
      </c>
      <c r="L4" s="1">
        <v>0.03</v>
      </c>
      <c r="M4" s="64">
        <v>2003</v>
      </c>
      <c r="N4" s="64" t="s">
        <v>768</v>
      </c>
      <c r="O4" s="1" t="s">
        <v>769</v>
      </c>
      <c r="P4" s="1" t="s">
        <v>770</v>
      </c>
    </row>
    <row r="5" spans="5:16" ht="20.100000000000001" customHeight="1">
      <c r="E5" s="63">
        <v>1003</v>
      </c>
      <c r="F5" s="63" t="s">
        <v>28</v>
      </c>
      <c r="K5" s="1">
        <v>6</v>
      </c>
      <c r="L5" s="1">
        <v>0.01</v>
      </c>
      <c r="M5" s="64">
        <v>2004</v>
      </c>
      <c r="N5" s="64" t="s">
        <v>771</v>
      </c>
      <c r="O5" s="1" t="s">
        <v>42</v>
      </c>
      <c r="P5" s="1" t="s">
        <v>772</v>
      </c>
    </row>
    <row r="6" spans="5:16" ht="20.100000000000001" customHeight="1">
      <c r="E6" s="63">
        <v>1004</v>
      </c>
      <c r="F6" s="63" t="s">
        <v>29</v>
      </c>
      <c r="K6" s="1">
        <v>1</v>
      </c>
      <c r="L6" s="1">
        <v>0.03</v>
      </c>
      <c r="M6" s="64">
        <v>2005</v>
      </c>
      <c r="N6" s="64" t="s">
        <v>773</v>
      </c>
      <c r="O6" s="1" t="s">
        <v>774</v>
      </c>
      <c r="P6" s="1" t="s">
        <v>775</v>
      </c>
    </row>
    <row r="7" spans="5:16" ht="20.100000000000001" customHeight="1">
      <c r="E7" s="63">
        <v>1005</v>
      </c>
      <c r="F7" s="63" t="s">
        <v>776</v>
      </c>
      <c r="K7" s="1">
        <v>0</v>
      </c>
      <c r="L7" s="1">
        <v>0.03</v>
      </c>
      <c r="M7" s="64">
        <v>2006</v>
      </c>
      <c r="N7" s="64" t="s">
        <v>777</v>
      </c>
      <c r="O7" s="1" t="s">
        <v>778</v>
      </c>
      <c r="P7" s="1" t="s">
        <v>779</v>
      </c>
    </row>
    <row r="8" spans="5:16" ht="20.100000000000001" customHeight="1">
      <c r="E8" s="63">
        <v>1006</v>
      </c>
      <c r="F8" s="63" t="s">
        <v>780</v>
      </c>
      <c r="K8" s="1">
        <v>0</v>
      </c>
      <c r="L8" s="1">
        <v>0.01</v>
      </c>
      <c r="M8" s="64">
        <v>2007</v>
      </c>
      <c r="N8" s="64" t="s">
        <v>781</v>
      </c>
      <c r="O8" s="1" t="s">
        <v>782</v>
      </c>
      <c r="P8" s="1" t="s">
        <v>783</v>
      </c>
    </row>
    <row r="9" spans="5:16" ht="20.100000000000001" customHeight="1">
      <c r="E9" s="63">
        <v>1007</v>
      </c>
      <c r="F9" s="63" t="s">
        <v>784</v>
      </c>
      <c r="K9" s="1">
        <v>2</v>
      </c>
      <c r="L9" s="1">
        <v>0.01</v>
      </c>
      <c r="M9" s="64">
        <v>2008</v>
      </c>
      <c r="N9" s="64" t="s">
        <v>785</v>
      </c>
      <c r="O9" s="1" t="s">
        <v>782</v>
      </c>
      <c r="P9" s="1" t="s">
        <v>786</v>
      </c>
    </row>
    <row r="10" spans="5:16" ht="20.100000000000001" customHeight="1">
      <c r="E10" s="63">
        <v>1008</v>
      </c>
      <c r="F10" s="63" t="s">
        <v>787</v>
      </c>
      <c r="K10" s="1">
        <v>7</v>
      </c>
      <c r="L10" s="1">
        <v>0.03</v>
      </c>
      <c r="M10" s="64">
        <v>2009</v>
      </c>
      <c r="N10" s="64" t="s">
        <v>788</v>
      </c>
      <c r="O10" s="1" t="s">
        <v>789</v>
      </c>
      <c r="P10" s="1" t="s">
        <v>716</v>
      </c>
    </row>
    <row r="11" spans="5:16" ht="20.100000000000001" customHeight="1">
      <c r="E11" s="63">
        <v>1009</v>
      </c>
      <c r="F11" s="63" t="s">
        <v>790</v>
      </c>
      <c r="K11" s="1">
        <v>2</v>
      </c>
      <c r="L11" s="1">
        <v>0.01</v>
      </c>
      <c r="M11" s="64">
        <v>2016</v>
      </c>
      <c r="N11" s="64" t="s">
        <v>791</v>
      </c>
      <c r="O11" s="1" t="s">
        <v>42</v>
      </c>
      <c r="P11" s="1" t="s">
        <v>792</v>
      </c>
    </row>
    <row r="12" spans="5:16" ht="20.100000000000001" customHeight="1">
      <c r="E12" s="63">
        <v>1010</v>
      </c>
      <c r="F12" s="63" t="s">
        <v>793</v>
      </c>
      <c r="K12" s="1">
        <v>0</v>
      </c>
      <c r="L12" s="1">
        <v>0.03</v>
      </c>
      <c r="M12" s="65">
        <v>2018</v>
      </c>
      <c r="N12" s="65" t="s">
        <v>794</v>
      </c>
      <c r="O12" s="66" t="s">
        <v>795</v>
      </c>
      <c r="P12" s="66" t="s">
        <v>796</v>
      </c>
    </row>
    <row r="13" spans="5:16" ht="20.100000000000001" customHeight="1">
      <c r="E13" s="63">
        <v>1011</v>
      </c>
      <c r="F13" s="63" t="s">
        <v>797</v>
      </c>
      <c r="K13" s="1">
        <v>7</v>
      </c>
      <c r="L13" s="1">
        <v>0.01</v>
      </c>
      <c r="M13" s="64">
        <v>2022</v>
      </c>
      <c r="N13" s="64" t="s">
        <v>798</v>
      </c>
      <c r="O13" s="1" t="s">
        <v>782</v>
      </c>
      <c r="P13" s="1" t="s">
        <v>799</v>
      </c>
    </row>
    <row r="14" spans="5:16" ht="20.100000000000001" customHeight="1">
      <c r="E14" s="63">
        <v>1012</v>
      </c>
      <c r="F14" s="63" t="s">
        <v>800</v>
      </c>
      <c r="K14" s="1">
        <v>3</v>
      </c>
      <c r="L14" s="1">
        <v>0.03</v>
      </c>
      <c r="M14" s="64">
        <v>2019</v>
      </c>
      <c r="N14" s="64" t="s">
        <v>801</v>
      </c>
      <c r="O14" s="1" t="s">
        <v>802</v>
      </c>
      <c r="P14" s="1" t="s">
        <v>803</v>
      </c>
    </row>
    <row r="15" spans="5:16" ht="20.100000000000001" customHeight="1">
      <c r="E15" s="63">
        <v>1013</v>
      </c>
      <c r="F15" s="63" t="s">
        <v>804</v>
      </c>
      <c r="K15" s="1">
        <v>4</v>
      </c>
      <c r="L15" s="1">
        <v>0.03</v>
      </c>
      <c r="M15" s="64">
        <v>2020</v>
      </c>
      <c r="N15" s="64" t="s">
        <v>805</v>
      </c>
      <c r="O15" s="1" t="s">
        <v>802</v>
      </c>
      <c r="P15" s="1" t="s">
        <v>806</v>
      </c>
    </row>
    <row r="16" spans="5:16" ht="20.100000000000001" customHeight="1">
      <c r="E16" s="63">
        <v>1014</v>
      </c>
      <c r="F16" s="63" t="s">
        <v>807</v>
      </c>
      <c r="K16" s="1">
        <v>3</v>
      </c>
      <c r="L16" s="1">
        <v>0.03</v>
      </c>
      <c r="N16" s="1" t="s">
        <v>808</v>
      </c>
      <c r="O16" s="1" t="s">
        <v>809</v>
      </c>
      <c r="P16" s="1" t="s">
        <v>810</v>
      </c>
    </row>
    <row r="17" spans="5:16" ht="20.100000000000001" customHeight="1">
      <c r="E17" s="63">
        <v>1015</v>
      </c>
      <c r="F17" s="63" t="s">
        <v>811</v>
      </c>
      <c r="K17" s="1">
        <v>4</v>
      </c>
      <c r="L17" s="1">
        <v>0.03</v>
      </c>
      <c r="N17" s="1" t="s">
        <v>639</v>
      </c>
      <c r="O17" s="1" t="s">
        <v>812</v>
      </c>
      <c r="P17" s="1" t="s">
        <v>813</v>
      </c>
    </row>
    <row r="18" spans="5:16" ht="20.100000000000001" customHeight="1">
      <c r="E18" s="63">
        <v>1016</v>
      </c>
      <c r="F18" s="63" t="s">
        <v>814</v>
      </c>
      <c r="K18" s="1">
        <v>5</v>
      </c>
      <c r="L18" s="1">
        <v>0.03</v>
      </c>
      <c r="N18" s="64" t="s">
        <v>815</v>
      </c>
      <c r="O18" s="1" t="s">
        <v>816</v>
      </c>
      <c r="P18" s="1" t="s">
        <v>817</v>
      </c>
    </row>
    <row r="19" spans="5:16" ht="20.100000000000001" customHeight="1">
      <c r="E19" s="63">
        <v>1017</v>
      </c>
      <c r="F19" s="63" t="s">
        <v>818</v>
      </c>
      <c r="K19" s="1">
        <v>5</v>
      </c>
      <c r="L19" s="1">
        <v>0.01</v>
      </c>
      <c r="N19" s="64" t="s">
        <v>819</v>
      </c>
      <c r="O19" s="1" t="s">
        <v>782</v>
      </c>
      <c r="P19" s="1" t="s">
        <v>820</v>
      </c>
    </row>
    <row r="20" spans="5:16" ht="20.100000000000001" customHeight="1">
      <c r="E20" s="63">
        <v>1018</v>
      </c>
      <c r="F20" s="63" t="s">
        <v>821</v>
      </c>
      <c r="K20" s="1"/>
    </row>
    <row r="21" spans="5:16" ht="20.100000000000001" customHeight="1">
      <c r="E21" s="63">
        <v>1019</v>
      </c>
      <c r="F21" s="63" t="s">
        <v>822</v>
      </c>
      <c r="K21" s="1"/>
    </row>
    <row r="22" spans="5:16" ht="20.100000000000001" customHeight="1">
      <c r="E22" s="63">
        <v>1020</v>
      </c>
      <c r="F22" s="63" t="s">
        <v>823</v>
      </c>
      <c r="K22" s="1">
        <v>0</v>
      </c>
      <c r="L22" s="1">
        <v>0.02</v>
      </c>
      <c r="M22" s="64">
        <v>2024</v>
      </c>
      <c r="N22" s="64" t="s">
        <v>824</v>
      </c>
      <c r="O22" s="1" t="s">
        <v>825</v>
      </c>
      <c r="P22" s="1" t="s">
        <v>826</v>
      </c>
    </row>
    <row r="23" spans="5:16" ht="20.100000000000001" customHeight="1">
      <c r="E23" s="63">
        <v>1021</v>
      </c>
      <c r="F23" s="63" t="s">
        <v>827</v>
      </c>
      <c r="K23" s="1">
        <v>1</v>
      </c>
      <c r="L23" s="1">
        <v>0.05</v>
      </c>
      <c r="N23" s="1" t="s">
        <v>828</v>
      </c>
      <c r="O23" s="1" t="s">
        <v>825</v>
      </c>
      <c r="P23" s="1" t="s">
        <v>829</v>
      </c>
    </row>
    <row r="24" spans="5:16" ht="20.100000000000001" customHeight="1">
      <c r="E24" s="63">
        <v>1022</v>
      </c>
      <c r="F24" s="63" t="s">
        <v>830</v>
      </c>
      <c r="K24" s="1">
        <v>2</v>
      </c>
      <c r="L24" s="1">
        <v>0.05</v>
      </c>
      <c r="N24" s="1" t="s">
        <v>831</v>
      </c>
      <c r="O24" s="1" t="s">
        <v>825</v>
      </c>
      <c r="P24" s="1" t="s">
        <v>832</v>
      </c>
    </row>
    <row r="25" spans="5:16" ht="20.100000000000001" customHeight="1">
      <c r="E25" s="63">
        <v>1023</v>
      </c>
      <c r="F25" s="63" t="s">
        <v>833</v>
      </c>
      <c r="K25" s="1">
        <v>0</v>
      </c>
      <c r="L25" s="1">
        <v>0.01</v>
      </c>
      <c r="N25" s="1" t="s">
        <v>834</v>
      </c>
      <c r="O25" s="1" t="s">
        <v>825</v>
      </c>
      <c r="P25" s="1" t="s">
        <v>835</v>
      </c>
    </row>
    <row r="26" spans="5:16" ht="20.100000000000001" customHeight="1">
      <c r="E26" s="63">
        <v>1024</v>
      </c>
      <c r="F26" s="63" t="s">
        <v>836</v>
      </c>
      <c r="K26" s="1">
        <v>0</v>
      </c>
      <c r="L26" s="1">
        <v>0.02</v>
      </c>
      <c r="N26" s="1" t="s">
        <v>837</v>
      </c>
      <c r="O26" s="1" t="s">
        <v>825</v>
      </c>
      <c r="P26" s="1" t="s">
        <v>838</v>
      </c>
    </row>
    <row r="27" spans="5:16" ht="20.100000000000001" customHeight="1">
      <c r="E27" s="63">
        <v>1025</v>
      </c>
      <c r="F27" s="63" t="s">
        <v>839</v>
      </c>
      <c r="K27" s="1">
        <v>0</v>
      </c>
      <c r="L27" s="1">
        <v>0.02</v>
      </c>
      <c r="N27" s="1" t="s">
        <v>840</v>
      </c>
      <c r="O27" s="1" t="s">
        <v>825</v>
      </c>
      <c r="P27" s="1" t="s">
        <v>841</v>
      </c>
    </row>
    <row r="28" spans="5:16" ht="20.100000000000001" customHeight="1">
      <c r="E28" s="63">
        <v>1026</v>
      </c>
      <c r="F28" s="63" t="s">
        <v>842</v>
      </c>
      <c r="K28" s="1">
        <v>0</v>
      </c>
      <c r="L28" s="1">
        <v>0.03</v>
      </c>
      <c r="N28" s="1" t="s">
        <v>843</v>
      </c>
      <c r="O28" s="1" t="s">
        <v>825</v>
      </c>
      <c r="P28" s="1" t="s">
        <v>844</v>
      </c>
    </row>
    <row r="29" spans="5:16" ht="20.100000000000001" customHeight="1">
      <c r="E29" s="63">
        <v>1027</v>
      </c>
      <c r="F29" s="63" t="s">
        <v>845</v>
      </c>
      <c r="K29" s="1">
        <v>0</v>
      </c>
      <c r="L29" s="1">
        <v>0.02</v>
      </c>
      <c r="N29" s="1" t="s">
        <v>846</v>
      </c>
      <c r="O29" s="1" t="s">
        <v>825</v>
      </c>
      <c r="P29" s="1" t="s">
        <v>847</v>
      </c>
    </row>
    <row r="30" spans="5:16" ht="20.100000000000001" customHeight="1">
      <c r="E30" s="63">
        <v>1028</v>
      </c>
      <c r="F30" s="63" t="s">
        <v>848</v>
      </c>
      <c r="K30" s="1">
        <v>0</v>
      </c>
      <c r="L30" s="1">
        <v>0.04</v>
      </c>
      <c r="M30" s="64">
        <v>2002</v>
      </c>
      <c r="N30" s="64" t="s">
        <v>849</v>
      </c>
      <c r="O30" s="1" t="s">
        <v>825</v>
      </c>
      <c r="P30" s="1" t="s">
        <v>850</v>
      </c>
    </row>
    <row r="31" spans="5:16" ht="20.100000000000001" customHeight="1">
      <c r="E31" s="63">
        <v>1030</v>
      </c>
      <c r="F31" s="63" t="s">
        <v>851</v>
      </c>
      <c r="K31" s="1">
        <v>3</v>
      </c>
      <c r="L31" s="1">
        <v>0.02</v>
      </c>
      <c r="N31" s="1" t="s">
        <v>852</v>
      </c>
      <c r="O31" s="1"/>
      <c r="P31" s="1" t="s">
        <v>853</v>
      </c>
    </row>
    <row r="32" spans="5:16" ht="20.100000000000001" customHeight="1">
      <c r="E32" s="63">
        <v>1031</v>
      </c>
      <c r="F32" s="63" t="s">
        <v>854</v>
      </c>
      <c r="K32" s="1">
        <v>4</v>
      </c>
      <c r="L32" s="1">
        <v>0.02</v>
      </c>
      <c r="N32" s="1" t="s">
        <v>855</v>
      </c>
      <c r="O32" s="1"/>
      <c r="P32" s="1" t="s">
        <v>856</v>
      </c>
    </row>
    <row r="33" spans="5:16" ht="20.100000000000001" customHeight="1">
      <c r="E33" s="63">
        <v>1032</v>
      </c>
      <c r="F33" s="63" t="s">
        <v>857</v>
      </c>
      <c r="K33" s="1">
        <v>5</v>
      </c>
      <c r="L33" s="1">
        <v>0.02</v>
      </c>
      <c r="N33" s="1" t="s">
        <v>858</v>
      </c>
      <c r="O33" s="1"/>
      <c r="P33" s="1" t="s">
        <v>859</v>
      </c>
    </row>
    <row r="34" spans="5:16" ht="20.100000000000001" customHeight="1">
      <c r="E34" s="63">
        <v>1033</v>
      </c>
      <c r="F34" s="63" t="s">
        <v>860</v>
      </c>
      <c r="K34" s="1">
        <v>6</v>
      </c>
      <c r="L34" s="1">
        <v>0.02</v>
      </c>
      <c r="N34" s="1" t="s">
        <v>861</v>
      </c>
      <c r="P34" s="1" t="s">
        <v>862</v>
      </c>
    </row>
    <row r="35" spans="5:16" ht="20.100000000000001" customHeight="1">
      <c r="E35" s="63">
        <v>1034</v>
      </c>
      <c r="F35" s="63" t="s">
        <v>863</v>
      </c>
    </row>
    <row r="36" spans="5:16" ht="20.100000000000001" customHeight="1">
      <c r="E36" s="63">
        <v>1035</v>
      </c>
      <c r="F36" s="63" t="s">
        <v>864</v>
      </c>
    </row>
    <row r="37" spans="5:16" ht="20.100000000000001" customHeight="1"/>
    <row r="38" spans="5:16" ht="20.100000000000001" customHeight="1"/>
    <row r="39" spans="5:16" ht="20.100000000000001" customHeight="1"/>
    <row r="40" spans="5:16" ht="20.100000000000001" customHeight="1"/>
    <row r="41" spans="5:16" ht="20.100000000000001" customHeight="1"/>
    <row r="42" spans="5:16" ht="20.100000000000001" customHeight="1"/>
    <row r="43" spans="5:16" ht="20.100000000000001" customHeight="1"/>
    <row r="44" spans="5:16" ht="20.100000000000001" customHeight="1"/>
    <row r="45" spans="5:16" ht="20.100000000000001" customHeight="1">
      <c r="M45" s="1">
        <v>0.1</v>
      </c>
      <c r="N45" s="1" t="s">
        <v>828</v>
      </c>
      <c r="O45" s="1" t="s">
        <v>825</v>
      </c>
      <c r="P45" s="1" t="s">
        <v>865</v>
      </c>
    </row>
    <row r="46" spans="5:16" ht="20.100000000000001" customHeight="1">
      <c r="M46" s="1">
        <v>0.05</v>
      </c>
      <c r="N46" s="1" t="s">
        <v>831</v>
      </c>
      <c r="O46" s="1" t="s">
        <v>825</v>
      </c>
      <c r="P46" s="1" t="s">
        <v>832</v>
      </c>
    </row>
    <row r="47" spans="5:16" ht="20.100000000000001" customHeight="1">
      <c r="M47" s="1">
        <v>0.02</v>
      </c>
      <c r="N47" s="1" t="s">
        <v>834</v>
      </c>
      <c r="O47" s="1" t="s">
        <v>825</v>
      </c>
      <c r="P47" s="1" t="s">
        <v>866</v>
      </c>
    </row>
    <row r="48" spans="5:16" ht="20.100000000000001" customHeight="1">
      <c r="M48" s="1">
        <v>0.02</v>
      </c>
      <c r="N48" s="1" t="s">
        <v>837</v>
      </c>
      <c r="O48" s="1" t="s">
        <v>825</v>
      </c>
      <c r="P48" s="1" t="s">
        <v>838</v>
      </c>
    </row>
    <row r="49" spans="12:16" ht="20.100000000000001" customHeight="1">
      <c r="M49" s="1">
        <v>1E-3</v>
      </c>
      <c r="N49" s="1" t="s">
        <v>840</v>
      </c>
      <c r="O49" s="1" t="s">
        <v>825</v>
      </c>
      <c r="P49" s="1" t="s">
        <v>841</v>
      </c>
    </row>
    <row r="50" spans="12:16" ht="20.100000000000001" customHeight="1">
      <c r="M50" s="1">
        <v>0.03</v>
      </c>
      <c r="N50" s="1" t="s">
        <v>843</v>
      </c>
      <c r="O50" s="1" t="s">
        <v>825</v>
      </c>
      <c r="P50" s="1" t="s">
        <v>841</v>
      </c>
    </row>
    <row r="51" spans="12:16" ht="20.100000000000001" customHeight="1">
      <c r="N51" s="1" t="s">
        <v>867</v>
      </c>
      <c r="O51" s="1" t="s">
        <v>782</v>
      </c>
      <c r="P51" s="1" t="s">
        <v>868</v>
      </c>
    </row>
    <row r="52" spans="12:16" ht="20.100000000000001" customHeight="1">
      <c r="N52" s="1" t="s">
        <v>869</v>
      </c>
      <c r="O52" s="1" t="s">
        <v>782</v>
      </c>
      <c r="P52" s="1" t="s">
        <v>870</v>
      </c>
    </row>
    <row r="53" spans="12:16" ht="20.100000000000001" customHeight="1"/>
    <row r="54" spans="12:16" ht="20.100000000000001" customHeight="1"/>
    <row r="55" spans="12:16" ht="20.100000000000001" customHeight="1">
      <c r="L55" s="1">
        <v>1E-4</v>
      </c>
      <c r="M55" s="64">
        <v>2025</v>
      </c>
      <c r="N55" s="64" t="s">
        <v>871</v>
      </c>
      <c r="O55" s="1" t="s">
        <v>782</v>
      </c>
      <c r="P55" s="1" t="s">
        <v>872</v>
      </c>
    </row>
    <row r="56" spans="12:16" ht="20.100000000000001" customHeight="1">
      <c r="L56" s="1">
        <v>0.1</v>
      </c>
      <c r="M56" s="64">
        <v>2026</v>
      </c>
      <c r="N56" s="64" t="s">
        <v>867</v>
      </c>
      <c r="O56" s="1" t="s">
        <v>782</v>
      </c>
      <c r="P56" s="1" t="s">
        <v>868</v>
      </c>
    </row>
    <row r="57" spans="12:16" ht="20.100000000000001" customHeight="1">
      <c r="L57" s="1">
        <v>0</v>
      </c>
      <c r="M57" s="64">
        <v>2027</v>
      </c>
      <c r="N57" s="64" t="s">
        <v>873</v>
      </c>
      <c r="O57" s="1" t="s">
        <v>782</v>
      </c>
      <c r="P57" s="1" t="s">
        <v>874</v>
      </c>
    </row>
    <row r="58" spans="12:16" ht="20.100000000000001" customHeight="1">
      <c r="L58" s="1">
        <v>0.1</v>
      </c>
      <c r="M58" s="64">
        <v>2028</v>
      </c>
      <c r="N58" s="64" t="s">
        <v>869</v>
      </c>
      <c r="O58" s="1" t="s">
        <v>782</v>
      </c>
      <c r="P58" s="1" t="s">
        <v>875</v>
      </c>
    </row>
    <row r="59" spans="12:16" ht="20.100000000000001" customHeight="1"/>
    <row r="60" spans="12:16" ht="20.100000000000001" customHeight="1"/>
    <row r="61" spans="12:16" ht="20.100000000000001" customHeight="1"/>
    <row r="62" spans="12:16" ht="20.100000000000001" customHeight="1"/>
    <row r="63" spans="12:16" ht="20.100000000000001" customHeight="1"/>
    <row r="64" spans="12:16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Y80"/>
  <sheetViews>
    <sheetView workbookViewId="0">
      <selection activeCell="F5" sqref="F5"/>
    </sheetView>
  </sheetViews>
  <sheetFormatPr defaultColWidth="9" defaultRowHeight="14.25"/>
  <sheetData>
    <row r="1" spans="2:51" ht="20.100000000000001" customHeight="1">
      <c r="S1" s="5"/>
      <c r="T1" s="5"/>
      <c r="U1" s="5"/>
      <c r="V1" s="5"/>
      <c r="W1" s="5"/>
      <c r="X1" s="5"/>
      <c r="Y1" s="5"/>
      <c r="Z1" s="5"/>
      <c r="AA1" s="5"/>
      <c r="AB1" s="5"/>
    </row>
    <row r="2" spans="2:51" ht="20.100000000000001" customHeight="1">
      <c r="B2" s="4" t="s">
        <v>876</v>
      </c>
      <c r="C2" s="4" t="s">
        <v>7</v>
      </c>
      <c r="D2" s="4" t="s">
        <v>6</v>
      </c>
      <c r="E2" s="53"/>
      <c r="F2" s="4" t="s">
        <v>2</v>
      </c>
      <c r="G2" s="4" t="s">
        <v>3</v>
      </c>
      <c r="H2" s="4" t="s">
        <v>28</v>
      </c>
      <c r="I2" s="4" t="s">
        <v>29</v>
      </c>
      <c r="J2" s="4"/>
      <c r="L2" s="3"/>
      <c r="M2" s="4" t="s">
        <v>2</v>
      </c>
      <c r="N2" s="4" t="s">
        <v>3</v>
      </c>
      <c r="O2" s="4" t="s">
        <v>28</v>
      </c>
      <c r="P2" s="4" t="s">
        <v>29</v>
      </c>
      <c r="Q2" s="1" t="s">
        <v>877</v>
      </c>
      <c r="S2" s="5"/>
      <c r="T2" s="5"/>
      <c r="U2" s="1" t="s">
        <v>878</v>
      </c>
      <c r="V2" s="1" t="s">
        <v>2</v>
      </c>
      <c r="W2" s="1" t="s">
        <v>879</v>
      </c>
      <c r="X2" s="1" t="s">
        <v>880</v>
      </c>
      <c r="Y2" s="1" t="s">
        <v>881</v>
      </c>
      <c r="Z2" s="5"/>
      <c r="AA2" s="1" t="s">
        <v>882</v>
      </c>
      <c r="AB2" s="5"/>
      <c r="AE2" s="1"/>
      <c r="AF2" s="1" t="s">
        <v>2</v>
      </c>
      <c r="AG2" s="1" t="s">
        <v>879</v>
      </c>
      <c r="AH2" s="1" t="s">
        <v>880</v>
      </c>
      <c r="AI2" s="1" t="s">
        <v>881</v>
      </c>
    </row>
    <row r="3" spans="2:51" ht="20.100000000000001" customHeight="1">
      <c r="B3" s="1">
        <v>1</v>
      </c>
      <c r="C3" s="1">
        <v>5</v>
      </c>
      <c r="D3" s="1">
        <v>5</v>
      </c>
      <c r="E3" s="5"/>
      <c r="F3" s="1">
        <f>C3*总表!D4</f>
        <v>5250</v>
      </c>
      <c r="G3" s="1">
        <f>总表!E$4*$D3</f>
        <v>500</v>
      </c>
      <c r="H3" s="1">
        <f>总表!F$4*$D3</f>
        <v>150</v>
      </c>
      <c r="I3" s="1">
        <f>总表!G$4*$D3</f>
        <v>150</v>
      </c>
      <c r="J3" s="1"/>
      <c r="L3" s="1" t="s">
        <v>802</v>
      </c>
      <c r="M3" s="1">
        <v>0</v>
      </c>
      <c r="N3" s="1">
        <v>0.05</v>
      </c>
      <c r="O3" s="1">
        <v>0.1</v>
      </c>
      <c r="P3" s="1">
        <v>0.1</v>
      </c>
      <c r="Q3" s="1">
        <f t="shared" ref="Q3:Q13" si="0">SUM(M3:P3)</f>
        <v>0.25</v>
      </c>
      <c r="S3" s="5"/>
      <c r="T3" s="1" t="s">
        <v>883</v>
      </c>
      <c r="U3" s="1" t="s">
        <v>182</v>
      </c>
      <c r="V3" s="1">
        <v>0.5</v>
      </c>
      <c r="W3" s="1">
        <v>1.35</v>
      </c>
      <c r="X3" s="1">
        <v>0.75</v>
      </c>
      <c r="Y3" s="1">
        <v>0.75</v>
      </c>
      <c r="Z3" s="5"/>
      <c r="AA3" s="1">
        <f>W3+(X3+Y3+V3)/3</f>
        <v>2.0166666666666666</v>
      </c>
      <c r="AB3" s="5"/>
      <c r="AE3" s="45" t="s">
        <v>802</v>
      </c>
      <c r="AF3" s="1">
        <f>ROUND(M3*F$3,0)</f>
        <v>0</v>
      </c>
      <c r="AG3" s="1">
        <f>ROUND(N3*G$3,0)</f>
        <v>25</v>
      </c>
      <c r="AH3" s="1">
        <f t="shared" ref="AH3:AI3" si="1">ROUND(O3*H$3,0)</f>
        <v>15</v>
      </c>
      <c r="AI3" s="1">
        <f t="shared" si="1"/>
        <v>15</v>
      </c>
    </row>
    <row r="4" spans="2:51" ht="20.100000000000001" customHeight="1">
      <c r="B4" s="1">
        <v>10</v>
      </c>
      <c r="C4" s="1">
        <v>10</v>
      </c>
      <c r="D4" s="1">
        <v>10</v>
      </c>
      <c r="E4" s="5"/>
      <c r="F4" s="1">
        <f>C4*[1]属性总表!$E$5</f>
        <v>10500</v>
      </c>
      <c r="G4" s="1">
        <f>总表!E$4*$D4</f>
        <v>1000</v>
      </c>
      <c r="H4" s="1">
        <f>总表!F$4*$D4</f>
        <v>300</v>
      </c>
      <c r="I4" s="1">
        <f>总表!G$4*$D4</f>
        <v>300</v>
      </c>
      <c r="J4" s="1"/>
      <c r="L4" s="1" t="s">
        <v>812</v>
      </c>
      <c r="M4" s="1">
        <v>0</v>
      </c>
      <c r="N4" s="1">
        <v>6.5000000000000002E-2</v>
      </c>
      <c r="O4" s="1">
        <v>0</v>
      </c>
      <c r="P4" s="1">
        <v>0.3</v>
      </c>
      <c r="Q4" s="1">
        <f t="shared" si="0"/>
        <v>0.36499999999999999</v>
      </c>
      <c r="S4" s="5"/>
      <c r="T4" s="5"/>
      <c r="U4" s="1" t="s">
        <v>350</v>
      </c>
      <c r="V4" s="1">
        <v>1</v>
      </c>
      <c r="W4" s="1">
        <v>1</v>
      </c>
      <c r="X4" s="1">
        <v>1</v>
      </c>
      <c r="Y4" s="1">
        <v>1</v>
      </c>
      <c r="Z4" s="5"/>
      <c r="AA4" s="1">
        <f t="shared" ref="AA4:AA5" si="2">W4+(X4+Y4+V4)/3</f>
        <v>2</v>
      </c>
      <c r="AB4" s="5"/>
      <c r="AE4" s="45" t="s">
        <v>884</v>
      </c>
      <c r="AF4" s="1">
        <f t="shared" ref="AF4:AF13" si="3">ROUND(M4*F$3,0)</f>
        <v>0</v>
      </c>
      <c r="AG4" s="1">
        <f t="shared" ref="AG4:AG13" si="4">ROUND(N4*G$3,0)</f>
        <v>33</v>
      </c>
      <c r="AH4" s="1">
        <f t="shared" ref="AH4:AH13" si="5">ROUND(O4*H$3,0)</f>
        <v>0</v>
      </c>
      <c r="AI4" s="1">
        <f t="shared" ref="AI4:AI13" si="6">ROUND(P4*I$3,0)</f>
        <v>45</v>
      </c>
    </row>
    <row r="5" spans="2:51" ht="20.100000000000001" customHeight="1">
      <c r="B5" s="1">
        <v>20</v>
      </c>
      <c r="C5" s="1">
        <v>15</v>
      </c>
      <c r="D5" s="1">
        <v>15</v>
      </c>
      <c r="E5" s="5"/>
      <c r="F5" s="1">
        <f>C5*[1]属性总表!$E$5</f>
        <v>15750</v>
      </c>
      <c r="G5" s="1">
        <f>总表!E$4*$D5</f>
        <v>1500</v>
      </c>
      <c r="H5" s="1">
        <f>总表!F$4*$D5</f>
        <v>450</v>
      </c>
      <c r="I5" s="1">
        <f>总表!G$4*$D5</f>
        <v>450</v>
      </c>
      <c r="J5" s="1"/>
      <c r="L5" s="1" t="s">
        <v>795</v>
      </c>
      <c r="M5" s="1">
        <v>0.1</v>
      </c>
      <c r="N5" s="1">
        <v>3.5000000000000003E-2</v>
      </c>
      <c r="O5" s="1">
        <v>0.2</v>
      </c>
      <c r="P5" s="1">
        <v>0</v>
      </c>
      <c r="Q5" s="1">
        <f t="shared" si="0"/>
        <v>0.33500000000000002</v>
      </c>
      <c r="S5" s="5"/>
      <c r="T5" s="5"/>
      <c r="U5" s="1" t="s">
        <v>427</v>
      </c>
      <c r="V5" s="1">
        <v>1.5</v>
      </c>
      <c r="W5" s="1">
        <v>0.75</v>
      </c>
      <c r="X5" s="1">
        <v>1.25</v>
      </c>
      <c r="Y5" s="1">
        <v>1.25</v>
      </c>
      <c r="Z5" s="5"/>
      <c r="AA5" s="1">
        <f t="shared" si="2"/>
        <v>2.083333333333333</v>
      </c>
      <c r="AB5" s="5"/>
      <c r="AE5" s="45" t="s">
        <v>795</v>
      </c>
      <c r="AF5" s="1">
        <f t="shared" si="3"/>
        <v>525</v>
      </c>
      <c r="AG5" s="1">
        <f t="shared" si="4"/>
        <v>18</v>
      </c>
      <c r="AH5" s="1">
        <f t="shared" si="5"/>
        <v>30</v>
      </c>
      <c r="AI5" s="1">
        <f t="shared" si="6"/>
        <v>0</v>
      </c>
    </row>
    <row r="6" spans="2:51" ht="20.100000000000001" customHeight="1">
      <c r="B6" s="1">
        <v>30</v>
      </c>
      <c r="C6" s="1">
        <v>20</v>
      </c>
      <c r="D6" s="1">
        <v>20</v>
      </c>
      <c r="E6" s="5"/>
      <c r="F6" s="1">
        <f>C6*[1]属性总表!$E$5</f>
        <v>21000</v>
      </c>
      <c r="G6" s="1">
        <f>总表!E$4*$D6</f>
        <v>2000</v>
      </c>
      <c r="H6" s="1">
        <f>总表!F$4*$D6</f>
        <v>600</v>
      </c>
      <c r="I6" s="1">
        <f>总表!G$4*$D6</f>
        <v>600</v>
      </c>
      <c r="J6" s="1"/>
      <c r="L6" s="1" t="s">
        <v>885</v>
      </c>
      <c r="M6" s="1">
        <v>0</v>
      </c>
      <c r="N6" s="1">
        <v>5.5E-2</v>
      </c>
      <c r="O6" s="1">
        <v>0.2</v>
      </c>
      <c r="P6" s="1">
        <v>0.2</v>
      </c>
      <c r="Q6" s="1">
        <f t="shared" si="0"/>
        <v>0.45500000000000002</v>
      </c>
      <c r="S6" s="5"/>
      <c r="T6" s="5"/>
      <c r="U6" s="5"/>
      <c r="V6" s="5"/>
      <c r="W6" s="5"/>
      <c r="X6" s="5"/>
      <c r="Y6" s="5"/>
      <c r="Z6" s="5"/>
      <c r="AA6" s="5"/>
      <c r="AB6" s="5"/>
      <c r="AE6" s="45" t="s">
        <v>886</v>
      </c>
      <c r="AF6" s="1">
        <f t="shared" si="3"/>
        <v>0</v>
      </c>
      <c r="AG6" s="1">
        <f t="shared" si="4"/>
        <v>28</v>
      </c>
      <c r="AH6" s="1">
        <f t="shared" si="5"/>
        <v>30</v>
      </c>
      <c r="AI6" s="1">
        <f t="shared" si="6"/>
        <v>30</v>
      </c>
    </row>
    <row r="7" spans="2:51" ht="20.100000000000001" customHeight="1">
      <c r="B7" s="1">
        <v>40</v>
      </c>
      <c r="C7" s="1">
        <v>25</v>
      </c>
      <c r="D7" s="1">
        <v>25</v>
      </c>
      <c r="E7" s="5"/>
      <c r="F7" s="1">
        <f>C7*[1]属性总表!$E$5</f>
        <v>26250</v>
      </c>
      <c r="G7" s="1">
        <f>总表!E$4*$D7</f>
        <v>2500</v>
      </c>
      <c r="H7" s="1">
        <f>总表!F$4*$D7</f>
        <v>750</v>
      </c>
      <c r="I7" s="1">
        <f>总表!G$4*$D7</f>
        <v>750</v>
      </c>
      <c r="J7" s="1"/>
      <c r="L7" s="1" t="s">
        <v>816</v>
      </c>
      <c r="M7" s="1">
        <v>0.25</v>
      </c>
      <c r="N7" s="1">
        <v>7.4999999999999997E-2</v>
      </c>
      <c r="O7" s="1">
        <v>0.1</v>
      </c>
      <c r="P7" s="1">
        <v>0</v>
      </c>
      <c r="Q7" s="1">
        <f t="shared" si="0"/>
        <v>0.42500000000000004</v>
      </c>
      <c r="S7" s="5"/>
      <c r="T7" s="5"/>
      <c r="U7" s="5"/>
      <c r="V7" s="5"/>
      <c r="W7" s="5"/>
      <c r="X7" s="5"/>
      <c r="Y7" s="5"/>
      <c r="Z7" s="5"/>
      <c r="AA7" s="5"/>
      <c r="AB7" s="5"/>
      <c r="AE7" s="45" t="s">
        <v>887</v>
      </c>
      <c r="AF7" s="1">
        <f t="shared" si="3"/>
        <v>1313</v>
      </c>
      <c r="AG7" s="1">
        <f t="shared" si="4"/>
        <v>38</v>
      </c>
      <c r="AH7" s="1">
        <f t="shared" si="5"/>
        <v>15</v>
      </c>
      <c r="AI7" s="1">
        <f t="shared" si="6"/>
        <v>0</v>
      </c>
    </row>
    <row r="8" spans="2:51" ht="20.100000000000001" customHeight="1">
      <c r="B8" s="1">
        <v>50</v>
      </c>
      <c r="C8" s="1">
        <v>30</v>
      </c>
      <c r="D8" s="1">
        <v>30</v>
      </c>
      <c r="E8" s="5"/>
      <c r="F8" s="1">
        <f>C8*[1]属性总表!$E$5</f>
        <v>31500</v>
      </c>
      <c r="G8" s="1">
        <f>总表!E$4*$D8</f>
        <v>3000</v>
      </c>
      <c r="H8" s="1">
        <f>总表!F$4*$D8</f>
        <v>900</v>
      </c>
      <c r="I8" s="1">
        <f>总表!G$4*$D8</f>
        <v>900</v>
      </c>
      <c r="J8" s="1"/>
      <c r="L8" s="1" t="s">
        <v>774</v>
      </c>
      <c r="M8" s="1">
        <v>0</v>
      </c>
      <c r="N8" s="1">
        <v>0.15</v>
      </c>
      <c r="O8" s="1">
        <v>0.15</v>
      </c>
      <c r="P8" s="1">
        <v>0</v>
      </c>
      <c r="Q8" s="1">
        <f t="shared" si="0"/>
        <v>0.3</v>
      </c>
      <c r="S8" s="5"/>
      <c r="T8" s="5"/>
      <c r="U8" s="1" t="s">
        <v>888</v>
      </c>
      <c r="V8" s="1" t="s">
        <v>889</v>
      </c>
      <c r="W8" s="5"/>
      <c r="X8" s="5"/>
      <c r="Y8" s="5"/>
      <c r="Z8" s="5"/>
      <c r="AA8" s="5"/>
      <c r="AB8" s="5"/>
      <c r="AE8" s="1" t="s">
        <v>774</v>
      </c>
      <c r="AF8" s="1">
        <f t="shared" si="3"/>
        <v>0</v>
      </c>
      <c r="AG8" s="1">
        <f t="shared" si="4"/>
        <v>75</v>
      </c>
      <c r="AH8" s="1">
        <f t="shared" si="5"/>
        <v>23</v>
      </c>
      <c r="AI8" s="1">
        <f t="shared" si="6"/>
        <v>0</v>
      </c>
    </row>
    <row r="9" spans="2:51" ht="20.100000000000001" customHeight="1">
      <c r="L9" s="1" t="s">
        <v>809</v>
      </c>
      <c r="M9" s="1">
        <v>0</v>
      </c>
      <c r="N9" s="1">
        <v>0.15</v>
      </c>
      <c r="O9" s="1">
        <v>0</v>
      </c>
      <c r="P9" s="1">
        <v>0.15</v>
      </c>
      <c r="Q9" s="1">
        <f t="shared" si="0"/>
        <v>0.3</v>
      </c>
      <c r="S9" s="5"/>
      <c r="T9" s="1" t="s">
        <v>45</v>
      </c>
      <c r="U9" s="1" t="s">
        <v>350</v>
      </c>
      <c r="V9" s="5"/>
      <c r="W9" s="5"/>
      <c r="X9" s="5"/>
      <c r="Y9" s="5"/>
      <c r="Z9" s="5"/>
      <c r="AA9" s="5"/>
      <c r="AB9" s="5"/>
      <c r="AE9" s="1" t="s">
        <v>809</v>
      </c>
      <c r="AF9" s="1">
        <f t="shared" si="3"/>
        <v>0</v>
      </c>
      <c r="AG9" s="1">
        <f t="shared" si="4"/>
        <v>75</v>
      </c>
      <c r="AH9" s="1">
        <f t="shared" si="5"/>
        <v>0</v>
      </c>
      <c r="AI9" s="1">
        <f t="shared" si="6"/>
        <v>23</v>
      </c>
    </row>
    <row r="10" spans="2:51" ht="20.100000000000001" customHeight="1">
      <c r="L10" s="1" t="s">
        <v>782</v>
      </c>
      <c r="M10" s="1">
        <v>0</v>
      </c>
      <c r="N10" s="1">
        <v>0</v>
      </c>
      <c r="O10" s="1">
        <v>0</v>
      </c>
      <c r="P10" s="1">
        <v>0</v>
      </c>
      <c r="Q10" s="1">
        <f t="shared" si="0"/>
        <v>0</v>
      </c>
      <c r="S10" s="5"/>
      <c r="T10" s="13"/>
      <c r="U10" s="1" t="s">
        <v>350</v>
      </c>
      <c r="V10" s="5"/>
      <c r="W10" s="5"/>
      <c r="X10" s="5"/>
      <c r="Y10" s="5"/>
      <c r="Z10" s="5"/>
      <c r="AA10" s="5"/>
      <c r="AB10" s="5"/>
      <c r="AE10" s="1" t="s">
        <v>782</v>
      </c>
      <c r="AF10" s="1">
        <f t="shared" si="3"/>
        <v>0</v>
      </c>
      <c r="AG10" s="1">
        <f t="shared" si="4"/>
        <v>0</v>
      </c>
      <c r="AH10" s="1">
        <f t="shared" si="5"/>
        <v>0</v>
      </c>
      <c r="AI10" s="1">
        <f t="shared" si="6"/>
        <v>0</v>
      </c>
    </row>
    <row r="11" spans="2:51" ht="20.100000000000001" customHeight="1">
      <c r="B11" s="1" t="s">
        <v>890</v>
      </c>
      <c r="C11" s="15"/>
      <c r="D11" s="1">
        <v>2000</v>
      </c>
      <c r="L11" s="1" t="s">
        <v>778</v>
      </c>
      <c r="M11" s="1">
        <v>0.4</v>
      </c>
      <c r="N11" s="1">
        <v>0</v>
      </c>
      <c r="O11" s="1">
        <v>0</v>
      </c>
      <c r="P11" s="1">
        <v>0</v>
      </c>
      <c r="Q11" s="1">
        <f t="shared" si="0"/>
        <v>0.4</v>
      </c>
      <c r="S11" s="5"/>
      <c r="T11" s="1"/>
      <c r="U11" s="1" t="s">
        <v>427</v>
      </c>
      <c r="V11" s="5"/>
      <c r="W11" s="5"/>
      <c r="X11" s="5"/>
      <c r="Y11" s="5"/>
      <c r="Z11" s="5"/>
      <c r="AA11" s="5"/>
      <c r="AB11" s="5"/>
      <c r="AE11" s="1" t="s">
        <v>778</v>
      </c>
      <c r="AF11" s="1">
        <f t="shared" si="3"/>
        <v>2100</v>
      </c>
      <c r="AG11" s="1">
        <f t="shared" si="4"/>
        <v>0</v>
      </c>
      <c r="AH11" s="1">
        <f t="shared" si="5"/>
        <v>0</v>
      </c>
      <c r="AI11" s="1">
        <f t="shared" si="6"/>
        <v>0</v>
      </c>
    </row>
    <row r="12" spans="2:51" ht="20.100000000000001" customHeight="1">
      <c r="B12" s="1" t="s">
        <v>15</v>
      </c>
      <c r="C12" s="1">
        <v>0.8</v>
      </c>
      <c r="D12" s="1">
        <f>C12*$D$11</f>
        <v>1600</v>
      </c>
      <c r="L12" s="1" t="s">
        <v>42</v>
      </c>
      <c r="M12" s="1">
        <v>0</v>
      </c>
      <c r="N12" s="1">
        <v>0.42</v>
      </c>
      <c r="O12" s="1">
        <v>0</v>
      </c>
      <c r="P12" s="1">
        <v>0</v>
      </c>
      <c r="Q12" s="1">
        <f t="shared" si="0"/>
        <v>0.42</v>
      </c>
      <c r="T12" s="13"/>
      <c r="U12" s="13"/>
      <c r="AE12" s="45" t="s">
        <v>42</v>
      </c>
      <c r="AF12" s="1">
        <f t="shared" si="3"/>
        <v>0</v>
      </c>
      <c r="AG12" s="1">
        <f t="shared" si="4"/>
        <v>210</v>
      </c>
      <c r="AH12" s="1">
        <f t="shared" si="5"/>
        <v>0</v>
      </c>
      <c r="AI12" s="1">
        <f t="shared" si="6"/>
        <v>0</v>
      </c>
    </row>
    <row r="13" spans="2:51" ht="20.100000000000001" customHeight="1">
      <c r="B13" s="1" t="s">
        <v>891</v>
      </c>
      <c r="C13" s="1">
        <v>1</v>
      </c>
      <c r="D13" s="1">
        <f t="shared" ref="D13:D14" si="7">C13*$D$11</f>
        <v>2000</v>
      </c>
      <c r="K13" s="46" t="s">
        <v>892</v>
      </c>
      <c r="L13" s="1" t="s">
        <v>769</v>
      </c>
      <c r="M13" s="1">
        <v>0.3</v>
      </c>
      <c r="N13" s="1">
        <v>0</v>
      </c>
      <c r="O13" s="1">
        <v>0.25</v>
      </c>
      <c r="P13" s="1">
        <v>0.25</v>
      </c>
      <c r="Q13" s="1">
        <f t="shared" si="0"/>
        <v>0.8</v>
      </c>
      <c r="T13" s="1" t="s">
        <v>56</v>
      </c>
      <c r="U13" s="1" t="s">
        <v>182</v>
      </c>
      <c r="AE13" s="45" t="s">
        <v>769</v>
      </c>
      <c r="AF13" s="1">
        <f t="shared" si="3"/>
        <v>1575</v>
      </c>
      <c r="AG13" s="1">
        <f t="shared" si="4"/>
        <v>0</v>
      </c>
      <c r="AH13" s="1">
        <f t="shared" si="5"/>
        <v>38</v>
      </c>
      <c r="AI13" s="1">
        <f t="shared" si="6"/>
        <v>38</v>
      </c>
    </row>
    <row r="14" spans="2:51" ht="20.100000000000001" customHeight="1">
      <c r="B14" s="1" t="s">
        <v>893</v>
      </c>
      <c r="C14" s="1">
        <v>1.2</v>
      </c>
      <c r="D14" s="1">
        <f t="shared" si="7"/>
        <v>2400</v>
      </c>
      <c r="L14" s="1"/>
      <c r="T14" s="13"/>
      <c r="U14" s="1" t="s">
        <v>182</v>
      </c>
    </row>
    <row r="15" spans="2:51" ht="20.100000000000001" customHeight="1">
      <c r="L15" s="1" t="s">
        <v>894</v>
      </c>
      <c r="M15" s="1">
        <f>SUM(M3:M13)</f>
        <v>1.05</v>
      </c>
      <c r="N15" s="1">
        <f t="shared" ref="N15:Q15" si="8">SUM(N3:N13)</f>
        <v>1</v>
      </c>
      <c r="O15" s="1">
        <f t="shared" si="8"/>
        <v>1</v>
      </c>
      <c r="P15" s="1">
        <f t="shared" si="8"/>
        <v>1</v>
      </c>
      <c r="Q15" s="1">
        <f t="shared" si="8"/>
        <v>4.05</v>
      </c>
      <c r="T15" s="13"/>
      <c r="U15" s="1" t="s">
        <v>427</v>
      </c>
    </row>
    <row r="16" spans="2:51" ht="20.100000000000001" customHeight="1">
      <c r="AC16" s="15"/>
      <c r="AD16" s="15"/>
      <c r="AE16" s="54" t="s">
        <v>802</v>
      </c>
      <c r="AF16" s="1"/>
      <c r="AG16" s="1"/>
      <c r="AH16" s="1"/>
      <c r="AJ16" s="1"/>
      <c r="AK16" s="1"/>
      <c r="AL16" s="1"/>
      <c r="AM16" s="1" t="s">
        <v>182</v>
      </c>
      <c r="AN16" s="1">
        <v>0.5</v>
      </c>
      <c r="AO16" s="1">
        <v>1.35</v>
      </c>
      <c r="AP16" s="1">
        <v>0.75</v>
      </c>
      <c r="AQ16" s="1">
        <v>0.75</v>
      </c>
      <c r="AR16" s="5"/>
      <c r="AS16" s="5"/>
      <c r="AT16" s="5"/>
      <c r="AU16" s="1" t="s">
        <v>427</v>
      </c>
      <c r="AV16" s="1">
        <v>1.5</v>
      </c>
      <c r="AW16" s="1">
        <v>0.75</v>
      </c>
      <c r="AX16" s="1">
        <v>1.25</v>
      </c>
      <c r="AY16" s="1">
        <v>1.25</v>
      </c>
    </row>
    <row r="17" spans="2:51" ht="20.100000000000001" customHeight="1">
      <c r="B17" s="1" t="s">
        <v>895</v>
      </c>
      <c r="C17" s="1" t="s">
        <v>896</v>
      </c>
      <c r="D17" s="1" t="s">
        <v>897</v>
      </c>
      <c r="E17" s="5"/>
      <c r="AC17" s="1" t="s">
        <v>898</v>
      </c>
      <c r="AD17" s="1" t="s">
        <v>899</v>
      </c>
      <c r="AE17" s="1" t="s">
        <v>900</v>
      </c>
      <c r="AF17" s="1">
        <v>0</v>
      </c>
      <c r="AG17" s="1">
        <v>10</v>
      </c>
      <c r="AH17" s="1">
        <v>6</v>
      </c>
      <c r="AI17" s="1">
        <v>6</v>
      </c>
      <c r="AJ17" s="1"/>
      <c r="AK17" s="1" t="s">
        <v>898</v>
      </c>
      <c r="AL17" s="1" t="s">
        <v>899</v>
      </c>
      <c r="AM17" s="1" t="s">
        <v>901</v>
      </c>
      <c r="AN17" s="1">
        <f t="shared" ref="AN17:AQ20" ca="1" si="9">ROUND(AF17*AN$23,0)</f>
        <v>0</v>
      </c>
      <c r="AO17" s="1">
        <f t="shared" ca="1" si="9"/>
        <v>14</v>
      </c>
      <c r="AP17" s="1">
        <f t="shared" ca="1" si="9"/>
        <v>5</v>
      </c>
      <c r="AQ17" s="1">
        <f t="shared" ca="1" si="9"/>
        <v>5</v>
      </c>
      <c r="AS17" s="1" t="s">
        <v>898</v>
      </c>
      <c r="AT17" s="1" t="s">
        <v>899</v>
      </c>
      <c r="AU17" s="1" t="s">
        <v>902</v>
      </c>
      <c r="AV17" s="1">
        <f t="shared" ref="AV17:AY20" ca="1" si="10">ROUND(AF17*AV$23,0)</f>
        <v>0</v>
      </c>
      <c r="AW17" s="1">
        <f t="shared" ca="1" si="10"/>
        <v>8</v>
      </c>
      <c r="AX17" s="1">
        <f t="shared" ca="1" si="10"/>
        <v>8</v>
      </c>
      <c r="AY17" s="1">
        <f t="shared" ca="1" si="10"/>
        <v>8</v>
      </c>
    </row>
    <row r="18" spans="2:51" ht="20.100000000000001" customHeight="1">
      <c r="C18" s="1">
        <v>1</v>
      </c>
      <c r="D18" s="1">
        <v>15</v>
      </c>
      <c r="E18" s="5"/>
      <c r="AC18" s="1" t="s">
        <v>898</v>
      </c>
      <c r="AD18" s="1" t="s">
        <v>899</v>
      </c>
      <c r="AE18" s="1" t="s">
        <v>903</v>
      </c>
      <c r="AF18" s="1">
        <v>0</v>
      </c>
      <c r="AG18" s="1">
        <v>18</v>
      </c>
      <c r="AH18" s="1">
        <v>10</v>
      </c>
      <c r="AI18" s="1">
        <v>10</v>
      </c>
      <c r="AJ18" s="1"/>
      <c r="AK18" s="1" t="s">
        <v>898</v>
      </c>
      <c r="AL18" s="1" t="s">
        <v>899</v>
      </c>
      <c r="AM18" s="1" t="s">
        <v>904</v>
      </c>
      <c r="AN18" s="1">
        <f t="shared" ca="1" si="9"/>
        <v>0</v>
      </c>
      <c r="AO18" s="1">
        <f t="shared" ca="1" si="9"/>
        <v>24</v>
      </c>
      <c r="AP18" s="1">
        <f t="shared" ca="1" si="9"/>
        <v>8</v>
      </c>
      <c r="AQ18" s="1">
        <f t="shared" ca="1" si="9"/>
        <v>8</v>
      </c>
      <c r="AS18" s="1" t="s">
        <v>898</v>
      </c>
      <c r="AT18" s="1" t="s">
        <v>899</v>
      </c>
      <c r="AU18" s="1" t="s">
        <v>905</v>
      </c>
      <c r="AV18" s="1">
        <f t="shared" ca="1" si="10"/>
        <v>0</v>
      </c>
      <c r="AW18" s="1">
        <f t="shared" ca="1" si="10"/>
        <v>14</v>
      </c>
      <c r="AX18" s="1">
        <f t="shared" ca="1" si="10"/>
        <v>13</v>
      </c>
      <c r="AY18" s="1">
        <f t="shared" ca="1" si="10"/>
        <v>13</v>
      </c>
    </row>
    <row r="19" spans="2:51" ht="20.100000000000001" customHeight="1">
      <c r="B19" s="5"/>
      <c r="C19" s="1">
        <v>2</v>
      </c>
      <c r="D19" s="1">
        <v>25</v>
      </c>
      <c r="E19" s="5"/>
      <c r="AC19" s="55" t="s">
        <v>906</v>
      </c>
      <c r="AD19" s="55" t="s">
        <v>891</v>
      </c>
      <c r="AE19" s="55" t="s">
        <v>907</v>
      </c>
      <c r="AF19" s="55">
        <v>0</v>
      </c>
      <c r="AG19" s="55">
        <v>20</v>
      </c>
      <c r="AH19" s="55">
        <v>12</v>
      </c>
      <c r="AI19" s="55">
        <v>12</v>
      </c>
      <c r="AJ19" s="1"/>
      <c r="AK19" s="55" t="s">
        <v>906</v>
      </c>
      <c r="AL19" s="55" t="s">
        <v>891</v>
      </c>
      <c r="AM19" s="55" t="s">
        <v>908</v>
      </c>
      <c r="AN19" s="1">
        <f t="shared" ca="1" si="9"/>
        <v>0</v>
      </c>
      <c r="AO19" s="1">
        <f t="shared" ca="1" si="9"/>
        <v>27</v>
      </c>
      <c r="AP19" s="1">
        <f t="shared" ca="1" si="9"/>
        <v>9</v>
      </c>
      <c r="AQ19" s="1">
        <f t="shared" ca="1" si="9"/>
        <v>9</v>
      </c>
      <c r="AS19" s="55" t="s">
        <v>906</v>
      </c>
      <c r="AT19" s="55" t="s">
        <v>891</v>
      </c>
      <c r="AU19" s="55" t="s">
        <v>907</v>
      </c>
      <c r="AV19" s="1">
        <f t="shared" ca="1" si="10"/>
        <v>0</v>
      </c>
      <c r="AW19" s="1">
        <f t="shared" ca="1" si="10"/>
        <v>15</v>
      </c>
      <c r="AX19" s="1">
        <f t="shared" ca="1" si="10"/>
        <v>15</v>
      </c>
      <c r="AY19" s="1">
        <f t="shared" ca="1" si="10"/>
        <v>15</v>
      </c>
    </row>
    <row r="20" spans="2:51" ht="20.100000000000001" customHeight="1">
      <c r="B20" s="5"/>
      <c r="C20" s="1">
        <v>3</v>
      </c>
      <c r="D20" s="1">
        <v>32</v>
      </c>
      <c r="E20" s="5"/>
      <c r="AC20" s="56" t="s">
        <v>898</v>
      </c>
      <c r="AD20" s="56" t="s">
        <v>891</v>
      </c>
      <c r="AE20" s="56" t="s">
        <v>909</v>
      </c>
      <c r="AF20" s="56">
        <v>0</v>
      </c>
      <c r="AG20" s="56">
        <v>25</v>
      </c>
      <c r="AH20" s="56">
        <v>15</v>
      </c>
      <c r="AI20" s="56">
        <v>15</v>
      </c>
      <c r="AJ20" s="1"/>
      <c r="AK20" s="56" t="s">
        <v>898</v>
      </c>
      <c r="AL20" s="56" t="s">
        <v>891</v>
      </c>
      <c r="AM20" s="56" t="s">
        <v>910</v>
      </c>
      <c r="AN20" s="1">
        <f t="shared" ca="1" si="9"/>
        <v>0</v>
      </c>
      <c r="AO20" s="1">
        <f t="shared" ca="1" si="9"/>
        <v>34</v>
      </c>
      <c r="AP20" s="1">
        <f t="shared" ca="1" si="9"/>
        <v>11</v>
      </c>
      <c r="AQ20" s="1">
        <f t="shared" ca="1" si="9"/>
        <v>11</v>
      </c>
      <c r="AS20" s="56" t="s">
        <v>898</v>
      </c>
      <c r="AT20" s="56" t="s">
        <v>891</v>
      </c>
      <c r="AU20" s="56" t="s">
        <v>911</v>
      </c>
      <c r="AV20" s="1">
        <f t="shared" ca="1" si="10"/>
        <v>0</v>
      </c>
      <c r="AW20" s="1">
        <f t="shared" ca="1" si="10"/>
        <v>19</v>
      </c>
      <c r="AX20" s="1">
        <f t="shared" ca="1" si="10"/>
        <v>19</v>
      </c>
      <c r="AY20" s="1">
        <f t="shared" ca="1" si="10"/>
        <v>19</v>
      </c>
    </row>
    <row r="21" spans="2:51" ht="20.100000000000001" customHeight="1">
      <c r="B21" s="5"/>
      <c r="C21" s="1">
        <v>4</v>
      </c>
      <c r="D21" s="1">
        <v>40</v>
      </c>
      <c r="E21" s="5"/>
      <c r="AC21" s="1"/>
      <c r="AD21" s="1"/>
      <c r="AE21" s="46"/>
      <c r="AF21" s="46"/>
      <c r="AG21" s="46"/>
      <c r="AH21" s="46"/>
      <c r="AI21" s="46"/>
      <c r="AJ21" s="1"/>
      <c r="AK21" s="1"/>
      <c r="AN21" s="3"/>
    </row>
    <row r="22" spans="2:51" ht="20.100000000000001" customHeight="1">
      <c r="B22" s="5"/>
      <c r="C22" s="1">
        <v>5</v>
      </c>
      <c r="D22" s="1">
        <v>50</v>
      </c>
      <c r="AC22" s="15"/>
      <c r="AD22" s="1"/>
      <c r="AE22" s="54" t="s">
        <v>812</v>
      </c>
      <c r="AF22" s="1" t="s">
        <v>912</v>
      </c>
      <c r="AG22" s="1" t="s">
        <v>912</v>
      </c>
      <c r="AH22" s="1" t="s">
        <v>912</v>
      </c>
      <c r="AI22" s="1" t="s">
        <v>912</v>
      </c>
      <c r="AJ22" s="1"/>
      <c r="AK22" s="1"/>
      <c r="AN22" s="15"/>
    </row>
    <row r="23" spans="2:51" ht="20.100000000000001" customHeight="1">
      <c r="AC23" s="1" t="s">
        <v>898</v>
      </c>
      <c r="AD23" s="1" t="s">
        <v>899</v>
      </c>
      <c r="AE23" s="1" t="s">
        <v>913</v>
      </c>
      <c r="AF23" s="1">
        <v>0</v>
      </c>
      <c r="AG23" s="1">
        <v>12</v>
      </c>
      <c r="AH23" s="1">
        <v>0</v>
      </c>
      <c r="AI23" s="1">
        <v>20</v>
      </c>
      <c r="AJ23" s="1"/>
      <c r="AK23" s="1" t="s">
        <v>898</v>
      </c>
      <c r="AL23" s="1" t="s">
        <v>899</v>
      </c>
      <c r="AM23" s="1" t="s">
        <v>914</v>
      </c>
      <c r="AN23" s="1">
        <f t="shared" ref="AN23:AQ26" ca="1" si="11">ROUND(AF23*AN$23,0)</f>
        <v>0</v>
      </c>
      <c r="AO23" s="1">
        <f t="shared" ca="1" si="11"/>
        <v>16</v>
      </c>
      <c r="AP23" s="1">
        <f t="shared" ca="1" si="11"/>
        <v>0</v>
      </c>
      <c r="AQ23" s="1">
        <f t="shared" ca="1" si="11"/>
        <v>15</v>
      </c>
      <c r="AS23" s="1" t="s">
        <v>898</v>
      </c>
      <c r="AT23" s="1" t="s">
        <v>899</v>
      </c>
      <c r="AU23" s="1" t="s">
        <v>915</v>
      </c>
      <c r="AV23" s="1">
        <f t="shared" ref="AV23:AY26" ca="1" si="12">ROUND(AF23*AV$23,0)</f>
        <v>0</v>
      </c>
      <c r="AW23" s="1">
        <f t="shared" ca="1" si="12"/>
        <v>9</v>
      </c>
      <c r="AX23" s="1">
        <f t="shared" ca="1" si="12"/>
        <v>0</v>
      </c>
      <c r="AY23" s="1">
        <f t="shared" ca="1" si="12"/>
        <v>25</v>
      </c>
    </row>
    <row r="24" spans="2:51" ht="20.100000000000001" customHeight="1">
      <c r="AC24" s="1" t="s">
        <v>898</v>
      </c>
      <c r="AD24" s="1" t="s">
        <v>899</v>
      </c>
      <c r="AE24" s="46" t="s">
        <v>916</v>
      </c>
      <c r="AF24" s="1">
        <v>0</v>
      </c>
      <c r="AG24" s="1">
        <v>24</v>
      </c>
      <c r="AH24" s="1">
        <v>0</v>
      </c>
      <c r="AI24" s="1">
        <v>30</v>
      </c>
      <c r="AJ24" s="1"/>
      <c r="AK24" s="1" t="s">
        <v>898</v>
      </c>
      <c r="AL24" s="1" t="s">
        <v>899</v>
      </c>
      <c r="AM24" s="46" t="s">
        <v>917</v>
      </c>
      <c r="AN24" s="1">
        <f t="shared" ca="1" si="11"/>
        <v>0</v>
      </c>
      <c r="AO24" s="1">
        <f t="shared" ca="1" si="11"/>
        <v>32</v>
      </c>
      <c r="AP24" s="1">
        <f t="shared" ca="1" si="11"/>
        <v>0</v>
      </c>
      <c r="AQ24" s="1">
        <f t="shared" ca="1" si="11"/>
        <v>23</v>
      </c>
      <c r="AS24" s="1" t="s">
        <v>898</v>
      </c>
      <c r="AT24" s="1" t="s">
        <v>899</v>
      </c>
      <c r="AU24" s="46" t="s">
        <v>918</v>
      </c>
      <c r="AV24" s="1">
        <f t="shared" ca="1" si="12"/>
        <v>0</v>
      </c>
      <c r="AW24" s="1">
        <f t="shared" ca="1" si="12"/>
        <v>18</v>
      </c>
      <c r="AX24" s="1">
        <f t="shared" ca="1" si="12"/>
        <v>0</v>
      </c>
      <c r="AY24" s="1">
        <f t="shared" ca="1" si="12"/>
        <v>38</v>
      </c>
    </row>
    <row r="25" spans="2:51" ht="20.100000000000001" customHeight="1">
      <c r="AC25" s="55" t="s">
        <v>906</v>
      </c>
      <c r="AD25" s="55" t="s">
        <v>891</v>
      </c>
      <c r="AE25" s="57" t="s">
        <v>919</v>
      </c>
      <c r="AF25" s="55">
        <v>0</v>
      </c>
      <c r="AG25" s="55">
        <v>27</v>
      </c>
      <c r="AH25" s="55">
        <v>0</v>
      </c>
      <c r="AI25" s="55">
        <v>35</v>
      </c>
      <c r="AJ25" s="1"/>
      <c r="AK25" s="55" t="s">
        <v>906</v>
      </c>
      <c r="AL25" s="55" t="s">
        <v>891</v>
      </c>
      <c r="AM25" s="57" t="s">
        <v>920</v>
      </c>
      <c r="AN25" s="1">
        <f t="shared" ca="1" si="11"/>
        <v>0</v>
      </c>
      <c r="AO25" s="1">
        <f t="shared" ca="1" si="11"/>
        <v>36</v>
      </c>
      <c r="AP25" s="1">
        <f t="shared" ca="1" si="11"/>
        <v>0</v>
      </c>
      <c r="AQ25" s="1">
        <f t="shared" ca="1" si="11"/>
        <v>26</v>
      </c>
      <c r="AS25" s="55" t="s">
        <v>906</v>
      </c>
      <c r="AT25" s="55" t="s">
        <v>891</v>
      </c>
      <c r="AU25" s="57" t="s">
        <v>919</v>
      </c>
      <c r="AV25" s="1">
        <f t="shared" ca="1" si="12"/>
        <v>0</v>
      </c>
      <c r="AW25" s="1">
        <f t="shared" ca="1" si="12"/>
        <v>20</v>
      </c>
      <c r="AX25" s="1">
        <f t="shared" ca="1" si="12"/>
        <v>0</v>
      </c>
      <c r="AY25" s="1">
        <f t="shared" ca="1" si="12"/>
        <v>44</v>
      </c>
    </row>
    <row r="26" spans="2:51" ht="20.100000000000001" customHeight="1">
      <c r="AC26" s="56" t="s">
        <v>898</v>
      </c>
      <c r="AD26" s="56" t="s">
        <v>891</v>
      </c>
      <c r="AE26" s="56" t="s">
        <v>921</v>
      </c>
      <c r="AF26" s="56">
        <v>0</v>
      </c>
      <c r="AG26" s="56">
        <v>33</v>
      </c>
      <c r="AH26" s="56">
        <v>0</v>
      </c>
      <c r="AI26" s="56">
        <v>45</v>
      </c>
      <c r="AJ26" s="15"/>
      <c r="AK26" s="56" t="s">
        <v>898</v>
      </c>
      <c r="AL26" s="56" t="s">
        <v>891</v>
      </c>
      <c r="AM26" s="56" t="s">
        <v>922</v>
      </c>
      <c r="AN26" s="1">
        <f t="shared" ca="1" si="11"/>
        <v>0</v>
      </c>
      <c r="AO26" s="1">
        <f t="shared" ca="1" si="11"/>
        <v>45</v>
      </c>
      <c r="AP26" s="1">
        <f t="shared" ca="1" si="11"/>
        <v>0</v>
      </c>
      <c r="AQ26" s="1">
        <f t="shared" ca="1" si="11"/>
        <v>34</v>
      </c>
      <c r="AS26" s="56" t="s">
        <v>898</v>
      </c>
      <c r="AT26" s="56" t="s">
        <v>891</v>
      </c>
      <c r="AU26" s="56" t="s">
        <v>923</v>
      </c>
      <c r="AV26" s="1">
        <f t="shared" ca="1" si="12"/>
        <v>0</v>
      </c>
      <c r="AW26" s="1">
        <f t="shared" ca="1" si="12"/>
        <v>25</v>
      </c>
      <c r="AX26" s="1">
        <f t="shared" ca="1" si="12"/>
        <v>0</v>
      </c>
      <c r="AY26" s="1">
        <f t="shared" ca="1" si="12"/>
        <v>56</v>
      </c>
    </row>
    <row r="27" spans="2:51" ht="20.100000000000001" customHeight="1">
      <c r="AC27" s="1"/>
      <c r="AD27" s="1"/>
      <c r="AE27" s="46"/>
      <c r="AF27" s="46"/>
      <c r="AG27" s="46"/>
      <c r="AH27" s="46"/>
      <c r="AI27" s="46"/>
      <c r="AJ27" s="15"/>
      <c r="AK27" s="15"/>
      <c r="AN27" s="3"/>
      <c r="AV27" s="3"/>
    </row>
    <row r="28" spans="2:51" ht="20.100000000000001" customHeight="1">
      <c r="AC28" s="13"/>
      <c r="AD28" s="1"/>
      <c r="AE28" s="54" t="s">
        <v>795</v>
      </c>
      <c r="AF28" s="1"/>
      <c r="AG28" s="1"/>
      <c r="AH28" s="1"/>
      <c r="AI28" s="1"/>
      <c r="AJ28" s="1"/>
      <c r="AK28" s="1"/>
      <c r="AN28" s="3"/>
      <c r="AV28" s="3"/>
    </row>
    <row r="29" spans="2:51" ht="20.100000000000001" customHeight="1">
      <c r="AC29" s="1" t="s">
        <v>898</v>
      </c>
      <c r="AD29" s="1" t="s">
        <v>899</v>
      </c>
      <c r="AE29" s="1" t="s">
        <v>924</v>
      </c>
      <c r="AF29" s="1">
        <v>150</v>
      </c>
      <c r="AG29" s="1">
        <v>6</v>
      </c>
      <c r="AH29" s="1">
        <v>10</v>
      </c>
      <c r="AI29" s="1">
        <v>0</v>
      </c>
      <c r="AJ29" s="1"/>
      <c r="AK29" s="1" t="s">
        <v>898</v>
      </c>
      <c r="AL29" s="1" t="s">
        <v>899</v>
      </c>
      <c r="AM29" s="1" t="s">
        <v>925</v>
      </c>
      <c r="AN29" s="1">
        <f t="shared" ref="AN29:AN32" ca="1" si="13">ROUND(AF29*AN$23,-1)</f>
        <v>80</v>
      </c>
      <c r="AO29" s="1">
        <f t="shared" ref="AO29:AQ32" ca="1" si="14">ROUND(AG29*AO$23,0)</f>
        <v>8</v>
      </c>
      <c r="AP29" s="1">
        <f t="shared" ca="1" si="14"/>
        <v>8</v>
      </c>
      <c r="AQ29" s="1">
        <f t="shared" ca="1" si="14"/>
        <v>0</v>
      </c>
      <c r="AS29" s="1" t="s">
        <v>898</v>
      </c>
      <c r="AT29" s="1" t="s">
        <v>899</v>
      </c>
      <c r="AU29" s="1" t="s">
        <v>926</v>
      </c>
      <c r="AV29" s="1">
        <f t="shared" ref="AV29:AV32" ca="1" si="15">ROUND(AF29*AV$23,-1)</f>
        <v>230</v>
      </c>
      <c r="AW29" s="1">
        <f t="shared" ref="AW29:AY32" ca="1" si="16">ROUND(AG29*AW$23,0)</f>
        <v>5</v>
      </c>
      <c r="AX29" s="1">
        <f t="shared" ca="1" si="16"/>
        <v>13</v>
      </c>
      <c r="AY29" s="1">
        <f t="shared" ca="1" si="16"/>
        <v>0</v>
      </c>
    </row>
    <row r="30" spans="2:51" ht="20.100000000000001" customHeight="1">
      <c r="AC30" s="1" t="s">
        <v>898</v>
      </c>
      <c r="AD30" s="1" t="s">
        <v>899</v>
      </c>
      <c r="AE30" s="58" t="s">
        <v>927</v>
      </c>
      <c r="AF30" s="1">
        <v>375</v>
      </c>
      <c r="AG30" s="1">
        <v>10</v>
      </c>
      <c r="AH30" s="1">
        <v>15</v>
      </c>
      <c r="AI30" s="1">
        <v>0</v>
      </c>
      <c r="AJ30" s="1"/>
      <c r="AK30" s="1" t="s">
        <v>898</v>
      </c>
      <c r="AL30" s="1" t="s">
        <v>899</v>
      </c>
      <c r="AM30" s="58" t="s">
        <v>928</v>
      </c>
      <c r="AN30" s="1">
        <f t="shared" ca="1" si="13"/>
        <v>190</v>
      </c>
      <c r="AO30" s="1">
        <f t="shared" ca="1" si="14"/>
        <v>14</v>
      </c>
      <c r="AP30" s="1">
        <f t="shared" ca="1" si="14"/>
        <v>11</v>
      </c>
      <c r="AQ30" s="1">
        <f t="shared" ca="1" si="14"/>
        <v>0</v>
      </c>
      <c r="AS30" s="1" t="s">
        <v>898</v>
      </c>
      <c r="AT30" s="1" t="s">
        <v>899</v>
      </c>
      <c r="AU30" s="58" t="s">
        <v>929</v>
      </c>
      <c r="AV30" s="1">
        <f t="shared" ca="1" si="15"/>
        <v>560</v>
      </c>
      <c r="AW30" s="1">
        <f t="shared" ca="1" si="16"/>
        <v>8</v>
      </c>
      <c r="AX30" s="1">
        <f t="shared" ca="1" si="16"/>
        <v>19</v>
      </c>
      <c r="AY30" s="1">
        <f t="shared" ca="1" si="16"/>
        <v>0</v>
      </c>
    </row>
    <row r="31" spans="2:51" ht="20.100000000000001" customHeight="1">
      <c r="AC31" s="55" t="s">
        <v>906</v>
      </c>
      <c r="AD31" s="55" t="s">
        <v>891</v>
      </c>
      <c r="AE31" s="57" t="s">
        <v>930</v>
      </c>
      <c r="AF31" s="55">
        <v>425</v>
      </c>
      <c r="AG31" s="55">
        <v>12</v>
      </c>
      <c r="AH31" s="55">
        <v>15</v>
      </c>
      <c r="AI31" s="55">
        <v>0</v>
      </c>
      <c r="AJ31" s="1"/>
      <c r="AK31" s="55" t="s">
        <v>906</v>
      </c>
      <c r="AL31" s="55" t="s">
        <v>891</v>
      </c>
      <c r="AM31" s="57" t="s">
        <v>931</v>
      </c>
      <c r="AN31" s="1">
        <f t="shared" ca="1" si="13"/>
        <v>210</v>
      </c>
      <c r="AO31" s="1">
        <f t="shared" ca="1" si="14"/>
        <v>16</v>
      </c>
      <c r="AP31" s="1">
        <f t="shared" ca="1" si="14"/>
        <v>11</v>
      </c>
      <c r="AQ31" s="1">
        <f t="shared" ca="1" si="14"/>
        <v>0</v>
      </c>
      <c r="AS31" s="55" t="s">
        <v>906</v>
      </c>
      <c r="AT31" s="55" t="s">
        <v>891</v>
      </c>
      <c r="AU31" s="57" t="s">
        <v>930</v>
      </c>
      <c r="AV31" s="1">
        <f t="shared" ca="1" si="15"/>
        <v>640</v>
      </c>
      <c r="AW31" s="1">
        <f t="shared" ca="1" si="16"/>
        <v>9</v>
      </c>
      <c r="AX31" s="1">
        <f t="shared" ca="1" si="16"/>
        <v>19</v>
      </c>
      <c r="AY31" s="1">
        <f t="shared" ca="1" si="16"/>
        <v>0</v>
      </c>
    </row>
    <row r="32" spans="2:51" ht="20.100000000000001" customHeight="1">
      <c r="AC32" s="56" t="s">
        <v>898</v>
      </c>
      <c r="AD32" s="56" t="s">
        <v>891</v>
      </c>
      <c r="AE32" s="56" t="s">
        <v>932</v>
      </c>
      <c r="AF32" s="56">
        <v>525</v>
      </c>
      <c r="AG32" s="56">
        <v>18</v>
      </c>
      <c r="AH32" s="56">
        <v>30</v>
      </c>
      <c r="AI32" s="56">
        <v>0</v>
      </c>
      <c r="AJ32" s="1"/>
      <c r="AK32" s="56" t="s">
        <v>898</v>
      </c>
      <c r="AL32" s="56" t="s">
        <v>891</v>
      </c>
      <c r="AM32" s="56" t="s">
        <v>933</v>
      </c>
      <c r="AN32" s="1">
        <f t="shared" ca="1" si="13"/>
        <v>260</v>
      </c>
      <c r="AO32" s="1">
        <f t="shared" ca="1" si="14"/>
        <v>24</v>
      </c>
      <c r="AP32" s="1">
        <f t="shared" ca="1" si="14"/>
        <v>23</v>
      </c>
      <c r="AQ32" s="1">
        <f t="shared" ca="1" si="14"/>
        <v>0</v>
      </c>
      <c r="AS32" s="56" t="s">
        <v>898</v>
      </c>
      <c r="AT32" s="56" t="s">
        <v>891</v>
      </c>
      <c r="AU32" s="56" t="s">
        <v>934</v>
      </c>
      <c r="AV32" s="1">
        <f t="shared" ca="1" si="15"/>
        <v>790</v>
      </c>
      <c r="AW32" s="1">
        <f t="shared" ca="1" si="16"/>
        <v>14</v>
      </c>
      <c r="AX32" s="1">
        <f t="shared" ca="1" si="16"/>
        <v>38</v>
      </c>
      <c r="AY32" s="1">
        <f t="shared" ca="1" si="16"/>
        <v>0</v>
      </c>
    </row>
    <row r="33" spans="29:51" ht="20.100000000000001" customHeight="1">
      <c r="AC33" s="1"/>
      <c r="AD33" s="1"/>
      <c r="AE33" s="46"/>
      <c r="AF33" s="46"/>
      <c r="AG33" s="46"/>
      <c r="AH33" s="46"/>
      <c r="AI33" s="46"/>
      <c r="AJ33" s="1"/>
      <c r="AK33" s="1"/>
      <c r="AN33" s="3"/>
      <c r="AV33" s="3"/>
    </row>
    <row r="34" spans="29:51" ht="20.100000000000001" customHeight="1">
      <c r="AC34" s="15"/>
      <c r="AD34" s="1"/>
      <c r="AE34" s="54" t="s">
        <v>886</v>
      </c>
      <c r="AF34" s="1"/>
      <c r="AG34" s="1"/>
      <c r="AH34" s="1"/>
      <c r="AI34" s="1"/>
      <c r="AJ34" s="1"/>
      <c r="AK34" s="1"/>
      <c r="AN34" s="3"/>
      <c r="AV34" s="3"/>
    </row>
    <row r="35" spans="29:51" ht="20.100000000000001" customHeight="1">
      <c r="AC35" s="1" t="s">
        <v>898</v>
      </c>
      <c r="AD35" s="1" t="s">
        <v>899</v>
      </c>
      <c r="AE35" s="1" t="s">
        <v>935</v>
      </c>
      <c r="AF35" s="1">
        <v>0</v>
      </c>
      <c r="AG35" s="1">
        <v>12</v>
      </c>
      <c r="AH35" s="1">
        <v>0</v>
      </c>
      <c r="AI35" s="1">
        <v>12</v>
      </c>
      <c r="AJ35" s="1"/>
      <c r="AK35" s="1" t="s">
        <v>898</v>
      </c>
      <c r="AL35" s="1" t="s">
        <v>899</v>
      </c>
      <c r="AM35" s="1" t="s">
        <v>886</v>
      </c>
      <c r="AN35" s="1">
        <f t="shared" ref="AN35:AN38" ca="1" si="17">ROUND(AF35*AN$23,-1)</f>
        <v>0</v>
      </c>
      <c r="AO35" s="1">
        <f t="shared" ref="AO35:AQ38" ca="1" si="18">ROUND(AG35*AO$23,0)</f>
        <v>16</v>
      </c>
      <c r="AP35" s="1">
        <f t="shared" ca="1" si="18"/>
        <v>0</v>
      </c>
      <c r="AQ35" s="1">
        <f t="shared" ca="1" si="18"/>
        <v>9</v>
      </c>
      <c r="AS35" s="1" t="s">
        <v>898</v>
      </c>
      <c r="AT35" s="1" t="s">
        <v>899</v>
      </c>
      <c r="AU35" s="1" t="s">
        <v>936</v>
      </c>
      <c r="AV35" s="1">
        <f t="shared" ref="AV35:AV38" ca="1" si="19">ROUND(AF35*AV$23,-1)</f>
        <v>0</v>
      </c>
      <c r="AW35" s="1">
        <f t="shared" ref="AW35:AY38" ca="1" si="20">ROUND(AG35*AW$23,0)</f>
        <v>9</v>
      </c>
      <c r="AX35" s="1">
        <f t="shared" ca="1" si="20"/>
        <v>0</v>
      </c>
      <c r="AY35" s="1">
        <f t="shared" ca="1" si="20"/>
        <v>15</v>
      </c>
    </row>
    <row r="36" spans="29:51" ht="20.100000000000001" customHeight="1">
      <c r="AC36" s="1" t="s">
        <v>898</v>
      </c>
      <c r="AD36" s="1" t="s">
        <v>899</v>
      </c>
      <c r="AE36" s="59" t="s">
        <v>937</v>
      </c>
      <c r="AF36" s="46">
        <v>0</v>
      </c>
      <c r="AG36" s="46">
        <v>20</v>
      </c>
      <c r="AH36" s="46">
        <v>0</v>
      </c>
      <c r="AI36" s="46">
        <v>20</v>
      </c>
      <c r="AJ36" s="1"/>
      <c r="AK36" s="1" t="s">
        <v>898</v>
      </c>
      <c r="AL36" s="1" t="s">
        <v>899</v>
      </c>
      <c r="AM36" s="59" t="s">
        <v>938</v>
      </c>
      <c r="AN36" s="1">
        <f t="shared" ca="1" si="17"/>
        <v>0</v>
      </c>
      <c r="AO36" s="1">
        <f t="shared" ca="1" si="18"/>
        <v>27</v>
      </c>
      <c r="AP36" s="1">
        <f t="shared" ca="1" si="18"/>
        <v>0</v>
      </c>
      <c r="AQ36" s="1">
        <f t="shared" ca="1" si="18"/>
        <v>15</v>
      </c>
      <c r="AS36" s="1" t="s">
        <v>898</v>
      </c>
      <c r="AT36" s="1" t="s">
        <v>899</v>
      </c>
      <c r="AU36" s="59" t="s">
        <v>939</v>
      </c>
      <c r="AV36" s="1">
        <f t="shared" ca="1" si="19"/>
        <v>0</v>
      </c>
      <c r="AW36" s="1">
        <f t="shared" ca="1" si="20"/>
        <v>15</v>
      </c>
      <c r="AX36" s="1">
        <f t="shared" ca="1" si="20"/>
        <v>0</v>
      </c>
      <c r="AY36" s="1">
        <f t="shared" ca="1" si="20"/>
        <v>25</v>
      </c>
    </row>
    <row r="37" spans="29:51" ht="20.100000000000001" customHeight="1">
      <c r="AC37" s="55" t="s">
        <v>906</v>
      </c>
      <c r="AD37" s="55" t="s">
        <v>891</v>
      </c>
      <c r="AE37" s="55" t="s">
        <v>940</v>
      </c>
      <c r="AF37" s="55">
        <v>0</v>
      </c>
      <c r="AG37" s="55">
        <v>22</v>
      </c>
      <c r="AH37" s="55">
        <v>0</v>
      </c>
      <c r="AI37" s="55">
        <v>23</v>
      </c>
      <c r="AJ37" s="1"/>
      <c r="AK37" s="55" t="s">
        <v>906</v>
      </c>
      <c r="AL37" s="55" t="s">
        <v>891</v>
      </c>
      <c r="AM37" s="55" t="s">
        <v>941</v>
      </c>
      <c r="AN37" s="1">
        <f t="shared" ca="1" si="17"/>
        <v>0</v>
      </c>
      <c r="AO37" s="1">
        <f t="shared" ca="1" si="18"/>
        <v>30</v>
      </c>
      <c r="AP37" s="1">
        <f t="shared" ca="1" si="18"/>
        <v>0</v>
      </c>
      <c r="AQ37" s="1">
        <f t="shared" ca="1" si="18"/>
        <v>17</v>
      </c>
      <c r="AS37" s="55" t="s">
        <v>906</v>
      </c>
      <c r="AT37" s="55" t="s">
        <v>891</v>
      </c>
      <c r="AU37" s="55" t="s">
        <v>940</v>
      </c>
      <c r="AV37" s="1">
        <f t="shared" ca="1" si="19"/>
        <v>0</v>
      </c>
      <c r="AW37" s="1">
        <f t="shared" ca="1" si="20"/>
        <v>17</v>
      </c>
      <c r="AX37" s="1">
        <f t="shared" ca="1" si="20"/>
        <v>0</v>
      </c>
      <c r="AY37" s="1">
        <f t="shared" ca="1" si="20"/>
        <v>29</v>
      </c>
    </row>
    <row r="38" spans="29:51" ht="20.100000000000001" customHeight="1">
      <c r="AC38" s="56" t="s">
        <v>898</v>
      </c>
      <c r="AD38" s="56" t="s">
        <v>891</v>
      </c>
      <c r="AE38" s="56" t="s">
        <v>942</v>
      </c>
      <c r="AF38" s="56">
        <v>0</v>
      </c>
      <c r="AG38" s="56">
        <v>28</v>
      </c>
      <c r="AH38" s="56">
        <v>0</v>
      </c>
      <c r="AI38" s="56">
        <v>30</v>
      </c>
      <c r="AJ38" s="1"/>
      <c r="AK38" s="56" t="s">
        <v>898</v>
      </c>
      <c r="AL38" s="56" t="s">
        <v>891</v>
      </c>
      <c r="AM38" s="56" t="s">
        <v>943</v>
      </c>
      <c r="AN38" s="1">
        <f t="shared" ca="1" si="17"/>
        <v>0</v>
      </c>
      <c r="AO38" s="1">
        <f t="shared" ca="1" si="18"/>
        <v>38</v>
      </c>
      <c r="AP38" s="1">
        <f t="shared" ca="1" si="18"/>
        <v>0</v>
      </c>
      <c r="AQ38" s="1">
        <f t="shared" ca="1" si="18"/>
        <v>23</v>
      </c>
      <c r="AS38" s="56" t="s">
        <v>898</v>
      </c>
      <c r="AT38" s="56" t="s">
        <v>891</v>
      </c>
      <c r="AU38" s="56" t="s">
        <v>944</v>
      </c>
      <c r="AV38" s="1">
        <f t="shared" ca="1" si="19"/>
        <v>0</v>
      </c>
      <c r="AW38" s="1">
        <f t="shared" ca="1" si="20"/>
        <v>21</v>
      </c>
      <c r="AX38" s="1">
        <f t="shared" ca="1" si="20"/>
        <v>0</v>
      </c>
      <c r="AY38" s="1">
        <f t="shared" ca="1" si="20"/>
        <v>38</v>
      </c>
    </row>
    <row r="39" spans="29:51" ht="20.100000000000001" customHeight="1">
      <c r="AC39" s="1"/>
      <c r="AD39" s="1"/>
      <c r="AE39" s="46"/>
      <c r="AF39" s="46"/>
      <c r="AG39" s="46"/>
      <c r="AH39" s="46"/>
      <c r="AI39" s="46"/>
      <c r="AJ39" s="1"/>
      <c r="AK39" s="1"/>
      <c r="AN39" s="1"/>
      <c r="AO39" s="1"/>
      <c r="AP39" s="1"/>
      <c r="AQ39" s="1"/>
      <c r="AV39" s="1"/>
      <c r="AW39" s="1"/>
      <c r="AX39" s="1"/>
      <c r="AY39" s="1"/>
    </row>
    <row r="40" spans="29:51" ht="20.100000000000001" customHeight="1">
      <c r="AC40" s="15"/>
      <c r="AD40" s="1"/>
      <c r="AE40" s="54" t="s">
        <v>887</v>
      </c>
      <c r="AF40" s="1" t="s">
        <v>912</v>
      </c>
      <c r="AG40" s="1" t="s">
        <v>912</v>
      </c>
      <c r="AH40" s="1" t="s">
        <v>912</v>
      </c>
      <c r="AI40" s="1" t="s">
        <v>912</v>
      </c>
      <c r="AJ40" s="1"/>
      <c r="AK40" s="1"/>
      <c r="AN40" s="3"/>
      <c r="AV40" s="3"/>
    </row>
    <row r="41" spans="29:51" ht="20.100000000000001" customHeight="1">
      <c r="AC41" s="1" t="s">
        <v>898</v>
      </c>
      <c r="AD41" s="1" t="s">
        <v>899</v>
      </c>
      <c r="AE41" s="1" t="s">
        <v>945</v>
      </c>
      <c r="AF41" s="1">
        <v>550</v>
      </c>
      <c r="AG41" s="1">
        <v>15</v>
      </c>
      <c r="AH41" s="1">
        <v>5</v>
      </c>
      <c r="AI41" s="1">
        <v>5</v>
      </c>
      <c r="AJ41" s="13"/>
      <c r="AK41" s="1" t="s">
        <v>898</v>
      </c>
      <c r="AL41" s="1" t="s">
        <v>899</v>
      </c>
      <c r="AM41" s="1" t="s">
        <v>946</v>
      </c>
      <c r="AN41" s="1">
        <f t="shared" ref="AN41:AN44" ca="1" si="21">ROUND(AF41*AN$23,-1)</f>
        <v>280</v>
      </c>
      <c r="AO41" s="1">
        <f t="shared" ref="AO41:AQ44" ca="1" si="22">ROUND(AG41*AO$23,0)</f>
        <v>20</v>
      </c>
      <c r="AP41" s="1">
        <f t="shared" ca="1" si="22"/>
        <v>4</v>
      </c>
      <c r="AQ41" s="1">
        <f t="shared" ca="1" si="22"/>
        <v>4</v>
      </c>
      <c r="AS41" s="1" t="s">
        <v>898</v>
      </c>
      <c r="AT41" s="1" t="s">
        <v>899</v>
      </c>
      <c r="AU41" s="1" t="s">
        <v>947</v>
      </c>
      <c r="AV41" s="1">
        <f t="shared" ref="AV41:AV44" ca="1" si="23">ROUND(AF41*AV$23,-1)</f>
        <v>830</v>
      </c>
      <c r="AW41" s="1">
        <f t="shared" ref="AW41:AY44" ca="1" si="24">ROUND(AG41*AW$23,0)</f>
        <v>11</v>
      </c>
      <c r="AX41" s="1">
        <f t="shared" ca="1" si="24"/>
        <v>6</v>
      </c>
      <c r="AY41" s="1">
        <f t="shared" ca="1" si="24"/>
        <v>6</v>
      </c>
    </row>
    <row r="42" spans="29:51" ht="20.100000000000001" customHeight="1">
      <c r="AC42" s="1" t="s">
        <v>898</v>
      </c>
      <c r="AD42" s="1" t="s">
        <v>899</v>
      </c>
      <c r="AE42" s="46" t="s">
        <v>948</v>
      </c>
      <c r="AF42" s="46">
        <v>920</v>
      </c>
      <c r="AG42" s="46">
        <v>28</v>
      </c>
      <c r="AH42" s="46">
        <v>8</v>
      </c>
      <c r="AI42" s="46">
        <v>8</v>
      </c>
      <c r="AJ42" s="13"/>
      <c r="AK42" s="1" t="s">
        <v>898</v>
      </c>
      <c r="AL42" s="1" t="s">
        <v>899</v>
      </c>
      <c r="AM42" s="46" t="s">
        <v>949</v>
      </c>
      <c r="AN42" s="1">
        <f t="shared" ca="1" si="21"/>
        <v>460</v>
      </c>
      <c r="AO42" s="1">
        <f t="shared" ca="1" si="22"/>
        <v>38</v>
      </c>
      <c r="AP42" s="1">
        <f t="shared" ca="1" si="22"/>
        <v>6</v>
      </c>
      <c r="AQ42" s="1">
        <f t="shared" ca="1" si="22"/>
        <v>6</v>
      </c>
      <c r="AS42" s="1" t="s">
        <v>898</v>
      </c>
      <c r="AT42" s="1" t="s">
        <v>899</v>
      </c>
      <c r="AU42" s="46" t="s">
        <v>950</v>
      </c>
      <c r="AV42" s="1">
        <f t="shared" ca="1" si="23"/>
        <v>1380</v>
      </c>
      <c r="AW42" s="1">
        <f t="shared" ca="1" si="24"/>
        <v>21</v>
      </c>
      <c r="AX42" s="1">
        <f t="shared" ca="1" si="24"/>
        <v>10</v>
      </c>
      <c r="AY42" s="1">
        <f t="shared" ca="1" si="24"/>
        <v>10</v>
      </c>
    </row>
    <row r="43" spans="29:51" ht="20.100000000000001" customHeight="1">
      <c r="AC43" s="55" t="s">
        <v>906</v>
      </c>
      <c r="AD43" s="55" t="s">
        <v>891</v>
      </c>
      <c r="AE43" s="55" t="s">
        <v>951</v>
      </c>
      <c r="AF43" s="55">
        <v>1050</v>
      </c>
      <c r="AG43" s="55">
        <v>32</v>
      </c>
      <c r="AH43" s="55">
        <v>10</v>
      </c>
      <c r="AI43" s="55">
        <v>10</v>
      </c>
      <c r="AJ43" s="1"/>
      <c r="AK43" s="55" t="s">
        <v>906</v>
      </c>
      <c r="AL43" s="55" t="s">
        <v>891</v>
      </c>
      <c r="AM43" s="55" t="s">
        <v>952</v>
      </c>
      <c r="AN43" s="1">
        <f t="shared" ca="1" si="21"/>
        <v>530</v>
      </c>
      <c r="AO43" s="1">
        <f t="shared" ca="1" si="22"/>
        <v>43</v>
      </c>
      <c r="AP43" s="1">
        <f t="shared" ca="1" si="22"/>
        <v>8</v>
      </c>
      <c r="AQ43" s="1">
        <f t="shared" ca="1" si="22"/>
        <v>8</v>
      </c>
      <c r="AS43" s="55" t="s">
        <v>906</v>
      </c>
      <c r="AT43" s="55" t="s">
        <v>891</v>
      </c>
      <c r="AU43" s="55" t="s">
        <v>951</v>
      </c>
      <c r="AV43" s="1">
        <f t="shared" ca="1" si="23"/>
        <v>1580</v>
      </c>
      <c r="AW43" s="1">
        <f t="shared" ca="1" si="24"/>
        <v>24</v>
      </c>
      <c r="AX43" s="1">
        <f t="shared" ca="1" si="24"/>
        <v>13</v>
      </c>
      <c r="AY43" s="1">
        <f t="shared" ca="1" si="24"/>
        <v>13</v>
      </c>
    </row>
    <row r="44" spans="29:51" ht="20.100000000000001" customHeight="1">
      <c r="AC44" s="56" t="s">
        <v>898</v>
      </c>
      <c r="AD44" s="56" t="s">
        <v>891</v>
      </c>
      <c r="AE44" s="56" t="s">
        <v>953</v>
      </c>
      <c r="AF44" s="56">
        <v>1315</v>
      </c>
      <c r="AG44" s="56">
        <v>38</v>
      </c>
      <c r="AH44" s="56">
        <v>15</v>
      </c>
      <c r="AI44" s="56">
        <v>15</v>
      </c>
      <c r="AJ44" s="1"/>
      <c r="AK44" s="56" t="s">
        <v>898</v>
      </c>
      <c r="AL44" s="56" t="s">
        <v>891</v>
      </c>
      <c r="AM44" s="56" t="s">
        <v>954</v>
      </c>
      <c r="AN44" s="1">
        <f t="shared" ca="1" si="21"/>
        <v>660</v>
      </c>
      <c r="AO44" s="1">
        <f t="shared" ca="1" si="22"/>
        <v>51</v>
      </c>
      <c r="AP44" s="1">
        <f t="shared" ca="1" si="22"/>
        <v>11</v>
      </c>
      <c r="AQ44" s="1">
        <f t="shared" ca="1" si="22"/>
        <v>11</v>
      </c>
      <c r="AS44" s="56" t="s">
        <v>898</v>
      </c>
      <c r="AT44" s="56" t="s">
        <v>891</v>
      </c>
      <c r="AU44" s="56" t="s">
        <v>955</v>
      </c>
      <c r="AV44" s="1">
        <f t="shared" ca="1" si="23"/>
        <v>1970</v>
      </c>
      <c r="AW44" s="1">
        <f t="shared" ca="1" si="24"/>
        <v>29</v>
      </c>
      <c r="AX44" s="1">
        <f t="shared" ca="1" si="24"/>
        <v>19</v>
      </c>
      <c r="AY44" s="1">
        <f t="shared" ca="1" si="24"/>
        <v>19</v>
      </c>
    </row>
    <row r="45" spans="29:51" ht="20.100000000000001" customHeight="1">
      <c r="AC45" s="1"/>
      <c r="AD45" s="1"/>
      <c r="AE45" s="46"/>
      <c r="AF45" s="46"/>
      <c r="AG45" s="46"/>
      <c r="AH45" s="46"/>
      <c r="AI45" s="46"/>
      <c r="AJ45" s="1"/>
      <c r="AK45" s="1"/>
      <c r="AN45" s="3"/>
      <c r="AV45" s="3"/>
    </row>
    <row r="46" spans="29:51" ht="20.100000000000001" customHeight="1">
      <c r="AC46" s="15"/>
      <c r="AD46" s="1"/>
      <c r="AE46" s="54" t="s">
        <v>774</v>
      </c>
      <c r="AF46" s="1" t="s">
        <v>912</v>
      </c>
      <c r="AG46" s="1" t="s">
        <v>912</v>
      </c>
      <c r="AH46" s="1" t="s">
        <v>912</v>
      </c>
      <c r="AI46" s="1" t="s">
        <v>912</v>
      </c>
      <c r="AJ46" s="1"/>
      <c r="AK46" s="1"/>
      <c r="AN46" s="3"/>
      <c r="AV46" s="3"/>
    </row>
    <row r="47" spans="29:51" ht="20.100000000000001" customHeight="1">
      <c r="AC47" s="1" t="s">
        <v>898</v>
      </c>
      <c r="AD47" s="1" t="s">
        <v>899</v>
      </c>
      <c r="AE47" s="1" t="s">
        <v>956</v>
      </c>
      <c r="AF47" s="1">
        <v>0</v>
      </c>
      <c r="AG47" s="1">
        <v>25</v>
      </c>
      <c r="AH47" s="1">
        <v>8</v>
      </c>
      <c r="AI47" s="1">
        <v>0</v>
      </c>
      <c r="AJ47" s="13"/>
      <c r="AK47" s="13"/>
      <c r="AN47" s="3"/>
      <c r="AV47" s="3"/>
    </row>
    <row r="48" spans="29:51" ht="20.100000000000001" customHeight="1">
      <c r="AC48" s="1" t="s">
        <v>898</v>
      </c>
      <c r="AD48" s="1" t="s">
        <v>899</v>
      </c>
      <c r="AE48" s="1" t="s">
        <v>957</v>
      </c>
      <c r="AF48" s="1">
        <v>0</v>
      </c>
      <c r="AG48" s="1">
        <v>50</v>
      </c>
      <c r="AH48" s="1">
        <v>12</v>
      </c>
      <c r="AI48" s="1">
        <v>0</v>
      </c>
      <c r="AJ48" s="1"/>
      <c r="AK48" s="1"/>
      <c r="AN48" s="3"/>
      <c r="AV48" s="3"/>
    </row>
    <row r="49" spans="29:48" ht="20.100000000000001" customHeight="1">
      <c r="AC49" s="1" t="s">
        <v>906</v>
      </c>
      <c r="AD49" s="1" t="s">
        <v>899</v>
      </c>
      <c r="AE49" s="58" t="s">
        <v>958</v>
      </c>
      <c r="AF49" s="1">
        <v>0</v>
      </c>
      <c r="AG49" s="1">
        <v>60</v>
      </c>
      <c r="AH49" s="1">
        <v>15</v>
      </c>
      <c r="AI49" s="1">
        <v>0</v>
      </c>
      <c r="AJ49" s="1"/>
      <c r="AK49" s="1"/>
      <c r="AN49" s="3"/>
      <c r="AV49" s="3"/>
    </row>
    <row r="50" spans="29:48" ht="20.100000000000001" customHeight="1">
      <c r="AC50" s="56" t="s">
        <v>898</v>
      </c>
      <c r="AD50" s="56" t="s">
        <v>891</v>
      </c>
      <c r="AE50" s="56" t="s">
        <v>959</v>
      </c>
      <c r="AF50" s="56">
        <v>0</v>
      </c>
      <c r="AG50" s="56">
        <v>75</v>
      </c>
      <c r="AH50" s="56">
        <v>23</v>
      </c>
      <c r="AI50" s="56">
        <v>0</v>
      </c>
      <c r="AJ50" s="1"/>
      <c r="AK50" s="1"/>
      <c r="AN50" s="3"/>
      <c r="AV50" s="3"/>
    </row>
    <row r="51" spans="29:48" ht="20.100000000000001" customHeight="1">
      <c r="AC51" s="60"/>
      <c r="AD51" s="60"/>
      <c r="AE51" s="60"/>
      <c r="AF51" s="60"/>
      <c r="AG51" s="60"/>
      <c r="AH51" s="60"/>
      <c r="AI51" s="60"/>
      <c r="AJ51" s="1"/>
      <c r="AK51" s="1"/>
      <c r="AN51" s="3"/>
      <c r="AV51" s="3"/>
    </row>
    <row r="52" spans="29:48" ht="20.100000000000001" customHeight="1">
      <c r="AC52" s="3"/>
      <c r="AD52" s="1"/>
      <c r="AE52" s="54" t="s">
        <v>809</v>
      </c>
      <c r="AF52" s="1"/>
      <c r="AG52" s="1"/>
      <c r="AH52" s="1"/>
      <c r="AI52" s="1"/>
      <c r="AJ52" s="13"/>
      <c r="AK52" s="13"/>
      <c r="AN52" s="3"/>
      <c r="AV52" s="3"/>
    </row>
    <row r="53" spans="29:48" ht="20.100000000000001" customHeight="1">
      <c r="AC53" s="1" t="s">
        <v>906</v>
      </c>
      <c r="AD53" s="1" t="s">
        <v>899</v>
      </c>
      <c r="AE53" s="58" t="s">
        <v>960</v>
      </c>
      <c r="AF53" s="1">
        <v>0</v>
      </c>
      <c r="AG53" s="1">
        <v>25</v>
      </c>
      <c r="AH53" s="1">
        <v>0</v>
      </c>
      <c r="AI53" s="1">
        <v>8</v>
      </c>
      <c r="AJ53" s="13"/>
      <c r="AK53" s="13"/>
      <c r="AN53" s="3"/>
      <c r="AV53" s="3"/>
    </row>
    <row r="54" spans="29:48" ht="20.100000000000001" customHeight="1">
      <c r="AC54" s="1" t="s">
        <v>898</v>
      </c>
      <c r="AD54" s="1" t="s">
        <v>899</v>
      </c>
      <c r="AE54" s="1" t="s">
        <v>961</v>
      </c>
      <c r="AF54" s="1">
        <v>0</v>
      </c>
      <c r="AG54" s="1">
        <v>50</v>
      </c>
      <c r="AH54" s="1">
        <v>0</v>
      </c>
      <c r="AI54" s="1">
        <v>12</v>
      </c>
      <c r="AJ54" s="13"/>
      <c r="AK54" s="13"/>
      <c r="AN54" s="3"/>
      <c r="AV54" s="3"/>
    </row>
    <row r="55" spans="29:48" ht="20.100000000000001" customHeight="1">
      <c r="AC55" s="1" t="s">
        <v>906</v>
      </c>
      <c r="AD55" s="1" t="s">
        <v>899</v>
      </c>
      <c r="AE55" s="58" t="s">
        <v>962</v>
      </c>
      <c r="AF55" s="1">
        <v>0</v>
      </c>
      <c r="AG55" s="1">
        <v>60</v>
      </c>
      <c r="AH55" s="1">
        <v>0</v>
      </c>
      <c r="AI55" s="1">
        <v>15</v>
      </c>
      <c r="AJ55" s="1"/>
      <c r="AK55" s="1"/>
      <c r="AN55" s="3"/>
      <c r="AV55" s="3"/>
    </row>
    <row r="56" spans="29:48" ht="20.100000000000001" customHeight="1">
      <c r="AC56" s="56" t="s">
        <v>898</v>
      </c>
      <c r="AD56" s="56" t="s">
        <v>891</v>
      </c>
      <c r="AE56" s="56" t="s">
        <v>963</v>
      </c>
      <c r="AF56" s="56">
        <v>0</v>
      </c>
      <c r="AG56" s="56">
        <v>75</v>
      </c>
      <c r="AH56" s="56">
        <v>0</v>
      </c>
      <c r="AI56" s="56">
        <v>23</v>
      </c>
      <c r="AJ56" s="15"/>
      <c r="AK56" s="15"/>
      <c r="AN56" s="3"/>
      <c r="AV56" s="3"/>
    </row>
    <row r="57" spans="29:48" ht="20.100000000000001" customHeight="1">
      <c r="AC57" s="1"/>
      <c r="AD57" s="1"/>
      <c r="AE57" s="1"/>
      <c r="AF57" s="1"/>
      <c r="AG57" s="1"/>
      <c r="AH57" s="1"/>
      <c r="AI57" s="1"/>
      <c r="AJ57" s="15"/>
      <c r="AK57" s="15"/>
      <c r="AN57" s="3"/>
      <c r="AV57" s="3"/>
    </row>
    <row r="58" spans="29:48" ht="20.100000000000001" customHeight="1">
      <c r="AC58" s="15"/>
      <c r="AD58" s="1"/>
      <c r="AE58" s="54" t="s">
        <v>782</v>
      </c>
      <c r="AF58" s="1" t="s">
        <v>912</v>
      </c>
      <c r="AG58" s="1" t="s">
        <v>912</v>
      </c>
      <c r="AH58" s="1" t="s">
        <v>912</v>
      </c>
      <c r="AI58" s="1" t="s">
        <v>912</v>
      </c>
      <c r="AJ58" s="13"/>
      <c r="AK58" s="13"/>
      <c r="AN58" s="3"/>
      <c r="AV58" s="3"/>
    </row>
    <row r="59" spans="29:48" ht="20.100000000000001" customHeight="1">
      <c r="AC59" s="1" t="s">
        <v>898</v>
      </c>
      <c r="AD59" s="1" t="s">
        <v>899</v>
      </c>
      <c r="AE59" s="61" t="s">
        <v>430</v>
      </c>
      <c r="AF59" s="1">
        <v>0</v>
      </c>
      <c r="AG59" s="1">
        <v>10</v>
      </c>
      <c r="AH59" s="1">
        <v>0</v>
      </c>
      <c r="AI59" s="1">
        <v>0</v>
      </c>
      <c r="AJ59" s="13"/>
      <c r="AK59" s="13"/>
      <c r="AN59" s="3"/>
      <c r="AV59" s="3"/>
    </row>
    <row r="60" spans="29:48" ht="20.100000000000001" customHeight="1">
      <c r="AC60" s="1" t="s">
        <v>906</v>
      </c>
      <c r="AD60" s="1" t="s">
        <v>899</v>
      </c>
      <c r="AE60" s="61" t="s">
        <v>439</v>
      </c>
      <c r="AF60" s="1">
        <v>0</v>
      </c>
      <c r="AG60" s="1">
        <v>15</v>
      </c>
      <c r="AH60" s="1">
        <v>0</v>
      </c>
      <c r="AI60" s="1">
        <v>0</v>
      </c>
      <c r="AJ60" s="1"/>
      <c r="AK60" s="1"/>
      <c r="AN60" s="3"/>
      <c r="AV60" s="3"/>
    </row>
    <row r="61" spans="29:48" ht="20.100000000000001" customHeight="1">
      <c r="AC61" s="56" t="s">
        <v>898</v>
      </c>
      <c r="AD61" s="56" t="s">
        <v>891</v>
      </c>
      <c r="AE61" s="56" t="s">
        <v>448</v>
      </c>
      <c r="AF61" s="56">
        <v>0</v>
      </c>
      <c r="AG61" s="56">
        <v>20</v>
      </c>
      <c r="AH61" s="56">
        <v>0</v>
      </c>
      <c r="AI61" s="56">
        <v>0</v>
      </c>
      <c r="AJ61" s="1"/>
      <c r="AK61" s="1"/>
      <c r="AN61" s="3"/>
      <c r="AV61" s="3"/>
    </row>
    <row r="62" spans="29:48" ht="20.100000000000001" customHeight="1">
      <c r="AC62" s="1"/>
      <c r="AD62" s="1"/>
      <c r="AE62" s="1"/>
      <c r="AF62" s="1"/>
      <c r="AG62" s="1"/>
      <c r="AH62" s="1"/>
      <c r="AI62" s="1"/>
      <c r="AJ62" s="1"/>
      <c r="AK62" s="1"/>
      <c r="AN62" s="3"/>
      <c r="AV62" s="3"/>
    </row>
    <row r="63" spans="29:48" ht="20.100000000000001" customHeight="1">
      <c r="AC63" s="3"/>
      <c r="AD63" s="1"/>
      <c r="AE63" s="54" t="s">
        <v>778</v>
      </c>
      <c r="AF63" s="1" t="s">
        <v>912</v>
      </c>
      <c r="AG63" s="1" t="s">
        <v>912</v>
      </c>
      <c r="AH63" s="1" t="s">
        <v>912</v>
      </c>
      <c r="AI63" s="1" t="s">
        <v>912</v>
      </c>
      <c r="AJ63" s="1"/>
      <c r="AK63" s="1"/>
      <c r="AN63" s="3"/>
      <c r="AV63" s="3"/>
    </row>
    <row r="64" spans="29:48" ht="20.100000000000001" customHeight="1">
      <c r="AC64" s="1" t="s">
        <v>906</v>
      </c>
      <c r="AD64" s="1" t="s">
        <v>899</v>
      </c>
      <c r="AE64" s="1" t="s">
        <v>964</v>
      </c>
      <c r="AF64" s="1">
        <v>840</v>
      </c>
      <c r="AG64" s="1">
        <v>0</v>
      </c>
      <c r="AH64" s="1">
        <v>0</v>
      </c>
      <c r="AI64" s="1">
        <v>0</v>
      </c>
      <c r="AJ64" s="1"/>
      <c r="AK64" s="1"/>
      <c r="AN64" s="3"/>
      <c r="AV64" s="3"/>
    </row>
    <row r="65" spans="29:51" ht="20.100000000000001" customHeight="1">
      <c r="AC65" s="1" t="s">
        <v>906</v>
      </c>
      <c r="AD65" s="1" t="s">
        <v>899</v>
      </c>
      <c r="AE65" s="1" t="s">
        <v>965</v>
      </c>
      <c r="AF65" s="1">
        <v>1580</v>
      </c>
      <c r="AG65" s="1">
        <v>0</v>
      </c>
      <c r="AH65" s="1">
        <v>0</v>
      </c>
      <c r="AI65" s="1">
        <v>0</v>
      </c>
      <c r="AJ65" s="1"/>
      <c r="AK65" s="1"/>
      <c r="AN65" s="3"/>
      <c r="AV65" s="3"/>
    </row>
    <row r="66" spans="29:51" ht="20.100000000000001" customHeight="1">
      <c r="AC66" s="56" t="s">
        <v>906</v>
      </c>
      <c r="AD66" s="56" t="s">
        <v>891</v>
      </c>
      <c r="AE66" s="56" t="s">
        <v>966</v>
      </c>
      <c r="AF66" s="56">
        <v>2100</v>
      </c>
      <c r="AG66" s="56">
        <v>0</v>
      </c>
      <c r="AH66" s="56">
        <v>0</v>
      </c>
      <c r="AI66" s="56">
        <v>0</v>
      </c>
      <c r="AJ66" s="1"/>
      <c r="AK66" s="1"/>
      <c r="AN66" s="3"/>
      <c r="AV66" s="3"/>
    </row>
    <row r="67" spans="29:51" ht="20.100000000000001" customHeight="1">
      <c r="AC67" s="1"/>
      <c r="AD67" s="1"/>
      <c r="AE67" s="46"/>
      <c r="AF67" s="46"/>
      <c r="AG67" s="46"/>
      <c r="AH67" s="46"/>
      <c r="AI67" s="46"/>
      <c r="AJ67" s="1"/>
      <c r="AK67" s="1"/>
      <c r="AN67" s="3"/>
      <c r="AV67" s="3"/>
    </row>
    <row r="68" spans="29:51" ht="20.100000000000001" customHeight="1">
      <c r="AC68" s="3"/>
      <c r="AD68" s="1"/>
      <c r="AE68" s="54" t="s">
        <v>42</v>
      </c>
      <c r="AF68" s="1" t="s">
        <v>912</v>
      </c>
      <c r="AG68" s="1" t="s">
        <v>912</v>
      </c>
      <c r="AH68" s="1"/>
      <c r="AI68" s="1" t="s">
        <v>912</v>
      </c>
      <c r="AJ68" s="1"/>
      <c r="AK68" s="1"/>
      <c r="AN68" s="3"/>
      <c r="AV68" s="3"/>
    </row>
    <row r="69" spans="29:51" ht="20.100000000000001" customHeight="1">
      <c r="AC69" s="1" t="s">
        <v>898</v>
      </c>
      <c r="AD69" s="1" t="s">
        <v>899</v>
      </c>
      <c r="AE69" s="1" t="s">
        <v>967</v>
      </c>
      <c r="AF69" s="1">
        <v>0</v>
      </c>
      <c r="AG69" s="1">
        <v>70</v>
      </c>
      <c r="AH69" s="1">
        <v>0</v>
      </c>
      <c r="AI69" s="1">
        <v>0</v>
      </c>
      <c r="AJ69" s="1"/>
      <c r="AK69" s="1"/>
      <c r="AM69" s="62" t="s">
        <v>968</v>
      </c>
      <c r="AN69" s="1">
        <v>0</v>
      </c>
      <c r="AO69" s="1">
        <v>70</v>
      </c>
      <c r="AP69" s="1">
        <v>0</v>
      </c>
      <c r="AQ69" s="1">
        <v>0</v>
      </c>
      <c r="AV69" s="3"/>
    </row>
    <row r="70" spans="29:51" ht="20.100000000000001" customHeight="1">
      <c r="AC70" s="1" t="s">
        <v>906</v>
      </c>
      <c r="AD70" s="1" t="s">
        <v>899</v>
      </c>
      <c r="AE70" s="1" t="s">
        <v>969</v>
      </c>
      <c r="AF70" s="1">
        <v>0</v>
      </c>
      <c r="AG70" s="1">
        <v>130</v>
      </c>
      <c r="AH70" s="1">
        <v>0</v>
      </c>
      <c r="AI70" s="1">
        <v>0</v>
      </c>
      <c r="AJ70" s="1"/>
      <c r="AK70" s="1"/>
      <c r="AM70" s="62" t="s">
        <v>970</v>
      </c>
      <c r="AN70" s="1">
        <v>0</v>
      </c>
      <c r="AO70" s="1">
        <v>130</v>
      </c>
      <c r="AP70" s="1">
        <v>0</v>
      </c>
      <c r="AQ70" s="1">
        <v>0</v>
      </c>
      <c r="AV70" s="3"/>
    </row>
    <row r="71" spans="29:51" ht="20.100000000000001" customHeight="1">
      <c r="AC71" s="55" t="s">
        <v>898</v>
      </c>
      <c r="AD71" s="55" t="s">
        <v>971</v>
      </c>
      <c r="AE71" s="55" t="s">
        <v>972</v>
      </c>
      <c r="AF71" s="55">
        <v>0</v>
      </c>
      <c r="AG71" s="55">
        <v>175</v>
      </c>
      <c r="AH71" s="55">
        <v>0</v>
      </c>
      <c r="AI71" s="55">
        <v>0</v>
      </c>
      <c r="AJ71" s="1"/>
      <c r="AK71" s="1"/>
      <c r="AM71" s="62" t="s">
        <v>973</v>
      </c>
      <c r="AN71" s="55">
        <v>0</v>
      </c>
      <c r="AO71" s="55">
        <v>175</v>
      </c>
      <c r="AP71" s="55">
        <v>0</v>
      </c>
      <c r="AQ71" s="55">
        <v>0</v>
      </c>
      <c r="AV71" s="3"/>
    </row>
    <row r="72" spans="29:51" ht="20.100000000000001" customHeight="1">
      <c r="AC72" s="56" t="s">
        <v>898</v>
      </c>
      <c r="AD72" s="56" t="s">
        <v>891</v>
      </c>
      <c r="AE72" s="56" t="s">
        <v>974</v>
      </c>
      <c r="AF72" s="56">
        <v>0</v>
      </c>
      <c r="AG72" s="56">
        <v>210</v>
      </c>
      <c r="AH72" s="56">
        <v>0</v>
      </c>
      <c r="AI72" s="56">
        <v>0</v>
      </c>
      <c r="AJ72" s="1"/>
      <c r="AK72" s="1"/>
      <c r="AM72" s="62" t="s">
        <v>975</v>
      </c>
      <c r="AN72" s="56">
        <v>0</v>
      </c>
      <c r="AO72" s="56">
        <v>210</v>
      </c>
      <c r="AP72" s="56">
        <v>0</v>
      </c>
      <c r="AQ72" s="56">
        <v>0</v>
      </c>
      <c r="AV72" s="3"/>
    </row>
    <row r="73" spans="29:51" ht="20.100000000000001" customHeight="1">
      <c r="AC73" s="60"/>
      <c r="AD73" s="60"/>
      <c r="AE73" s="60"/>
      <c r="AF73" s="60"/>
      <c r="AG73" s="60"/>
      <c r="AH73" s="60"/>
      <c r="AI73" s="60"/>
      <c r="AJ73" s="1"/>
      <c r="AK73" s="1"/>
      <c r="AN73" s="3"/>
      <c r="AV73" s="3"/>
    </row>
    <row r="74" spans="29:51" ht="20.100000000000001" customHeight="1">
      <c r="AC74" s="1"/>
      <c r="AD74" s="1"/>
      <c r="AE74" s="54" t="s">
        <v>769</v>
      </c>
      <c r="AF74" s="1" t="s">
        <v>912</v>
      </c>
      <c r="AG74" s="1"/>
      <c r="AH74" s="1" t="s">
        <v>912</v>
      </c>
      <c r="AI74" s="1" t="s">
        <v>912</v>
      </c>
      <c r="AJ74" s="1"/>
      <c r="AK74" s="1"/>
      <c r="AN74" s="1"/>
      <c r="AV74" s="1"/>
    </row>
    <row r="75" spans="29:51" ht="20.100000000000001" customHeight="1">
      <c r="AC75" s="1" t="s">
        <v>898</v>
      </c>
      <c r="AD75" s="1" t="s">
        <v>899</v>
      </c>
      <c r="AE75" s="1" t="s">
        <v>976</v>
      </c>
      <c r="AF75" s="1">
        <v>520</v>
      </c>
      <c r="AG75" s="1">
        <v>0</v>
      </c>
      <c r="AH75" s="1">
        <v>12</v>
      </c>
      <c r="AI75" s="1">
        <v>12</v>
      </c>
      <c r="AJ75" s="1"/>
      <c r="AK75" s="1" t="s">
        <v>898</v>
      </c>
      <c r="AL75" s="1" t="s">
        <v>899</v>
      </c>
      <c r="AM75" s="1" t="s">
        <v>977</v>
      </c>
      <c r="AN75" s="1">
        <f t="shared" ref="AN75:AN78" ca="1" si="25">ROUND(AF75*AN$23,-1)</f>
        <v>260</v>
      </c>
      <c r="AO75" s="1">
        <f t="shared" ref="AO75:AQ78" ca="1" si="26">ROUND(AG75*AO$23,0)</f>
        <v>0</v>
      </c>
      <c r="AP75" s="1">
        <f t="shared" ca="1" si="26"/>
        <v>9</v>
      </c>
      <c r="AQ75" s="1">
        <f t="shared" ca="1" si="26"/>
        <v>9</v>
      </c>
      <c r="AS75" s="1" t="s">
        <v>898</v>
      </c>
      <c r="AT75" s="1" t="s">
        <v>899</v>
      </c>
      <c r="AU75" s="1" t="s">
        <v>978</v>
      </c>
      <c r="AV75" s="1">
        <f t="shared" ref="AV75:AV78" ca="1" si="27">ROUND(AN75*AV$23,-1)</f>
        <v>390</v>
      </c>
      <c r="AW75" s="1">
        <f t="shared" ref="AW75:AY78" ca="1" si="28">ROUND(AG75*AW$23,0)</f>
        <v>0</v>
      </c>
      <c r="AX75" s="1">
        <f t="shared" ca="1" si="28"/>
        <v>15</v>
      </c>
      <c r="AY75" s="1">
        <f t="shared" ca="1" si="28"/>
        <v>15</v>
      </c>
    </row>
    <row r="76" spans="29:51" ht="20.100000000000001" customHeight="1">
      <c r="AC76" s="1" t="s">
        <v>906</v>
      </c>
      <c r="AD76" s="1" t="s">
        <v>971</v>
      </c>
      <c r="AE76" s="1" t="s">
        <v>979</v>
      </c>
      <c r="AF76" s="1">
        <v>920</v>
      </c>
      <c r="AG76" s="1">
        <v>0</v>
      </c>
      <c r="AH76" s="1">
        <v>24</v>
      </c>
      <c r="AI76" s="1">
        <v>24</v>
      </c>
      <c r="AJ76" s="1"/>
      <c r="AK76" s="1" t="s">
        <v>906</v>
      </c>
      <c r="AL76" s="1" t="s">
        <v>971</v>
      </c>
      <c r="AM76" s="1" t="s">
        <v>980</v>
      </c>
      <c r="AN76" s="1">
        <f t="shared" ca="1" si="25"/>
        <v>460</v>
      </c>
      <c r="AO76" s="1">
        <f t="shared" ca="1" si="26"/>
        <v>0</v>
      </c>
      <c r="AP76" s="1">
        <f t="shared" ca="1" si="26"/>
        <v>18</v>
      </c>
      <c r="AQ76" s="1">
        <f t="shared" ca="1" si="26"/>
        <v>18</v>
      </c>
      <c r="AS76" s="1" t="s">
        <v>906</v>
      </c>
      <c r="AT76" s="1" t="s">
        <v>971</v>
      </c>
      <c r="AU76" s="1" t="s">
        <v>981</v>
      </c>
      <c r="AV76" s="1">
        <f t="shared" ca="1" si="27"/>
        <v>690</v>
      </c>
      <c r="AW76" s="1">
        <f t="shared" ca="1" si="28"/>
        <v>0</v>
      </c>
      <c r="AX76" s="1">
        <f t="shared" ca="1" si="28"/>
        <v>30</v>
      </c>
      <c r="AY76" s="1">
        <f t="shared" ca="1" si="28"/>
        <v>30</v>
      </c>
    </row>
    <row r="77" spans="29:51" ht="20.100000000000001" customHeight="1">
      <c r="AC77" s="55" t="s">
        <v>906</v>
      </c>
      <c r="AD77" s="55" t="s">
        <v>971</v>
      </c>
      <c r="AE77" s="55" t="s">
        <v>982</v>
      </c>
      <c r="AF77" s="55">
        <v>1080</v>
      </c>
      <c r="AG77" s="55">
        <v>0</v>
      </c>
      <c r="AH77" s="55">
        <v>28</v>
      </c>
      <c r="AI77" s="55">
        <v>28</v>
      </c>
      <c r="AJ77" s="1"/>
      <c r="AK77" s="55" t="s">
        <v>906</v>
      </c>
      <c r="AL77" s="55" t="s">
        <v>971</v>
      </c>
      <c r="AM77" s="55" t="s">
        <v>983</v>
      </c>
      <c r="AN77" s="1">
        <f t="shared" ca="1" si="25"/>
        <v>540</v>
      </c>
      <c r="AO77" s="1">
        <f t="shared" ca="1" si="26"/>
        <v>0</v>
      </c>
      <c r="AP77" s="1">
        <f t="shared" ca="1" si="26"/>
        <v>21</v>
      </c>
      <c r="AQ77" s="1">
        <f t="shared" ca="1" si="26"/>
        <v>21</v>
      </c>
      <c r="AS77" s="55" t="s">
        <v>906</v>
      </c>
      <c r="AT77" s="55" t="s">
        <v>971</v>
      </c>
      <c r="AU77" s="55" t="s">
        <v>982</v>
      </c>
      <c r="AV77" s="1">
        <f t="shared" ca="1" si="27"/>
        <v>810</v>
      </c>
      <c r="AW77" s="1">
        <f t="shared" ca="1" si="28"/>
        <v>0</v>
      </c>
      <c r="AX77" s="1">
        <f t="shared" ca="1" si="28"/>
        <v>35</v>
      </c>
      <c r="AY77" s="1">
        <f t="shared" ca="1" si="28"/>
        <v>35</v>
      </c>
    </row>
    <row r="78" spans="29:51" ht="20.100000000000001" customHeight="1">
      <c r="AC78" s="56" t="s">
        <v>906</v>
      </c>
      <c r="AD78" s="56" t="s">
        <v>891</v>
      </c>
      <c r="AE78" s="56" t="s">
        <v>984</v>
      </c>
      <c r="AF78" s="56">
        <v>1315</v>
      </c>
      <c r="AG78" s="56">
        <v>0</v>
      </c>
      <c r="AH78" s="56">
        <v>38</v>
      </c>
      <c r="AI78" s="56">
        <v>38</v>
      </c>
      <c r="AJ78" s="1"/>
      <c r="AK78" s="56" t="s">
        <v>906</v>
      </c>
      <c r="AL78" s="56" t="s">
        <v>891</v>
      </c>
      <c r="AM78" s="56" t="s">
        <v>985</v>
      </c>
      <c r="AN78" s="1">
        <f t="shared" ca="1" si="25"/>
        <v>660</v>
      </c>
      <c r="AO78" s="1">
        <f t="shared" ca="1" si="26"/>
        <v>0</v>
      </c>
      <c r="AP78" s="1">
        <f t="shared" ca="1" si="26"/>
        <v>29</v>
      </c>
      <c r="AQ78" s="1">
        <f t="shared" ca="1" si="26"/>
        <v>29</v>
      </c>
      <c r="AS78" s="56" t="s">
        <v>906</v>
      </c>
      <c r="AT78" s="56" t="s">
        <v>891</v>
      </c>
      <c r="AU78" s="56" t="s">
        <v>986</v>
      </c>
      <c r="AV78" s="1">
        <f t="shared" ca="1" si="27"/>
        <v>990</v>
      </c>
      <c r="AW78" s="1">
        <f t="shared" ca="1" si="28"/>
        <v>0</v>
      </c>
      <c r="AX78" s="1">
        <f t="shared" ca="1" si="28"/>
        <v>48</v>
      </c>
      <c r="AY78" s="1">
        <f t="shared" ca="1" si="28"/>
        <v>48</v>
      </c>
    </row>
    <row r="79" spans="29:51" ht="20.100000000000001" customHeight="1"/>
    <row r="80" spans="29:51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85"/>
  <sheetViews>
    <sheetView topLeftCell="E31" workbookViewId="0">
      <selection activeCell="AB87" sqref="AB87"/>
    </sheetView>
  </sheetViews>
  <sheetFormatPr defaultColWidth="9" defaultRowHeight="14.25"/>
  <cols>
    <col min="1" max="1" width="11.375" customWidth="1"/>
    <col min="2" max="2" width="16.75" customWidth="1"/>
    <col min="3" max="3" width="17.25" style="13" customWidth="1"/>
    <col min="4" max="4" width="42.375" customWidth="1"/>
    <col min="5" max="5" width="67.125" customWidth="1"/>
    <col min="6" max="6" width="16.125" customWidth="1"/>
    <col min="7" max="7" width="15.125" customWidth="1"/>
    <col min="8" max="8" width="18" customWidth="1"/>
    <col min="10" max="10" width="24.125" customWidth="1"/>
    <col min="11" max="11" width="13" customWidth="1"/>
    <col min="12" max="12" width="11.375" customWidth="1"/>
    <col min="13" max="13" width="17" customWidth="1"/>
    <col min="14" max="14" width="11.625" customWidth="1"/>
    <col min="15" max="15" width="22.25" customWidth="1"/>
    <col min="16" max="16" width="9.875" customWidth="1"/>
    <col min="17" max="17" width="11.375" customWidth="1"/>
    <col min="18" max="18" width="22.125" customWidth="1"/>
    <col min="19" max="19" width="15" customWidth="1"/>
    <col min="20" max="20" width="10.875" customWidth="1"/>
    <col min="23" max="23" width="22.625" customWidth="1"/>
    <col min="24" max="24" width="16.375" customWidth="1"/>
    <col min="25" max="25" width="16.125" customWidth="1"/>
    <col min="26" max="26" width="20.375" customWidth="1"/>
    <col min="27" max="27" width="17.125" customWidth="1"/>
    <col min="28" max="28" width="30.625" customWidth="1"/>
    <col min="30" max="30" width="17.25" customWidth="1"/>
    <col min="31" max="31" width="40.875" customWidth="1"/>
    <col min="32" max="32" width="12.375" customWidth="1"/>
    <col min="36" max="36" width="26.375" customWidth="1"/>
    <col min="39" max="39" width="22.75" customWidth="1"/>
    <col min="40" max="40" width="12.125" customWidth="1"/>
    <col min="42" max="43" width="12.625" customWidth="1"/>
    <col min="44" max="44" width="37" customWidth="1"/>
  </cols>
  <sheetData>
    <row r="1" spans="2:29" s="1" customFormat="1" ht="20.100000000000001" customHeight="1"/>
    <row r="2" spans="2:29" s="1" customFormat="1" ht="20.100000000000001" customHeight="1"/>
    <row r="3" spans="2:29" s="1" customFormat="1" ht="20.100000000000001" customHeight="1"/>
    <row r="4" spans="2:29" s="1" customFormat="1" ht="20.100000000000001" customHeight="1">
      <c r="J4" s="1" t="s">
        <v>987</v>
      </c>
      <c r="K4" s="1" t="s">
        <v>988</v>
      </c>
      <c r="L4" s="1" t="s">
        <v>989</v>
      </c>
      <c r="M4" s="1" t="s">
        <v>990</v>
      </c>
      <c r="O4" s="1" t="s">
        <v>990</v>
      </c>
      <c r="W4" s="1" t="s">
        <v>991</v>
      </c>
      <c r="X4" s="1" t="s">
        <v>992</v>
      </c>
      <c r="Y4" s="1" t="s">
        <v>993</v>
      </c>
      <c r="Z4" s="1" t="s">
        <v>992</v>
      </c>
      <c r="AC4" s="1" t="s">
        <v>994</v>
      </c>
    </row>
    <row r="5" spans="2:29" s="1" customFormat="1" ht="20.100000000000001" customHeight="1">
      <c r="C5" s="1" t="s">
        <v>995</v>
      </c>
      <c r="D5" s="7" t="s">
        <v>996</v>
      </c>
      <c r="I5" s="1" t="s">
        <v>997</v>
      </c>
      <c r="J5" s="1" t="s">
        <v>998</v>
      </c>
      <c r="K5" s="1" t="s">
        <v>989</v>
      </c>
      <c r="L5" s="1" t="s">
        <v>999</v>
      </c>
      <c r="M5" s="1" t="s">
        <v>1000</v>
      </c>
      <c r="S5" s="1" t="s">
        <v>1001</v>
      </c>
      <c r="V5" s="1">
        <v>1</v>
      </c>
      <c r="W5" s="1">
        <v>1</v>
      </c>
      <c r="X5" s="1">
        <v>3</v>
      </c>
      <c r="Y5" s="1">
        <f t="shared" ref="Y5:Y9" si="0">(W5+X5)/2</f>
        <v>2</v>
      </c>
      <c r="Z5" s="1">
        <v>3</v>
      </c>
      <c r="AC5" s="1" t="s">
        <v>1002</v>
      </c>
    </row>
    <row r="6" spans="2:29" s="1" customFormat="1" ht="20.100000000000001" customHeight="1">
      <c r="C6" s="1" t="s">
        <v>1003</v>
      </c>
      <c r="D6" s="7" t="s">
        <v>716</v>
      </c>
      <c r="I6" s="1" t="s">
        <v>1004</v>
      </c>
      <c r="J6" s="1" t="s">
        <v>1005</v>
      </c>
      <c r="K6" s="1" t="s">
        <v>989</v>
      </c>
      <c r="L6" s="1" t="s">
        <v>1006</v>
      </c>
      <c r="S6" s="1" t="s">
        <v>1001</v>
      </c>
      <c r="V6" s="1">
        <v>2</v>
      </c>
      <c r="W6" s="1">
        <v>1</v>
      </c>
      <c r="X6" s="1">
        <v>4</v>
      </c>
      <c r="Y6" s="1">
        <f t="shared" si="0"/>
        <v>2.5</v>
      </c>
      <c r="Z6" s="1">
        <v>4</v>
      </c>
      <c r="AC6" s="1" t="s">
        <v>1007</v>
      </c>
    </row>
    <row r="7" spans="2:29" s="1" customFormat="1" ht="20.100000000000001" customHeight="1">
      <c r="C7" s="1" t="s">
        <v>1008</v>
      </c>
      <c r="D7" s="7" t="s">
        <v>1009</v>
      </c>
      <c r="I7" s="1" t="s">
        <v>1010</v>
      </c>
      <c r="J7" s="1" t="s">
        <v>1011</v>
      </c>
      <c r="K7" s="1" t="s">
        <v>989</v>
      </c>
      <c r="L7" s="1" t="s">
        <v>1012</v>
      </c>
      <c r="M7" s="1" t="s">
        <v>1013</v>
      </c>
      <c r="S7" s="1" t="s">
        <v>1001</v>
      </c>
      <c r="V7" s="1">
        <v>3</v>
      </c>
      <c r="W7" s="1">
        <v>2</v>
      </c>
      <c r="X7" s="1">
        <v>4</v>
      </c>
      <c r="Y7" s="1">
        <f t="shared" si="0"/>
        <v>3</v>
      </c>
      <c r="Z7" s="1">
        <v>4</v>
      </c>
      <c r="AC7" s="1" t="s">
        <v>1014</v>
      </c>
    </row>
    <row r="8" spans="2:29" s="1" customFormat="1" ht="20.100000000000001" customHeight="1">
      <c r="D8" s="7" t="s">
        <v>1015</v>
      </c>
      <c r="I8" s="1" t="s">
        <v>1016</v>
      </c>
      <c r="J8" s="1" t="s">
        <v>1017</v>
      </c>
      <c r="K8" s="1" t="s">
        <v>1018</v>
      </c>
      <c r="O8" s="1" t="s">
        <v>1019</v>
      </c>
      <c r="Q8" s="1" t="s">
        <v>1020</v>
      </c>
      <c r="S8" s="1" t="s">
        <v>1001</v>
      </c>
      <c r="V8" s="1">
        <v>4</v>
      </c>
      <c r="W8" s="1">
        <v>2</v>
      </c>
      <c r="X8" s="1">
        <v>5</v>
      </c>
      <c r="Y8" s="1">
        <f t="shared" si="0"/>
        <v>3.5</v>
      </c>
      <c r="Z8" s="1">
        <v>5</v>
      </c>
      <c r="AC8" s="1" t="s">
        <v>1021</v>
      </c>
    </row>
    <row r="9" spans="2:29" s="1" customFormat="1" ht="20.100000000000001" customHeight="1">
      <c r="B9" s="1" t="s">
        <v>42</v>
      </c>
      <c r="D9" s="7" t="s">
        <v>1022</v>
      </c>
      <c r="V9" s="1">
        <v>5</v>
      </c>
      <c r="W9" s="1">
        <v>3</v>
      </c>
      <c r="X9" s="1">
        <v>5</v>
      </c>
      <c r="Y9" s="1">
        <f t="shared" si="0"/>
        <v>4</v>
      </c>
      <c r="Z9" s="1">
        <v>5</v>
      </c>
      <c r="AC9" s="1" t="s">
        <v>1023</v>
      </c>
    </row>
    <row r="10" spans="2:29" s="1" customFormat="1" ht="20.100000000000001" customHeight="1">
      <c r="C10" s="1" t="s">
        <v>1024</v>
      </c>
      <c r="D10" s="7" t="s">
        <v>1025</v>
      </c>
      <c r="I10" s="1" t="s">
        <v>997</v>
      </c>
      <c r="J10" s="1" t="s">
        <v>1026</v>
      </c>
      <c r="K10" s="7" t="s">
        <v>1027</v>
      </c>
      <c r="AC10" s="1" t="s">
        <v>1028</v>
      </c>
    </row>
    <row r="11" spans="2:29" s="1" customFormat="1" ht="20.100000000000001" customHeight="1">
      <c r="D11" s="7" t="s">
        <v>1029</v>
      </c>
      <c r="I11" s="1" t="s">
        <v>1004</v>
      </c>
      <c r="J11" s="1" t="s">
        <v>1030</v>
      </c>
      <c r="K11" s="7" t="s">
        <v>1031</v>
      </c>
      <c r="AC11" s="1" t="s">
        <v>1032</v>
      </c>
    </row>
    <row r="12" spans="2:29" s="1" customFormat="1" ht="20.100000000000001" customHeight="1">
      <c r="D12" s="7" t="s">
        <v>1033</v>
      </c>
      <c r="I12" s="1" t="s">
        <v>1010</v>
      </c>
      <c r="J12" s="1" t="s">
        <v>1034</v>
      </c>
      <c r="K12" s="7" t="s">
        <v>1035</v>
      </c>
      <c r="Q12" s="1" t="s">
        <v>1036</v>
      </c>
      <c r="AC12" s="1" t="s">
        <v>1037</v>
      </c>
    </row>
    <row r="13" spans="2:29" s="1" customFormat="1" ht="20.100000000000001" customHeight="1">
      <c r="D13" s="7" t="s">
        <v>1038</v>
      </c>
      <c r="I13" s="1" t="s">
        <v>1016</v>
      </c>
      <c r="K13" s="1" t="s">
        <v>1039</v>
      </c>
      <c r="AC13" s="1" t="s">
        <v>1040</v>
      </c>
    </row>
    <row r="14" spans="2:29" s="1" customFormat="1" ht="20.100000000000001" customHeight="1">
      <c r="K14" s="1" t="s">
        <v>1041</v>
      </c>
      <c r="AC14" s="1" t="s">
        <v>1042</v>
      </c>
    </row>
    <row r="15" spans="2:29" s="1" customFormat="1" ht="20.100000000000001" customHeight="1">
      <c r="K15" s="7" t="s">
        <v>1043</v>
      </c>
      <c r="O15" s="1" t="s">
        <v>1044</v>
      </c>
    </row>
    <row r="16" spans="2:29" s="1" customFormat="1" ht="20.100000000000001" customHeight="1"/>
    <row r="17" spans="4:44" s="1" customFormat="1" ht="20.100000000000001" customHeight="1">
      <c r="J17" s="1" t="s">
        <v>1045</v>
      </c>
    </row>
    <row r="18" spans="4:44" s="1" customFormat="1" ht="20.100000000000001" customHeight="1">
      <c r="Q18" s="1" t="s">
        <v>1010</v>
      </c>
      <c r="U18" s="1" t="s">
        <v>1016</v>
      </c>
    </row>
    <row r="19" spans="4:44" s="1" customFormat="1" ht="20.100000000000001" customHeight="1">
      <c r="I19" s="1" t="s">
        <v>1026</v>
      </c>
      <c r="J19" s="1" t="s">
        <v>1046</v>
      </c>
      <c r="L19" s="1" t="s">
        <v>1030</v>
      </c>
      <c r="M19" s="7" t="s">
        <v>1047</v>
      </c>
      <c r="P19" s="1" t="s">
        <v>1048</v>
      </c>
      <c r="Q19" s="1" t="s">
        <v>1049</v>
      </c>
      <c r="R19" s="7" t="s">
        <v>1050</v>
      </c>
      <c r="U19" s="1" t="s">
        <v>802</v>
      </c>
      <c r="V19" s="1" t="s">
        <v>3</v>
      </c>
      <c r="W19" s="7" t="s">
        <v>1051</v>
      </c>
      <c r="X19" s="1">
        <v>10</v>
      </c>
      <c r="Y19" s="1">
        <v>100403</v>
      </c>
      <c r="Z19" s="1">
        <v>10</v>
      </c>
      <c r="AA19" s="1">
        <v>60</v>
      </c>
      <c r="AB19" s="1" t="str">
        <f>X19&amp;"@"&amp;Y19&amp;";"&amp;Z19&amp;";"&amp;AA19</f>
        <v>10@100403;10;60</v>
      </c>
      <c r="AC19" s="1" t="s">
        <v>802</v>
      </c>
      <c r="AE19" s="7" t="s">
        <v>1052</v>
      </c>
      <c r="AF19" s="1">
        <v>10</v>
      </c>
      <c r="AG19" s="1">
        <v>100403</v>
      </c>
      <c r="AH19" s="1">
        <v>30</v>
      </c>
      <c r="AI19" s="1">
        <v>100</v>
      </c>
      <c r="AJ19" s="1" t="str">
        <f>AF19&amp;"@"&amp;AG19&amp;";"&amp;AH19&amp;";"&amp;AI19</f>
        <v>10@100403;30;100</v>
      </c>
      <c r="AK19" s="1" t="s">
        <v>802</v>
      </c>
      <c r="AM19" s="7" t="s">
        <v>1053</v>
      </c>
      <c r="AN19" s="1">
        <v>10</v>
      </c>
      <c r="AO19" s="1">
        <v>100403</v>
      </c>
      <c r="AP19" s="1">
        <v>50</v>
      </c>
      <c r="AQ19" s="1">
        <v>150</v>
      </c>
      <c r="AR19" s="1" t="str">
        <f>AN19&amp;"@"&amp;AO19&amp;";"&amp;AP19&amp;";"&amp;AQ19</f>
        <v>10@100403;50;150</v>
      </c>
    </row>
    <row r="20" spans="4:44" s="1" customFormat="1" ht="20.100000000000001" customHeight="1">
      <c r="I20" s="1" t="s">
        <v>1026</v>
      </c>
      <c r="J20" s="1" t="s">
        <v>1054</v>
      </c>
      <c r="L20" s="1" t="s">
        <v>1055</v>
      </c>
      <c r="M20" s="7" t="s">
        <v>1056</v>
      </c>
      <c r="Q20" s="1" t="s">
        <v>1057</v>
      </c>
      <c r="R20" s="7" t="s">
        <v>1058</v>
      </c>
      <c r="V20" s="1" t="s">
        <v>674</v>
      </c>
      <c r="W20" s="7" t="s">
        <v>1059</v>
      </c>
      <c r="X20" s="1">
        <v>10</v>
      </c>
      <c r="Y20" s="1">
        <v>119103</v>
      </c>
      <c r="Z20" s="1">
        <v>10</v>
      </c>
      <c r="AA20" s="1">
        <v>50</v>
      </c>
      <c r="AB20" s="1" t="str">
        <f t="shared" ref="AB20:AB21" si="1">X20&amp;"@"&amp;Y20&amp;";"&amp;Z20&amp;";"&amp;AA20</f>
        <v>10@119103;10;50</v>
      </c>
      <c r="AE20" s="7" t="s">
        <v>1060</v>
      </c>
      <c r="AF20" s="1">
        <v>10</v>
      </c>
      <c r="AG20" s="1">
        <v>119103</v>
      </c>
      <c r="AH20" s="1">
        <v>30</v>
      </c>
      <c r="AI20" s="1">
        <v>75</v>
      </c>
      <c r="AJ20" s="1" t="str">
        <f t="shared" ref="AJ20:AJ21" si="2">AF20&amp;"@"&amp;AG20&amp;";"&amp;AH20&amp;";"&amp;AI20</f>
        <v>10@119103;30;75</v>
      </c>
      <c r="AM20" s="7" t="s">
        <v>1061</v>
      </c>
      <c r="AN20" s="1">
        <v>10</v>
      </c>
      <c r="AO20" s="1">
        <v>119103</v>
      </c>
      <c r="AP20" s="1">
        <v>30</v>
      </c>
      <c r="AQ20" s="1">
        <v>100</v>
      </c>
      <c r="AR20" s="1" t="str">
        <f t="shared" ref="AR20:AR21" si="3">AN20&amp;"@"&amp;AO20&amp;";"&amp;AP20&amp;";"&amp;AQ20</f>
        <v>10@119103;30;100</v>
      </c>
    </row>
    <row r="21" spans="4:44" s="1" customFormat="1" ht="20.100000000000001" customHeight="1">
      <c r="I21" s="1" t="s">
        <v>1026</v>
      </c>
      <c r="J21" s="1" t="s">
        <v>1062</v>
      </c>
      <c r="L21" s="1" t="s">
        <v>1063</v>
      </c>
      <c r="M21" s="7" t="s">
        <v>1064</v>
      </c>
      <c r="V21" s="1" t="s">
        <v>1065</v>
      </c>
      <c r="W21" s="44" t="s">
        <v>1066</v>
      </c>
      <c r="X21" s="43">
        <v>10</v>
      </c>
      <c r="Y21" s="1">
        <v>110103</v>
      </c>
      <c r="Z21" s="1">
        <v>50</v>
      </c>
      <c r="AA21" s="1">
        <v>100</v>
      </c>
      <c r="AB21" s="1" t="str">
        <f t="shared" si="1"/>
        <v>10@110103;50;100</v>
      </c>
      <c r="AE21" s="44" t="s">
        <v>1067</v>
      </c>
      <c r="AF21" s="43">
        <v>10</v>
      </c>
      <c r="AG21" s="1">
        <v>110103</v>
      </c>
      <c r="AH21" s="1">
        <v>0.01</v>
      </c>
      <c r="AI21" s="1">
        <v>0.03</v>
      </c>
      <c r="AJ21" s="1" t="str">
        <f t="shared" si="2"/>
        <v>10@110103;0.01;0.03</v>
      </c>
      <c r="AK21" s="43"/>
      <c r="AL21" s="43"/>
      <c r="AM21" s="44" t="s">
        <v>1068</v>
      </c>
      <c r="AN21" s="43">
        <v>10</v>
      </c>
      <c r="AO21" s="1">
        <v>110103</v>
      </c>
      <c r="AP21" s="1">
        <v>0.01</v>
      </c>
      <c r="AQ21" s="1">
        <v>0.03</v>
      </c>
      <c r="AR21" s="1" t="str">
        <f t="shared" si="3"/>
        <v>10@110103;0.01;0.03</v>
      </c>
    </row>
    <row r="22" spans="4:44" s="1" customFormat="1" ht="20.100000000000001" customHeight="1">
      <c r="I22" s="1" t="s">
        <v>1026</v>
      </c>
      <c r="J22" s="1" t="s">
        <v>1069</v>
      </c>
      <c r="L22" s="1" t="s">
        <v>1070</v>
      </c>
      <c r="M22" s="7" t="s">
        <v>1071</v>
      </c>
    </row>
    <row r="23" spans="4:44" s="1" customFormat="1" ht="20.100000000000001" customHeight="1">
      <c r="U23" s="1" t="s">
        <v>769</v>
      </c>
      <c r="V23" s="1" t="s">
        <v>765</v>
      </c>
      <c r="W23" s="7" t="s">
        <v>1072</v>
      </c>
      <c r="X23" s="1">
        <v>2</v>
      </c>
      <c r="Y23" s="1">
        <v>100203</v>
      </c>
      <c r="Z23" s="1">
        <v>50</v>
      </c>
      <c r="AA23" s="1">
        <v>300</v>
      </c>
      <c r="AB23" s="1" t="str">
        <f>X23&amp;"@"&amp;Y23&amp;";"&amp;Z23&amp;";"&amp;AA23</f>
        <v>2@100203;50;300</v>
      </c>
      <c r="AC23" s="1" t="s">
        <v>769</v>
      </c>
      <c r="AE23" s="7" t="s">
        <v>1073</v>
      </c>
      <c r="AF23" s="1">
        <v>2</v>
      </c>
      <c r="AG23" s="1">
        <v>100203</v>
      </c>
      <c r="AH23" s="1">
        <v>150</v>
      </c>
      <c r="AI23" s="1">
        <v>500</v>
      </c>
      <c r="AJ23" s="1" t="str">
        <f>AF23&amp;"@"&amp;AG23&amp;";"&amp;AH23&amp;";"&amp;AI23</f>
        <v>2@100203;150;500</v>
      </c>
      <c r="AK23" s="1" t="s">
        <v>769</v>
      </c>
      <c r="AM23" s="7" t="s">
        <v>1074</v>
      </c>
      <c r="AN23" s="1">
        <v>2</v>
      </c>
      <c r="AO23" s="1">
        <v>100203</v>
      </c>
      <c r="AP23" s="1">
        <v>250</v>
      </c>
      <c r="AQ23" s="1">
        <v>750</v>
      </c>
      <c r="AR23" s="1" t="str">
        <f>AN23&amp;"@"&amp;AO23&amp;";"&amp;AP23&amp;";"&amp;AQ23</f>
        <v>2@100203;250;750</v>
      </c>
    </row>
    <row r="24" spans="4:44" s="1" customFormat="1" ht="20.100000000000001" customHeight="1">
      <c r="I24" s="1" t="s">
        <v>1075</v>
      </c>
      <c r="J24" s="1" t="s">
        <v>1076</v>
      </c>
      <c r="L24" s="1" t="s">
        <v>1077</v>
      </c>
      <c r="M24" s="7" t="s">
        <v>1078</v>
      </c>
      <c r="Q24" s="1" t="s">
        <v>1079</v>
      </c>
      <c r="R24" s="7" t="s">
        <v>1080</v>
      </c>
      <c r="W24" s="7" t="s">
        <v>1081</v>
      </c>
      <c r="X24" s="1">
        <v>2</v>
      </c>
      <c r="Y24" s="1">
        <v>119403</v>
      </c>
      <c r="Z24" s="1">
        <v>10</v>
      </c>
      <c r="AA24" s="1">
        <v>50</v>
      </c>
      <c r="AB24" s="1" t="str">
        <f t="shared" ref="AB24:AB25" si="4">X24&amp;"@"&amp;Y24&amp;";"&amp;Z24&amp;";"&amp;AA24</f>
        <v>2@119403;10;50</v>
      </c>
      <c r="AE24" s="7" t="s">
        <v>1082</v>
      </c>
      <c r="AF24" s="1">
        <v>2</v>
      </c>
      <c r="AG24" s="1">
        <v>119403</v>
      </c>
      <c r="AH24" s="1">
        <v>30</v>
      </c>
      <c r="AI24" s="1">
        <v>75</v>
      </c>
      <c r="AJ24" s="1" t="str">
        <f t="shared" ref="AJ24:AJ25" si="5">AF24&amp;"@"&amp;AG24&amp;";"&amp;AH24&amp;";"&amp;AI24</f>
        <v>2@119403;30;75</v>
      </c>
      <c r="AM24" s="7" t="s">
        <v>1083</v>
      </c>
      <c r="AN24" s="1">
        <v>2</v>
      </c>
      <c r="AO24" s="1">
        <v>119403</v>
      </c>
      <c r="AP24" s="1">
        <v>30</v>
      </c>
      <c r="AQ24" s="1">
        <v>100</v>
      </c>
      <c r="AR24" s="1" t="str">
        <f t="shared" ref="AR24:AR25" si="6">AN24&amp;"@"&amp;AO24&amp;";"&amp;AP24&amp;";"&amp;AQ24</f>
        <v>2@119403;30;100</v>
      </c>
    </row>
    <row r="25" spans="4:44" s="1" customFormat="1" ht="20.100000000000001" customHeight="1">
      <c r="I25" s="1" t="s">
        <v>1075</v>
      </c>
      <c r="J25" s="1" t="s">
        <v>1084</v>
      </c>
      <c r="L25" s="1" t="s">
        <v>1085</v>
      </c>
      <c r="M25" s="7" t="s">
        <v>1086</v>
      </c>
      <c r="Q25" s="1" t="s">
        <v>1087</v>
      </c>
      <c r="R25" s="7" t="s">
        <v>1088</v>
      </c>
      <c r="W25" s="44" t="s">
        <v>1089</v>
      </c>
      <c r="X25" s="43">
        <v>2</v>
      </c>
      <c r="Y25" s="1">
        <v>200403</v>
      </c>
      <c r="Z25" s="1">
        <v>0.01</v>
      </c>
      <c r="AA25" s="1">
        <v>0.03</v>
      </c>
      <c r="AB25" s="1" t="str">
        <f t="shared" si="4"/>
        <v>2@200403;0.01;0.03</v>
      </c>
      <c r="AE25" s="44" t="s">
        <v>1090</v>
      </c>
      <c r="AF25" s="43">
        <v>2</v>
      </c>
      <c r="AG25" s="1">
        <v>204603</v>
      </c>
      <c r="AH25" s="1">
        <v>0.01</v>
      </c>
      <c r="AI25" s="1">
        <v>0.03</v>
      </c>
      <c r="AJ25" s="1" t="str">
        <f t="shared" si="5"/>
        <v>2@204603;0.01;0.03</v>
      </c>
      <c r="AM25" s="44" t="s">
        <v>1091</v>
      </c>
      <c r="AN25" s="43">
        <v>2</v>
      </c>
      <c r="AO25" s="1">
        <v>200503</v>
      </c>
      <c r="AP25" s="1">
        <v>0.01</v>
      </c>
      <c r="AQ25" s="1">
        <v>0.03</v>
      </c>
      <c r="AR25" s="1" t="str">
        <f t="shared" si="6"/>
        <v>2@200503;0.01;0.03</v>
      </c>
    </row>
    <row r="26" spans="4:44" s="1" customFormat="1" ht="20.100000000000001" customHeight="1">
      <c r="I26" s="1" t="s">
        <v>1075</v>
      </c>
      <c r="J26" s="1" t="s">
        <v>1092</v>
      </c>
      <c r="L26" s="1" t="s">
        <v>1093</v>
      </c>
      <c r="M26" s="7" t="s">
        <v>1094</v>
      </c>
    </row>
    <row r="27" spans="4:44" s="1" customFormat="1" ht="20.100000000000001" customHeight="1">
      <c r="I27" s="1" t="s">
        <v>1075</v>
      </c>
      <c r="J27" s="1" t="s">
        <v>1095</v>
      </c>
      <c r="L27" s="1" t="s">
        <v>1096</v>
      </c>
      <c r="M27" s="7" t="s">
        <v>1097</v>
      </c>
      <c r="U27" s="1" t="s">
        <v>812</v>
      </c>
      <c r="W27" s="7" t="s">
        <v>1098</v>
      </c>
      <c r="X27" s="1">
        <v>9</v>
      </c>
      <c r="Y27" s="1">
        <v>118103</v>
      </c>
      <c r="Z27" s="1">
        <v>10</v>
      </c>
      <c r="AA27" s="1">
        <v>60</v>
      </c>
      <c r="AB27" s="1" t="str">
        <f>X27&amp;"@"&amp;Y27&amp;";"&amp;Z27&amp;";"&amp;AA27</f>
        <v>9@118103;10;60</v>
      </c>
      <c r="AC27" s="1" t="s">
        <v>812</v>
      </c>
      <c r="AE27" s="7" t="s">
        <v>1099</v>
      </c>
      <c r="AF27" s="1">
        <v>9</v>
      </c>
      <c r="AG27" s="1">
        <v>118103</v>
      </c>
      <c r="AH27" s="1">
        <v>30</v>
      </c>
      <c r="AI27" s="1">
        <v>100</v>
      </c>
      <c r="AJ27" s="1" t="str">
        <f>AF27&amp;"@"&amp;AG27&amp;";"&amp;AH27&amp;";"&amp;AI27</f>
        <v>9@118103;30;100</v>
      </c>
      <c r="AK27" s="1" t="s">
        <v>812</v>
      </c>
      <c r="AM27" s="7" t="s">
        <v>1100</v>
      </c>
      <c r="AN27" s="1">
        <v>9</v>
      </c>
      <c r="AO27" s="1">
        <v>118103</v>
      </c>
      <c r="AP27" s="1">
        <v>50</v>
      </c>
      <c r="AQ27" s="1">
        <v>150</v>
      </c>
      <c r="AR27" s="1" t="str">
        <f>AN27&amp;"@"&amp;AO27&amp;";"&amp;AP27&amp;";"&amp;AQ27</f>
        <v>9@118103;50;150</v>
      </c>
    </row>
    <row r="28" spans="4:44" s="1" customFormat="1" ht="20.100000000000001" customHeight="1">
      <c r="W28" s="7" t="s">
        <v>1101</v>
      </c>
      <c r="X28" s="1">
        <v>9</v>
      </c>
      <c r="Y28" s="1">
        <v>118203</v>
      </c>
      <c r="Z28" s="1">
        <v>10</v>
      </c>
      <c r="AA28" s="1">
        <v>60</v>
      </c>
      <c r="AB28" s="1" t="str">
        <f t="shared" ref="AB28:AB29" si="7">X28&amp;"@"&amp;Y28&amp;";"&amp;Z28&amp;";"&amp;AA28</f>
        <v>9@118203;10;60</v>
      </c>
      <c r="AE28" s="7" t="s">
        <v>1102</v>
      </c>
      <c r="AF28" s="1">
        <v>9</v>
      </c>
      <c r="AG28" s="1">
        <v>118203</v>
      </c>
      <c r="AH28" s="1">
        <v>30</v>
      </c>
      <c r="AI28" s="1">
        <v>75</v>
      </c>
      <c r="AJ28" s="1" t="str">
        <f t="shared" ref="AJ28:AJ29" si="8">AF28&amp;"@"&amp;AG28&amp;";"&amp;AH28&amp;";"&amp;AI28</f>
        <v>9@118203;30;75</v>
      </c>
      <c r="AM28" s="7" t="s">
        <v>1103</v>
      </c>
      <c r="AN28" s="1">
        <v>9</v>
      </c>
      <c r="AO28" s="1">
        <v>118203</v>
      </c>
      <c r="AP28" s="1">
        <v>50</v>
      </c>
      <c r="AQ28" s="1">
        <v>150</v>
      </c>
      <c r="AR28" s="1" t="str">
        <f t="shared" ref="AR28:AR29" si="9">AN28&amp;"@"&amp;AO28&amp;";"&amp;AP28&amp;";"&amp;AQ28</f>
        <v>9@118203;50;150</v>
      </c>
    </row>
    <row r="29" spans="4:44" s="1" customFormat="1" ht="20.100000000000001" customHeight="1">
      <c r="D29" s="1">
        <v>61011204</v>
      </c>
      <c r="E29" s="1" t="s">
        <v>111</v>
      </c>
      <c r="I29" s="1" t="s">
        <v>1104</v>
      </c>
      <c r="J29" s="1" t="s">
        <v>1105</v>
      </c>
      <c r="L29" s="1" t="s">
        <v>1106</v>
      </c>
      <c r="M29" s="7" t="s">
        <v>1107</v>
      </c>
      <c r="Q29" s="1" t="s">
        <v>1108</v>
      </c>
      <c r="R29" s="7" t="s">
        <v>1109</v>
      </c>
      <c r="W29" s="44" t="s">
        <v>1110</v>
      </c>
      <c r="X29" s="43">
        <v>9</v>
      </c>
      <c r="Y29" s="1">
        <v>203603</v>
      </c>
      <c r="Z29" s="1">
        <v>0.01</v>
      </c>
      <c r="AA29" s="1">
        <v>0.03</v>
      </c>
      <c r="AB29" s="1" t="str">
        <f t="shared" si="7"/>
        <v>9@203603;0.01;0.03</v>
      </c>
      <c r="AE29" s="44" t="s">
        <v>1111</v>
      </c>
      <c r="AF29" s="43">
        <v>9</v>
      </c>
      <c r="AG29" s="1">
        <v>205003</v>
      </c>
      <c r="AH29" s="1">
        <v>0.01</v>
      </c>
      <c r="AI29" s="1">
        <v>0.03</v>
      </c>
      <c r="AJ29" s="1" t="str">
        <f t="shared" si="8"/>
        <v>9@205003;0.01;0.03</v>
      </c>
      <c r="AK29" s="43"/>
      <c r="AL29" s="43"/>
      <c r="AM29" s="44" t="s">
        <v>1112</v>
      </c>
      <c r="AN29" s="43">
        <v>9</v>
      </c>
      <c r="AO29" s="1">
        <v>110303</v>
      </c>
      <c r="AP29" s="1">
        <v>50</v>
      </c>
      <c r="AQ29" s="1">
        <v>150</v>
      </c>
      <c r="AR29" s="1" t="str">
        <f t="shared" si="9"/>
        <v>9@110303;50;150</v>
      </c>
    </row>
    <row r="30" spans="4:44" s="1" customFormat="1" ht="20.100000000000001" customHeight="1">
      <c r="D30" s="1">
        <v>61012204</v>
      </c>
      <c r="E30" s="1" t="s">
        <v>1113</v>
      </c>
      <c r="I30" s="1" t="s">
        <v>1104</v>
      </c>
      <c r="J30" s="1" t="s">
        <v>1114</v>
      </c>
      <c r="L30" s="1" t="s">
        <v>1115</v>
      </c>
      <c r="M30" s="7" t="s">
        <v>1116</v>
      </c>
      <c r="Q30" s="1" t="s">
        <v>1117</v>
      </c>
      <c r="R30" s="7" t="s">
        <v>1118</v>
      </c>
    </row>
    <row r="31" spans="4:44" s="1" customFormat="1" ht="20.100000000000001" customHeight="1">
      <c r="G31" s="1" t="s">
        <v>1119</v>
      </c>
      <c r="I31" s="1" t="s">
        <v>1104</v>
      </c>
      <c r="J31" s="1" t="s">
        <v>1120</v>
      </c>
      <c r="L31" s="1" t="s">
        <v>1121</v>
      </c>
      <c r="M31" s="7" t="s">
        <v>1122</v>
      </c>
      <c r="U31" s="1" t="s">
        <v>795</v>
      </c>
      <c r="W31" s="7" t="s">
        <v>1123</v>
      </c>
      <c r="X31" s="1">
        <v>8</v>
      </c>
      <c r="Y31" s="1">
        <v>105403</v>
      </c>
      <c r="Z31" s="1">
        <v>3</v>
      </c>
      <c r="AA31" s="1">
        <v>12</v>
      </c>
      <c r="AB31" s="1" t="str">
        <f>X31&amp;"@"&amp;Y31&amp;";"&amp;Z31&amp;";"&amp;AA31</f>
        <v>8@105403;3;12</v>
      </c>
      <c r="AC31" s="1" t="s">
        <v>795</v>
      </c>
      <c r="AE31" s="7" t="s">
        <v>1124</v>
      </c>
      <c r="AF31" s="1">
        <v>8</v>
      </c>
      <c r="AG31" s="1">
        <v>105403</v>
      </c>
      <c r="AH31" s="1">
        <v>5</v>
      </c>
      <c r="AI31" s="1">
        <v>20</v>
      </c>
      <c r="AJ31" s="1" t="str">
        <f>AF31&amp;"@"&amp;AG31&amp;";"&amp;AH31&amp;";"&amp;AI31</f>
        <v>8@105403;5;20</v>
      </c>
      <c r="AK31" s="1" t="s">
        <v>795</v>
      </c>
      <c r="AM31" s="7" t="s">
        <v>1125</v>
      </c>
      <c r="AN31" s="1">
        <v>8</v>
      </c>
      <c r="AO31" s="1">
        <v>105403</v>
      </c>
      <c r="AP31" s="1">
        <v>8</v>
      </c>
      <c r="AQ31" s="1">
        <v>30</v>
      </c>
      <c r="AR31" s="1" t="str">
        <f>AN31&amp;"@"&amp;AO31&amp;";"&amp;AP31&amp;";"&amp;AQ31</f>
        <v>8@105403;8;30</v>
      </c>
    </row>
    <row r="32" spans="4:44" s="1" customFormat="1" ht="20.100000000000001" customHeight="1">
      <c r="I32" s="1" t="s">
        <v>1104</v>
      </c>
      <c r="J32" s="1" t="s">
        <v>1126</v>
      </c>
      <c r="L32" s="1" t="s">
        <v>1127</v>
      </c>
      <c r="M32" s="7" t="s">
        <v>1128</v>
      </c>
      <c r="W32" s="7" t="s">
        <v>1129</v>
      </c>
      <c r="X32" s="1">
        <v>8</v>
      </c>
      <c r="Y32" s="1">
        <v>105203</v>
      </c>
      <c r="Z32" s="1">
        <v>3</v>
      </c>
      <c r="AA32" s="1">
        <v>12</v>
      </c>
      <c r="AB32" s="1" t="str">
        <f t="shared" ref="AB32:AB34" si="10">X32&amp;"@"&amp;Y32&amp;";"&amp;Z32&amp;";"&amp;AA32</f>
        <v>8@105203;3;12</v>
      </c>
      <c r="AE32" s="7" t="s">
        <v>1130</v>
      </c>
      <c r="AF32" s="1">
        <v>8</v>
      </c>
      <c r="AG32" s="1">
        <v>105203</v>
      </c>
      <c r="AH32" s="1">
        <v>5</v>
      </c>
      <c r="AI32" s="1">
        <v>20</v>
      </c>
      <c r="AJ32" s="1" t="str">
        <f t="shared" ref="AJ32:AJ34" si="11">AF32&amp;"@"&amp;AG32&amp;";"&amp;AH32&amp;";"&amp;AI32</f>
        <v>8@105203;5;20</v>
      </c>
      <c r="AM32" s="7" t="s">
        <v>1131</v>
      </c>
      <c r="AN32" s="1">
        <v>8</v>
      </c>
      <c r="AO32" s="1">
        <v>105203</v>
      </c>
      <c r="AP32" s="1">
        <v>8</v>
      </c>
      <c r="AQ32" s="1">
        <v>30</v>
      </c>
      <c r="AR32" s="1" t="str">
        <f t="shared" ref="AR32:AR34" si="12">AN32&amp;"@"&amp;AO32&amp;";"&amp;AP32&amp;";"&amp;AQ32</f>
        <v>8@105203;8;30</v>
      </c>
    </row>
    <row r="33" spans="2:44" s="1" customFormat="1" ht="20.100000000000001" customHeight="1">
      <c r="W33" s="7" t="s">
        <v>1132</v>
      </c>
      <c r="X33" s="1">
        <v>8</v>
      </c>
      <c r="Y33" s="1">
        <v>105503</v>
      </c>
      <c r="Z33" s="1">
        <v>3</v>
      </c>
      <c r="AA33" s="1">
        <v>12</v>
      </c>
      <c r="AB33" s="1" t="str">
        <f t="shared" si="10"/>
        <v>8@105503;3;12</v>
      </c>
      <c r="AE33" s="7" t="s">
        <v>1133</v>
      </c>
      <c r="AF33" s="1">
        <v>8</v>
      </c>
      <c r="AG33" s="1">
        <v>105503</v>
      </c>
      <c r="AH33" s="1">
        <v>5</v>
      </c>
      <c r="AI33" s="1">
        <v>20</v>
      </c>
      <c r="AJ33" s="1" t="str">
        <f t="shared" si="11"/>
        <v>8@105503;5;20</v>
      </c>
      <c r="AM33" s="7" t="s">
        <v>1134</v>
      </c>
      <c r="AN33" s="1">
        <v>8</v>
      </c>
      <c r="AO33" s="1">
        <v>105503</v>
      </c>
      <c r="AP33" s="1">
        <v>8</v>
      </c>
      <c r="AQ33" s="1">
        <v>30</v>
      </c>
      <c r="AR33" s="1" t="str">
        <f t="shared" si="12"/>
        <v>8@105503;8;30</v>
      </c>
    </row>
    <row r="34" spans="2:44" s="1" customFormat="1" ht="20.100000000000001" customHeight="1">
      <c r="W34" s="44" t="s">
        <v>1135</v>
      </c>
      <c r="X34" s="43">
        <v>8</v>
      </c>
      <c r="Y34" s="1">
        <v>200203</v>
      </c>
      <c r="Z34" s="1">
        <v>0.01</v>
      </c>
      <c r="AA34" s="1">
        <v>0.03</v>
      </c>
      <c r="AB34" s="1" t="str">
        <f t="shared" si="10"/>
        <v>8@200203;0.01;0.03</v>
      </c>
      <c r="AE34" s="44" t="s">
        <v>1110</v>
      </c>
      <c r="AF34" s="43">
        <v>8</v>
      </c>
      <c r="AG34" s="1">
        <v>203603</v>
      </c>
      <c r="AH34" s="1">
        <v>0.01</v>
      </c>
      <c r="AI34" s="1">
        <v>0.03</v>
      </c>
      <c r="AJ34" s="1" t="str">
        <f t="shared" si="11"/>
        <v>8@203603;0.01;0.03</v>
      </c>
      <c r="AK34" s="43"/>
      <c r="AL34" s="43"/>
      <c r="AM34" s="44" t="s">
        <v>1136</v>
      </c>
      <c r="AN34" s="43">
        <v>8</v>
      </c>
      <c r="AO34" s="1">
        <v>100202</v>
      </c>
      <c r="AP34" s="1">
        <v>0.01</v>
      </c>
      <c r="AQ34" s="1">
        <v>0.03</v>
      </c>
      <c r="AR34" s="1" t="str">
        <f t="shared" si="12"/>
        <v>8@100202;0.01;0.03</v>
      </c>
    </row>
    <row r="35" spans="2:44" s="1" customFormat="1" ht="20.100000000000001" customHeight="1"/>
    <row r="36" spans="2:44" s="1" customFormat="1" ht="20.100000000000001" customHeight="1">
      <c r="G36" s="1" t="s">
        <v>1137</v>
      </c>
      <c r="U36" s="1" t="s">
        <v>816</v>
      </c>
      <c r="W36" s="7" t="s">
        <v>1138</v>
      </c>
      <c r="X36" s="1">
        <v>7</v>
      </c>
      <c r="Y36" s="1">
        <v>105103</v>
      </c>
      <c r="Z36" s="1">
        <v>3</v>
      </c>
      <c r="AA36" s="1">
        <v>12</v>
      </c>
      <c r="AB36" s="1" t="str">
        <f>X36&amp;"@"&amp;Y36&amp;";"&amp;Z36&amp;";"&amp;AA36</f>
        <v>7@105103;3;12</v>
      </c>
      <c r="AC36" s="1" t="s">
        <v>816</v>
      </c>
      <c r="AE36" s="7" t="s">
        <v>1139</v>
      </c>
      <c r="AF36" s="1">
        <v>7</v>
      </c>
      <c r="AG36" s="1">
        <v>105103</v>
      </c>
      <c r="AH36" s="1">
        <v>5</v>
      </c>
      <c r="AI36" s="1">
        <v>20</v>
      </c>
      <c r="AJ36" s="1" t="str">
        <f>AF36&amp;"@"&amp;AG36&amp;";"&amp;AH36&amp;";"&amp;AI36</f>
        <v>7@105103;5;20</v>
      </c>
      <c r="AK36" s="1" t="s">
        <v>816</v>
      </c>
      <c r="AM36" s="7" t="s">
        <v>1140</v>
      </c>
      <c r="AN36" s="1">
        <v>7</v>
      </c>
      <c r="AO36" s="1">
        <v>105103</v>
      </c>
      <c r="AP36" s="1">
        <v>8</v>
      </c>
      <c r="AQ36" s="1">
        <v>30</v>
      </c>
      <c r="AR36" s="1" t="str">
        <f>AN36&amp;"@"&amp;AO36&amp;";"&amp;AP36&amp;";"&amp;AQ36</f>
        <v>7@105103;8;30</v>
      </c>
    </row>
    <row r="37" spans="2:44" s="1" customFormat="1" ht="20.100000000000001" customHeight="1">
      <c r="W37" s="7" t="s">
        <v>1141</v>
      </c>
      <c r="X37" s="1">
        <v>7</v>
      </c>
      <c r="Y37" s="1">
        <v>105303</v>
      </c>
      <c r="Z37" s="1">
        <v>3</v>
      </c>
      <c r="AA37" s="1">
        <v>12</v>
      </c>
      <c r="AB37" s="1" t="str">
        <f t="shared" ref="AB37:AB39" si="13">X37&amp;"@"&amp;Y37&amp;";"&amp;Z37&amp;";"&amp;AA37</f>
        <v>7@105303;3;12</v>
      </c>
      <c r="AE37" s="7" t="s">
        <v>1142</v>
      </c>
      <c r="AF37" s="1">
        <v>7</v>
      </c>
      <c r="AG37" s="1">
        <v>105303</v>
      </c>
      <c r="AH37" s="1">
        <v>5</v>
      </c>
      <c r="AI37" s="1">
        <v>20</v>
      </c>
      <c r="AJ37" s="1" t="str">
        <f t="shared" ref="AJ37:AJ39" si="14">AF37&amp;"@"&amp;AG37&amp;";"&amp;AH37&amp;";"&amp;AI37</f>
        <v>7@105303;5;20</v>
      </c>
      <c r="AM37" s="7" t="s">
        <v>1143</v>
      </c>
      <c r="AN37" s="1">
        <v>7</v>
      </c>
      <c r="AO37" s="1">
        <v>105303</v>
      </c>
      <c r="AP37" s="1">
        <v>8</v>
      </c>
      <c r="AQ37" s="1">
        <v>30</v>
      </c>
      <c r="AR37" s="1" t="str">
        <f t="shared" ref="AR37:AR39" si="15">AN37&amp;"@"&amp;AO37&amp;";"&amp;AP37&amp;";"&amp;AQ37</f>
        <v>7@105303;8;30</v>
      </c>
    </row>
    <row r="38" spans="2:44" s="1" customFormat="1" ht="20.100000000000001" customHeight="1">
      <c r="W38" s="7" t="s">
        <v>1132</v>
      </c>
      <c r="X38" s="1">
        <v>7</v>
      </c>
      <c r="Y38" s="1">
        <v>105503</v>
      </c>
      <c r="Z38" s="1">
        <v>3</v>
      </c>
      <c r="AA38" s="1">
        <v>12</v>
      </c>
      <c r="AB38" s="1" t="str">
        <f t="shared" si="13"/>
        <v>7@105503;3;12</v>
      </c>
      <c r="AE38" s="7" t="s">
        <v>1133</v>
      </c>
      <c r="AF38" s="1">
        <v>7</v>
      </c>
      <c r="AG38" s="1">
        <v>105503</v>
      </c>
      <c r="AH38" s="1">
        <v>5</v>
      </c>
      <c r="AI38" s="1">
        <v>20</v>
      </c>
      <c r="AJ38" s="1" t="str">
        <f t="shared" si="14"/>
        <v>7@105503;5;20</v>
      </c>
      <c r="AM38" s="7" t="s">
        <v>1134</v>
      </c>
      <c r="AN38" s="1">
        <v>7</v>
      </c>
      <c r="AO38" s="1">
        <v>105503</v>
      </c>
      <c r="AP38" s="1">
        <v>8</v>
      </c>
      <c r="AQ38" s="1">
        <v>30</v>
      </c>
      <c r="AR38" s="1" t="str">
        <f t="shared" si="15"/>
        <v>7@105503;8;30</v>
      </c>
    </row>
    <row r="39" spans="2:44" s="1" customFormat="1" ht="20.100000000000001" customHeight="1">
      <c r="W39" s="44" t="s">
        <v>1144</v>
      </c>
      <c r="X39" s="43">
        <v>7</v>
      </c>
      <c r="Y39" s="1">
        <v>110303</v>
      </c>
      <c r="Z39" s="1">
        <v>10</v>
      </c>
      <c r="AA39" s="1">
        <v>60</v>
      </c>
      <c r="AB39" s="1" t="str">
        <f t="shared" si="13"/>
        <v>7@110303;10;60</v>
      </c>
      <c r="AE39" s="44" t="s">
        <v>1145</v>
      </c>
      <c r="AF39" s="43">
        <v>7</v>
      </c>
      <c r="AG39" s="1">
        <v>200503</v>
      </c>
      <c r="AH39" s="1">
        <v>0.01</v>
      </c>
      <c r="AI39" s="1">
        <v>0.03</v>
      </c>
      <c r="AJ39" s="1" t="str">
        <f t="shared" si="14"/>
        <v>7@200503;0.01;0.03</v>
      </c>
      <c r="AK39" s="43"/>
      <c r="AL39" s="43"/>
      <c r="AM39" s="44" t="s">
        <v>1146</v>
      </c>
      <c r="AN39" s="43">
        <v>7</v>
      </c>
      <c r="AO39" s="1">
        <v>200603</v>
      </c>
      <c r="AP39" s="1">
        <v>0.01</v>
      </c>
      <c r="AQ39" s="1">
        <v>0.03</v>
      </c>
      <c r="AR39" s="1" t="str">
        <f t="shared" si="15"/>
        <v>7@200603;0.01;0.03</v>
      </c>
    </row>
    <row r="40" spans="2:44" s="1" customFormat="1" ht="20.100000000000001" customHeight="1">
      <c r="B40" s="40">
        <v>14060005</v>
      </c>
      <c r="C40" s="41" t="s">
        <v>1147</v>
      </c>
      <c r="D40" s="1" t="s">
        <v>996</v>
      </c>
      <c r="E40" s="1" t="str">
        <f>"效果:"&amp;D40</f>
        <v>效果:攻击速度提升5%</v>
      </c>
      <c r="F40" s="1">
        <v>1</v>
      </c>
      <c r="G40" s="1">
        <v>119103</v>
      </c>
      <c r="H40" s="1">
        <v>50</v>
      </c>
      <c r="I40" s="1">
        <v>200</v>
      </c>
      <c r="J40" s="1" t="str">
        <f t="shared" ref="J40:J51" si="16">F40&amp;"@"&amp;G40&amp;";"&amp;H40&amp;";"&amp;I40</f>
        <v>1@119103;50;200</v>
      </c>
      <c r="K40" s="1">
        <v>11</v>
      </c>
      <c r="L40" s="1">
        <v>120703</v>
      </c>
      <c r="M40" s="1">
        <v>10</v>
      </c>
      <c r="N40" s="1">
        <v>50</v>
      </c>
      <c r="O40" s="7" t="str">
        <f t="shared" ref="O40:O51" si="17">K40&amp;"@"&amp;L40&amp;";"&amp;M40&amp;";"&amp;N40</f>
        <v>11@120703;10;50</v>
      </c>
    </row>
    <row r="41" spans="2:44" s="1" customFormat="1" ht="20.100000000000001" customHeight="1">
      <c r="B41" s="42">
        <v>14100011</v>
      </c>
      <c r="C41" s="41" t="s">
        <v>1148</v>
      </c>
      <c r="D41" s="1" t="s">
        <v>1149</v>
      </c>
      <c r="E41" s="1" t="str">
        <f>"效果:"&amp;D41</f>
        <v>效果:旋风击+1</v>
      </c>
      <c r="F41" s="1">
        <v>1</v>
      </c>
      <c r="G41" s="1">
        <v>119303</v>
      </c>
      <c r="H41" s="1">
        <v>50</v>
      </c>
      <c r="I41" s="1">
        <v>200</v>
      </c>
      <c r="J41" s="1" t="str">
        <f t="shared" si="16"/>
        <v>1@119303;50;200</v>
      </c>
      <c r="K41" s="1">
        <v>11</v>
      </c>
      <c r="L41" s="1">
        <v>120703</v>
      </c>
      <c r="M41" s="1">
        <v>10</v>
      </c>
      <c r="N41" s="1">
        <v>50</v>
      </c>
      <c r="O41" s="7" t="str">
        <f t="shared" si="17"/>
        <v>11@120703;10;50</v>
      </c>
      <c r="U41" s="1" t="s">
        <v>885</v>
      </c>
      <c r="W41" s="7" t="s">
        <v>1150</v>
      </c>
      <c r="X41" s="1">
        <v>6</v>
      </c>
      <c r="Y41" s="1">
        <v>100503</v>
      </c>
      <c r="Z41" s="1">
        <v>10</v>
      </c>
      <c r="AA41" s="1">
        <v>60</v>
      </c>
      <c r="AB41" s="1" t="str">
        <f>X41&amp;"@"&amp;Y41&amp;";"&amp;Z41&amp;";"&amp;AA41</f>
        <v>6@100503;10;60</v>
      </c>
      <c r="AC41" s="1" t="s">
        <v>885</v>
      </c>
      <c r="AE41" s="7" t="s">
        <v>1151</v>
      </c>
      <c r="AF41" s="1">
        <v>6</v>
      </c>
      <c r="AG41" s="1">
        <v>100503</v>
      </c>
      <c r="AH41" s="1">
        <v>30</v>
      </c>
      <c r="AI41" s="1">
        <v>100</v>
      </c>
      <c r="AJ41" s="1" t="str">
        <f>AF41&amp;"@"&amp;AG41&amp;";"&amp;AH41&amp;";"&amp;AI41</f>
        <v>6@100503;30;100</v>
      </c>
      <c r="AK41" s="1" t="s">
        <v>885</v>
      </c>
      <c r="AM41" s="7" t="s">
        <v>1152</v>
      </c>
      <c r="AN41" s="1">
        <v>6</v>
      </c>
      <c r="AO41" s="1">
        <v>100503</v>
      </c>
      <c r="AP41" s="1">
        <v>50</v>
      </c>
      <c r="AQ41" s="1">
        <v>150</v>
      </c>
      <c r="AR41" s="1" t="str">
        <f>AN41&amp;"@"&amp;AO41&amp;";"&amp;AP41&amp;";"&amp;AQ41</f>
        <v>6@100503;50;150</v>
      </c>
    </row>
    <row r="42" spans="2:44" s="1" customFormat="1" ht="20.100000000000001" customHeight="1">
      <c r="B42" s="42">
        <v>14100012</v>
      </c>
      <c r="C42" s="41" t="s">
        <v>1153</v>
      </c>
      <c r="D42" s="1" t="s">
        <v>1154</v>
      </c>
      <c r="E42" s="1" t="str">
        <f t="shared" ref="E42:E57" si="18">"效果:"&amp;D42</f>
        <v>效果:攻击恢复当前造成伤害的5%</v>
      </c>
      <c r="F42" s="43">
        <v>1</v>
      </c>
      <c r="G42" s="1">
        <v>119403</v>
      </c>
      <c r="H42" s="1">
        <v>50</v>
      </c>
      <c r="I42" s="1">
        <v>200</v>
      </c>
      <c r="J42" s="1" t="str">
        <f t="shared" si="16"/>
        <v>1@119403;50;200</v>
      </c>
      <c r="K42" s="1">
        <v>4</v>
      </c>
      <c r="L42" s="1">
        <v>120603</v>
      </c>
      <c r="M42" s="1">
        <v>10</v>
      </c>
      <c r="N42" s="1">
        <v>50</v>
      </c>
      <c r="O42" s="7" t="str">
        <f t="shared" si="17"/>
        <v>4@120603;10;50</v>
      </c>
      <c r="W42" s="7" t="s">
        <v>1155</v>
      </c>
      <c r="X42" s="1">
        <v>6</v>
      </c>
      <c r="Y42" s="1">
        <v>100603</v>
      </c>
      <c r="Z42" s="1">
        <v>10</v>
      </c>
      <c r="AA42" s="1">
        <v>60</v>
      </c>
      <c r="AB42" s="1" t="str">
        <f t="shared" ref="AB42:AB43" si="19">X42&amp;"@"&amp;Y42&amp;";"&amp;Z42&amp;";"&amp;AA42</f>
        <v>6@100603;10;60</v>
      </c>
      <c r="AE42" s="7" t="s">
        <v>1156</v>
      </c>
      <c r="AF42" s="1">
        <v>6</v>
      </c>
      <c r="AG42" s="1">
        <v>100603</v>
      </c>
      <c r="AH42" s="1">
        <v>30</v>
      </c>
      <c r="AI42" s="1">
        <v>100</v>
      </c>
      <c r="AJ42" s="1" t="str">
        <f t="shared" ref="AJ42:AJ43" si="20">AF42&amp;"@"&amp;AG42&amp;";"&amp;AH42&amp;";"&amp;AI42</f>
        <v>6@100603;30;100</v>
      </c>
      <c r="AM42" s="7" t="s">
        <v>1157</v>
      </c>
      <c r="AN42" s="1">
        <v>6</v>
      </c>
      <c r="AO42" s="1">
        <v>100603</v>
      </c>
      <c r="AP42" s="1">
        <v>50</v>
      </c>
      <c r="AQ42" s="1">
        <v>150</v>
      </c>
      <c r="AR42" s="1" t="str">
        <f t="shared" ref="AR42:AR43" si="21">AN42&amp;"@"&amp;AO42&amp;";"&amp;AP42&amp;";"&amp;AQ42</f>
        <v>6@100603;50;150</v>
      </c>
    </row>
    <row r="43" spans="2:44" s="1" customFormat="1" ht="20.100000000000001" customHeight="1">
      <c r="B43" s="40">
        <v>14100111</v>
      </c>
      <c r="C43" s="41" t="s">
        <v>1158</v>
      </c>
      <c r="D43" s="1" t="s">
        <v>1159</v>
      </c>
      <c r="E43" s="1" t="str">
        <f t="shared" si="18"/>
        <v>效果:攻击概率提升自身10%攻击,持续6秒</v>
      </c>
      <c r="F43" s="43">
        <v>1</v>
      </c>
      <c r="G43" s="1">
        <v>119203</v>
      </c>
      <c r="H43" s="1">
        <v>50</v>
      </c>
      <c r="I43" s="1">
        <v>200</v>
      </c>
      <c r="J43" s="1" t="str">
        <f t="shared" si="16"/>
        <v>1@119203;50;200</v>
      </c>
      <c r="K43" s="1">
        <v>4</v>
      </c>
      <c r="L43" s="1">
        <v>120603</v>
      </c>
      <c r="M43" s="1">
        <v>10</v>
      </c>
      <c r="N43" s="1">
        <v>50</v>
      </c>
      <c r="O43" s="7" t="str">
        <f t="shared" si="17"/>
        <v>4@120603;10;50</v>
      </c>
      <c r="V43" s="43" t="s">
        <v>1160</v>
      </c>
      <c r="W43" s="44" t="s">
        <v>1161</v>
      </c>
      <c r="X43" s="43">
        <v>6</v>
      </c>
      <c r="Y43" s="1">
        <v>100903</v>
      </c>
      <c r="Z43" s="1">
        <v>0.01</v>
      </c>
      <c r="AA43" s="1">
        <v>0.03</v>
      </c>
      <c r="AB43" s="1" t="str">
        <f t="shared" si="19"/>
        <v>6@100903;0.01;0.03</v>
      </c>
      <c r="AE43" s="44" t="s">
        <v>1162</v>
      </c>
      <c r="AF43" s="43">
        <v>6</v>
      </c>
      <c r="AG43" s="1">
        <v>200103</v>
      </c>
      <c r="AH43" s="1">
        <v>0.01</v>
      </c>
      <c r="AI43" s="1">
        <v>0.03</v>
      </c>
      <c r="AJ43" s="1" t="str">
        <f t="shared" si="20"/>
        <v>6@200103;0.01;0.03</v>
      </c>
      <c r="AM43" s="44" t="s">
        <v>1163</v>
      </c>
      <c r="AN43" s="43">
        <v>6</v>
      </c>
      <c r="AO43" s="1">
        <v>200303</v>
      </c>
      <c r="AP43" s="1">
        <v>0.01</v>
      </c>
      <c r="AQ43" s="1">
        <v>0.03</v>
      </c>
      <c r="AR43" s="1" t="str">
        <f t="shared" si="21"/>
        <v>6@200303;0.01;0.03</v>
      </c>
    </row>
    <row r="44" spans="2:44" s="1" customFormat="1" ht="20.100000000000001" customHeight="1">
      <c r="B44" s="40">
        <v>14100112</v>
      </c>
      <c r="C44" s="41" t="s">
        <v>1164</v>
      </c>
      <c r="D44" s="1" t="s">
        <v>1165</v>
      </c>
      <c r="E44" s="1" t="str">
        <f t="shared" si="18"/>
        <v>效果:守护之击+1</v>
      </c>
      <c r="F44" s="1">
        <v>1</v>
      </c>
      <c r="G44" s="1">
        <v>119103</v>
      </c>
      <c r="H44" s="1">
        <v>100</v>
      </c>
      <c r="I44" s="1">
        <v>250</v>
      </c>
      <c r="J44" s="1" t="str">
        <f t="shared" si="16"/>
        <v>1@119103;100;250</v>
      </c>
      <c r="K44" s="1">
        <v>11</v>
      </c>
      <c r="L44" s="1">
        <v>120703</v>
      </c>
      <c r="M44" s="1">
        <v>30</v>
      </c>
      <c r="N44" s="1">
        <v>80</v>
      </c>
      <c r="O44" s="7" t="str">
        <f t="shared" si="17"/>
        <v>11@120703;30;80</v>
      </c>
    </row>
    <row r="45" spans="2:44" s="1" customFormat="1" ht="20.100000000000001" customHeight="1">
      <c r="B45" s="40">
        <v>14110021</v>
      </c>
      <c r="C45" s="41" t="s">
        <v>1166</v>
      </c>
      <c r="D45" s="1" t="s">
        <v>1167</v>
      </c>
      <c r="E45" s="1" t="str">
        <f t="shared" si="18"/>
        <v>效果:有5%概率躲避敌人的法术攻击</v>
      </c>
      <c r="F45" s="1">
        <v>1</v>
      </c>
      <c r="G45" s="1">
        <v>119303</v>
      </c>
      <c r="H45" s="1">
        <v>100</v>
      </c>
      <c r="I45" s="1">
        <v>250</v>
      </c>
      <c r="J45" s="1" t="str">
        <f t="shared" si="16"/>
        <v>1@119303;100;250</v>
      </c>
      <c r="K45" s="1">
        <v>11</v>
      </c>
      <c r="L45" s="1">
        <v>120703</v>
      </c>
      <c r="M45" s="1">
        <v>30</v>
      </c>
      <c r="N45" s="1">
        <v>80</v>
      </c>
      <c r="O45" s="7" t="str">
        <f t="shared" si="17"/>
        <v>11@120703;30;80</v>
      </c>
    </row>
    <row r="46" spans="2:44" s="1" customFormat="1" ht="20.100000000000001" customHeight="1">
      <c r="B46" s="40">
        <v>14110022</v>
      </c>
      <c r="C46" s="41" t="s">
        <v>1168</v>
      </c>
      <c r="D46" s="1" t="s">
        <v>1169</v>
      </c>
      <c r="E46" s="1" t="str">
        <f t="shared" si="18"/>
        <v>效果:有5%概率躲避敌人的物理攻击</v>
      </c>
      <c r="F46" s="43">
        <v>1</v>
      </c>
      <c r="G46" s="1">
        <v>119403</v>
      </c>
      <c r="H46" s="1">
        <v>100</v>
      </c>
      <c r="I46" s="1">
        <v>250</v>
      </c>
      <c r="J46" s="1" t="str">
        <f t="shared" si="16"/>
        <v>1@119403;100;250</v>
      </c>
      <c r="K46" s="1">
        <v>4</v>
      </c>
      <c r="L46" s="1">
        <v>120603</v>
      </c>
      <c r="M46" s="1">
        <v>30</v>
      </c>
      <c r="N46" s="1">
        <v>80</v>
      </c>
      <c r="O46" s="7" t="str">
        <f t="shared" si="17"/>
        <v>4@120603;30;80</v>
      </c>
    </row>
    <row r="47" spans="2:44" s="1" customFormat="1" ht="20.100000000000001" customHeight="1">
      <c r="B47" s="40">
        <v>14110023</v>
      </c>
      <c r="C47" s="41" t="s">
        <v>1170</v>
      </c>
      <c r="D47" s="1" t="s">
        <v>1171</v>
      </c>
      <c r="E47" s="1" t="str">
        <f t="shared" si="18"/>
        <v>效果:提升自身5%的最大生命值</v>
      </c>
      <c r="F47" s="43">
        <v>1</v>
      </c>
      <c r="G47" s="1">
        <v>119203</v>
      </c>
      <c r="H47" s="1">
        <v>100</v>
      </c>
      <c r="I47" s="1">
        <v>250</v>
      </c>
      <c r="J47" s="1" t="str">
        <f t="shared" si="16"/>
        <v>1@119203;100;250</v>
      </c>
      <c r="K47" s="1">
        <v>4</v>
      </c>
      <c r="L47" s="1">
        <v>120603</v>
      </c>
      <c r="M47" s="1">
        <v>30</v>
      </c>
      <c r="N47" s="1">
        <v>80</v>
      </c>
      <c r="O47" s="7" t="str">
        <f t="shared" si="17"/>
        <v>4@120603;30;80</v>
      </c>
    </row>
    <row r="48" spans="2:44" s="1" customFormat="1" ht="20.100000000000001" customHeight="1">
      <c r="F48" s="1">
        <v>1</v>
      </c>
      <c r="G48" s="1">
        <v>119103</v>
      </c>
      <c r="H48" s="1">
        <v>150</v>
      </c>
      <c r="I48" s="1">
        <v>300</v>
      </c>
      <c r="J48" s="1" t="str">
        <f t="shared" si="16"/>
        <v>1@119103;150;300</v>
      </c>
      <c r="K48" s="1">
        <v>11</v>
      </c>
      <c r="L48" s="1">
        <v>120703</v>
      </c>
      <c r="M48" s="1">
        <v>50</v>
      </c>
      <c r="N48" s="1">
        <v>120</v>
      </c>
      <c r="O48" s="7" t="str">
        <f t="shared" si="17"/>
        <v>11@120703;50;120</v>
      </c>
    </row>
    <row r="49" spans="2:15" s="1" customFormat="1" ht="20.100000000000001" customHeight="1">
      <c r="F49" s="1">
        <v>1</v>
      </c>
      <c r="G49" s="1">
        <v>119303</v>
      </c>
      <c r="H49" s="1">
        <v>150</v>
      </c>
      <c r="I49" s="1">
        <v>300</v>
      </c>
      <c r="J49" s="1" t="str">
        <f t="shared" si="16"/>
        <v>1@119303;150;300</v>
      </c>
      <c r="K49" s="1">
        <v>11</v>
      </c>
      <c r="L49" s="1">
        <v>120703</v>
      </c>
      <c r="M49" s="1">
        <v>50</v>
      </c>
      <c r="N49" s="1">
        <v>120</v>
      </c>
      <c r="O49" s="7" t="str">
        <f t="shared" si="17"/>
        <v>11@120703;50;120</v>
      </c>
    </row>
    <row r="50" spans="2:15" s="1" customFormat="1" ht="20.100000000000001" customHeight="1">
      <c r="B50" s="41">
        <v>15206003</v>
      </c>
      <c r="C50" s="41" t="s">
        <v>1172</v>
      </c>
      <c r="D50" s="1" t="s">
        <v>1173</v>
      </c>
      <c r="E50" s="1" t="str">
        <f t="shared" si="18"/>
        <v>效果:装备:攻击提升100点</v>
      </c>
      <c r="F50" s="43">
        <v>1</v>
      </c>
      <c r="G50" s="1">
        <v>119403</v>
      </c>
      <c r="H50" s="1">
        <v>150</v>
      </c>
      <c r="I50" s="1">
        <v>300</v>
      </c>
      <c r="J50" s="1" t="str">
        <f t="shared" si="16"/>
        <v>1@119403;150;300</v>
      </c>
      <c r="K50" s="1">
        <v>4</v>
      </c>
      <c r="L50" s="1">
        <v>120603</v>
      </c>
      <c r="M50" s="1">
        <v>50</v>
      </c>
      <c r="N50" s="1">
        <v>120</v>
      </c>
      <c r="O50" s="7" t="str">
        <f t="shared" si="17"/>
        <v>4@120603;50;120</v>
      </c>
    </row>
    <row r="51" spans="2:15" ht="20.100000000000001" customHeight="1">
      <c r="B51" s="41">
        <v>15210011</v>
      </c>
      <c r="C51" s="41" t="s">
        <v>1174</v>
      </c>
      <c r="D51" s="1" t="s">
        <v>1175</v>
      </c>
      <c r="E51" s="1" t="str">
        <f t="shared" si="18"/>
        <v>效果:装备:暴击概率提升5%</v>
      </c>
      <c r="F51" s="43">
        <v>1</v>
      </c>
      <c r="G51" s="1">
        <v>119203</v>
      </c>
      <c r="H51" s="1">
        <v>150</v>
      </c>
      <c r="I51" s="1">
        <v>300</v>
      </c>
      <c r="J51" s="1" t="str">
        <f t="shared" si="16"/>
        <v>1@119203;150;300</v>
      </c>
      <c r="K51" s="1">
        <v>4</v>
      </c>
      <c r="L51" s="1">
        <v>120603</v>
      </c>
      <c r="M51" s="1">
        <v>50</v>
      </c>
      <c r="N51" s="1">
        <v>120</v>
      </c>
      <c r="O51" s="7" t="str">
        <f t="shared" si="17"/>
        <v>4@120603;50;120</v>
      </c>
    </row>
    <row r="52" spans="2:15" ht="20.100000000000001" customHeight="1">
      <c r="B52" s="41">
        <v>15210012</v>
      </c>
      <c r="C52" s="41" t="s">
        <v>1176</v>
      </c>
      <c r="D52" s="1" t="s">
        <v>1177</v>
      </c>
      <c r="E52" s="1" t="str">
        <f t="shared" si="18"/>
        <v>效果:使用裂波击技能冷却时间减少2秒</v>
      </c>
    </row>
    <row r="53" spans="2:15" ht="20.100000000000001" customHeight="1">
      <c r="B53" s="41">
        <v>15210111</v>
      </c>
      <c r="C53" s="41" t="s">
        <v>1178</v>
      </c>
      <c r="D53" s="1" t="s">
        <v>1179</v>
      </c>
      <c r="E53" s="1" t="str">
        <f t="shared" si="18"/>
        <v>效果:魔法闪击造成伤害提升50%</v>
      </c>
    </row>
    <row r="54" spans="2:15" ht="20.100000000000001" customHeight="1">
      <c r="B54" s="41">
        <v>15210112</v>
      </c>
      <c r="C54" s="41" t="s">
        <v>1180</v>
      </c>
      <c r="D54" s="1" t="s">
        <v>1181</v>
      </c>
      <c r="E54" s="1" t="str">
        <f t="shared" si="18"/>
        <v>效果:攻击忽略目标5%防御</v>
      </c>
      <c r="J54" s="1"/>
      <c r="K54" s="1"/>
      <c r="L54" s="1"/>
      <c r="M54" s="1"/>
    </row>
    <row r="55" spans="2:15" ht="20.100000000000001" customHeight="1">
      <c r="B55" s="41">
        <v>15211011</v>
      </c>
      <c r="C55" s="41" t="s">
        <v>1182</v>
      </c>
      <c r="D55" s="1" t="s">
        <v>1183</v>
      </c>
      <c r="E55" s="1" t="str">
        <f t="shared" si="18"/>
        <v>效果:所有技能的冷却时间缩减5%</v>
      </c>
    </row>
    <row r="56" spans="2:15" ht="20.100000000000001" customHeight="1">
      <c r="B56" s="41">
        <v>15211012</v>
      </c>
      <c r="C56" s="41" t="s">
        <v>1184</v>
      </c>
      <c r="D56" s="1" t="s">
        <v>1185</v>
      </c>
      <c r="E56" s="1" t="str">
        <f t="shared" si="18"/>
        <v>效果:反击伤害+10%</v>
      </c>
    </row>
    <row r="57" spans="2:15" ht="20.100000000000001" customHeight="1">
      <c r="B57" s="41">
        <v>15211013</v>
      </c>
      <c r="C57" s="41" t="s">
        <v>1186</v>
      </c>
      <c r="D57" s="1" t="s">
        <v>1187</v>
      </c>
      <c r="E57" s="1" t="str">
        <f t="shared" si="18"/>
        <v>效果:受到攻击有一定概率恢复自身的生命值</v>
      </c>
    </row>
    <row r="58" spans="2:15" ht="20.100000000000001" customHeight="1">
      <c r="B58" s="1"/>
      <c r="C58" s="1"/>
      <c r="D58" s="1"/>
      <c r="E58" s="1"/>
    </row>
    <row r="59" spans="2:15" ht="20.100000000000001" customHeight="1">
      <c r="B59" s="41">
        <v>15306003</v>
      </c>
      <c r="C59" s="41" t="s">
        <v>1188</v>
      </c>
      <c r="D59" s="1" t="s">
        <v>716</v>
      </c>
      <c r="E59" s="1" t="str">
        <f t="shared" ref="E59:E86" si="22">"效果:"&amp;D59</f>
        <v>效果:移动速度提升5%</v>
      </c>
    </row>
    <row r="60" spans="2:15" ht="20.100000000000001" customHeight="1">
      <c r="B60" s="41">
        <v>15310011</v>
      </c>
      <c r="C60" s="41" t="s">
        <v>1189</v>
      </c>
      <c r="D60" s="1" t="s">
        <v>1190</v>
      </c>
      <c r="E60" s="1" t="str">
        <f t="shared" si="22"/>
        <v>效果:使用裂地击会附加2秒眩晕效果</v>
      </c>
      <c r="H60" s="1" t="s">
        <v>1159</v>
      </c>
    </row>
    <row r="61" spans="2:15" ht="20.100000000000001" customHeight="1">
      <c r="B61" s="41">
        <v>15310012</v>
      </c>
      <c r="C61" s="41" t="s">
        <v>1191</v>
      </c>
      <c r="D61" s="1" t="s">
        <v>1192</v>
      </c>
      <c r="E61" s="1" t="str">
        <f t="shared" si="22"/>
        <v>效果:使用裂波击技能伤害提升50%</v>
      </c>
    </row>
    <row r="62" spans="2:15" ht="20.100000000000001" customHeight="1">
      <c r="B62" s="41">
        <v>15310111</v>
      </c>
      <c r="C62" s="41" t="s">
        <v>1193</v>
      </c>
      <c r="D62" s="13" t="s">
        <v>1194</v>
      </c>
      <c r="E62" s="1" t="str">
        <f t="shared" si="22"/>
        <v>效果:龙卷雨击+1</v>
      </c>
    </row>
    <row r="63" spans="2:15" ht="20.100000000000001" customHeight="1">
      <c r="B63" s="41">
        <v>15310112</v>
      </c>
      <c r="C63" s="41" t="s">
        <v>1195</v>
      </c>
      <c r="D63" s="1" t="s">
        <v>1196</v>
      </c>
      <c r="E63" s="1" t="str">
        <f t="shared" si="22"/>
        <v>效果:冰锥之击会额外对目标造成2秒眩晕</v>
      </c>
    </row>
    <row r="64" spans="2:15" ht="20.100000000000001" customHeight="1">
      <c r="B64" s="41">
        <v>15311011</v>
      </c>
      <c r="C64" s="41" t="s">
        <v>1197</v>
      </c>
      <c r="D64" s="1" t="s">
        <v>1198</v>
      </c>
      <c r="E64" s="1" t="str">
        <f t="shared" si="22"/>
        <v>效果:暴击概率提升5%</v>
      </c>
    </row>
    <row r="65" spans="2:13" ht="20.100000000000001" customHeight="1">
      <c r="B65" s="41">
        <v>15311012</v>
      </c>
      <c r="C65" s="41" t="s">
        <v>1199</v>
      </c>
      <c r="D65" s="1" t="s">
        <v>1200</v>
      </c>
      <c r="E65" s="1" t="str">
        <f t="shared" si="22"/>
        <v>效果:攻击提升5%</v>
      </c>
    </row>
    <row r="66" spans="2:13" ht="20.100000000000001" customHeight="1">
      <c r="B66" s="41">
        <v>15311013</v>
      </c>
      <c r="C66" s="41" t="s">
        <v>1201</v>
      </c>
      <c r="D66" s="1" t="s">
        <v>1202</v>
      </c>
      <c r="E66" s="1" t="str">
        <f t="shared" si="22"/>
        <v>效果:受到伤害有概率对目标造成1000点伤害</v>
      </c>
      <c r="H66" s="1"/>
      <c r="I66" s="1" t="s">
        <v>1203</v>
      </c>
      <c r="J66" s="1"/>
      <c r="K66" s="1"/>
      <c r="L66" s="1"/>
      <c r="M66" s="1">
        <f>100/(5000+250*20)</f>
        <v>0.01</v>
      </c>
    </row>
    <row r="67" spans="2:13" ht="20.100000000000001" customHeight="1">
      <c r="B67" s="1"/>
      <c r="C67" s="1"/>
      <c r="D67" s="1"/>
      <c r="E67" s="1"/>
      <c r="H67" s="1">
        <v>10</v>
      </c>
      <c r="I67" s="1">
        <v>1</v>
      </c>
      <c r="J67" s="1" t="s">
        <v>182</v>
      </c>
      <c r="K67" s="1"/>
      <c r="L67" s="1"/>
      <c r="M67" s="1"/>
    </row>
    <row r="68" spans="2:13" ht="20.100000000000001" customHeight="1">
      <c r="B68" s="1"/>
      <c r="C68" s="1"/>
      <c r="D68" s="1"/>
      <c r="E68" s="1"/>
      <c r="H68" s="1"/>
      <c r="I68" s="1">
        <v>2</v>
      </c>
      <c r="J68" s="1"/>
      <c r="K68" s="1"/>
      <c r="L68" s="1"/>
      <c r="M68" s="1"/>
    </row>
    <row r="69" spans="2:13" ht="20.100000000000001" customHeight="1">
      <c r="B69" s="1"/>
      <c r="C69" s="1"/>
      <c r="D69" s="1"/>
      <c r="E69" s="1"/>
      <c r="H69" s="1"/>
      <c r="I69" s="1">
        <v>3</v>
      </c>
      <c r="J69" s="1"/>
      <c r="K69" s="1"/>
      <c r="L69" s="1"/>
      <c r="M69" s="1"/>
    </row>
    <row r="70" spans="2:13" ht="20.100000000000001" customHeight="1">
      <c r="B70" s="41">
        <v>15406003</v>
      </c>
      <c r="C70" s="41" t="s">
        <v>1204</v>
      </c>
      <c r="D70" s="1" t="s">
        <v>1205</v>
      </c>
      <c r="E70" s="1" t="str">
        <f t="shared" si="22"/>
        <v>效果:攻击有概率使自身攻击速度提升30%,持续5秒</v>
      </c>
      <c r="H70" s="1">
        <v>20</v>
      </c>
      <c r="I70" s="1">
        <v>1</v>
      </c>
      <c r="J70" s="1"/>
      <c r="K70" s="1"/>
      <c r="L70" s="1"/>
      <c r="M70" s="1"/>
    </row>
    <row r="71" spans="2:13" ht="20.100000000000001" customHeight="1">
      <c r="B71" s="41">
        <v>15410011</v>
      </c>
      <c r="C71" s="41" t="s">
        <v>1206</v>
      </c>
      <c r="D71" s="1" t="s">
        <v>1207</v>
      </c>
      <c r="E71" s="1" t="str">
        <f t="shared" si="22"/>
        <v>效果:使用跳跃击技能会使自身移动速度提升30%,持续3秒</v>
      </c>
      <c r="H71" s="1"/>
      <c r="I71" s="1">
        <v>2</v>
      </c>
      <c r="J71" s="1"/>
      <c r="K71" s="1"/>
      <c r="L71" s="1"/>
      <c r="M71" s="1"/>
    </row>
    <row r="72" spans="2:13" ht="20.100000000000001" customHeight="1">
      <c r="B72" s="41">
        <v>15410012</v>
      </c>
      <c r="C72" s="41" t="s">
        <v>1208</v>
      </c>
      <c r="D72" s="1" t="s">
        <v>1209</v>
      </c>
      <c r="E72" s="1" t="str">
        <f t="shared" si="22"/>
        <v>效果:回旋击+1</v>
      </c>
      <c r="F72" s="7" t="s">
        <v>1210</v>
      </c>
      <c r="H72" s="1"/>
      <c r="I72" s="1">
        <v>3</v>
      </c>
      <c r="J72" s="1"/>
      <c r="K72" s="1"/>
      <c r="L72" s="1"/>
      <c r="M72" s="1"/>
    </row>
    <row r="73" spans="2:13" ht="20.100000000000001" customHeight="1">
      <c r="B73" s="41">
        <v>15410111</v>
      </c>
      <c r="C73" s="41" t="s">
        <v>1211</v>
      </c>
      <c r="D73" s="1" t="s">
        <v>1212</v>
      </c>
      <c r="E73" s="1" t="str">
        <f t="shared" si="22"/>
        <v>效果:守护之击冷却时间缩减2秒</v>
      </c>
      <c r="F73" s="7"/>
      <c r="H73" s="1">
        <v>30</v>
      </c>
      <c r="I73" s="1">
        <v>1</v>
      </c>
      <c r="J73" s="1"/>
      <c r="K73" s="1"/>
      <c r="L73" s="1"/>
      <c r="M73" s="1"/>
    </row>
    <row r="74" spans="2:13" ht="20.100000000000001" customHeight="1">
      <c r="B74" s="41">
        <v>15410112</v>
      </c>
      <c r="C74" s="41" t="s">
        <v>1213</v>
      </c>
      <c r="D74" s="45" t="s">
        <v>1214</v>
      </c>
      <c r="E74" s="45" t="str">
        <f t="shared" si="22"/>
        <v>效果:光能灼烧+1</v>
      </c>
      <c r="F74" s="7" t="s">
        <v>1210</v>
      </c>
      <c r="H74" s="1"/>
      <c r="I74" s="1">
        <v>2</v>
      </c>
      <c r="J74" s="1"/>
      <c r="K74" s="1"/>
      <c r="L74" s="1"/>
      <c r="M74" s="1"/>
    </row>
    <row r="75" spans="2:13" ht="20.100000000000001" customHeight="1">
      <c r="B75" s="41">
        <v>15411011</v>
      </c>
      <c r="C75" s="41" t="s">
        <v>1215</v>
      </c>
      <c r="D75" s="45" t="s">
        <v>1216</v>
      </c>
      <c r="E75" s="45" t="str">
        <f t="shared" si="22"/>
        <v>效果:受到伤害有概率出发抵抗状态,抵抗造成的异常状态,持续5秒</v>
      </c>
      <c r="F75" s="7" t="s">
        <v>1217</v>
      </c>
      <c r="H75" s="1"/>
      <c r="I75" s="1">
        <v>3</v>
      </c>
      <c r="J75" s="1"/>
      <c r="K75" s="1"/>
      <c r="L75" s="1"/>
      <c r="M75" s="1"/>
    </row>
    <row r="76" spans="2:13" ht="20.100000000000001" customHeight="1">
      <c r="B76" s="41">
        <v>15411012</v>
      </c>
      <c r="C76" s="41" t="s">
        <v>1218</v>
      </c>
      <c r="D76" s="1" t="s">
        <v>1219</v>
      </c>
      <c r="E76" s="1" t="str">
        <f t="shared" si="22"/>
        <v>效果:每次受到伤害有概率提升自身10%攻击,持续6秒</v>
      </c>
      <c r="H76" s="1">
        <v>40</v>
      </c>
      <c r="I76" s="1">
        <v>1</v>
      </c>
      <c r="J76" s="1"/>
      <c r="K76" s="1"/>
      <c r="L76" s="1"/>
      <c r="M76" s="1"/>
    </row>
    <row r="77" spans="2:13" ht="20.100000000000001" customHeight="1">
      <c r="B77" s="41">
        <v>15411013</v>
      </c>
      <c r="C77" s="41" t="s">
        <v>1220</v>
      </c>
      <c r="D77" s="1" t="s">
        <v>1221</v>
      </c>
      <c r="E77" s="1" t="str">
        <f t="shared" si="22"/>
        <v>效果:受到普通攻击有10%概率免除自身造成的伤害</v>
      </c>
      <c r="H77" s="1"/>
      <c r="I77" s="1">
        <v>2</v>
      </c>
      <c r="J77" s="1"/>
      <c r="K77" s="1"/>
      <c r="L77" s="1" t="s">
        <v>1200</v>
      </c>
      <c r="M77" s="1"/>
    </row>
    <row r="78" spans="2:13" ht="20.100000000000001" customHeight="1">
      <c r="B78" s="1"/>
      <c r="C78" s="1"/>
      <c r="D78" s="1"/>
      <c r="E78" s="1"/>
      <c r="H78" s="1"/>
      <c r="I78" s="1">
        <v>3</v>
      </c>
      <c r="J78" s="1"/>
      <c r="K78" s="1"/>
      <c r="L78" s="1"/>
      <c r="M78" s="1"/>
    </row>
    <row r="79" spans="2:13" ht="20.100000000000001" customHeight="1">
      <c r="B79" s="41">
        <v>15506003</v>
      </c>
      <c r="C79" s="41" t="s">
        <v>1222</v>
      </c>
      <c r="D79" s="1" t="s">
        <v>1223</v>
      </c>
      <c r="E79" s="1" t="str">
        <f t="shared" si="22"/>
        <v>效果:暴击率+5%</v>
      </c>
      <c r="H79" s="1">
        <v>50</v>
      </c>
      <c r="I79" s="1">
        <v>1</v>
      </c>
      <c r="J79" s="1"/>
      <c r="K79" s="1"/>
    </row>
    <row r="80" spans="2:13" ht="20.100000000000001" customHeight="1">
      <c r="B80" s="41">
        <v>15510011</v>
      </c>
      <c r="C80" s="41" t="s">
        <v>1224</v>
      </c>
      <c r="D80" s="1" t="s">
        <v>1225</v>
      </c>
      <c r="E80" s="1" t="str">
        <f t="shared" si="22"/>
        <v>效果:使用跳跃击技能,冷却时间降低2秒</v>
      </c>
      <c r="H80" s="1"/>
      <c r="I80" s="1">
        <v>2</v>
      </c>
      <c r="J80" s="1"/>
      <c r="K80" s="1"/>
    </row>
    <row r="81" spans="1:34" ht="20.100000000000001" customHeight="1">
      <c r="B81" s="41">
        <v>15510012</v>
      </c>
      <c r="C81" s="41" t="s">
        <v>1226</v>
      </c>
      <c r="D81" s="1" t="s">
        <v>1227</v>
      </c>
      <c r="E81" s="1" t="str">
        <f t="shared" si="22"/>
        <v>效果:使用冲锋击技能伤害提升50%</v>
      </c>
      <c r="H81" s="1"/>
      <c r="I81" s="1">
        <v>3</v>
      </c>
      <c r="J81" s="1"/>
      <c r="K81" s="1"/>
    </row>
    <row r="82" spans="1:34" ht="20.100000000000001" customHeight="1">
      <c r="B82" s="41">
        <v>15510121</v>
      </c>
      <c r="C82" s="41" t="s">
        <v>1228</v>
      </c>
      <c r="D82" s="1" t="s">
        <v>1229</v>
      </c>
      <c r="E82" s="1" t="str">
        <f t="shared" si="22"/>
        <v>效果:攻击有一定概率提升自身的20%攻击速度,持续6秒</v>
      </c>
    </row>
    <row r="83" spans="1:34" ht="20.100000000000001" customHeight="1">
      <c r="B83" s="41">
        <v>15510122</v>
      </c>
      <c r="C83" s="41" t="s">
        <v>1230</v>
      </c>
      <c r="D83" s="1" t="s">
        <v>1231</v>
      </c>
      <c r="E83" s="1" t="str">
        <f t="shared" si="22"/>
        <v>效果:使用龙卷雨击技能伤害提升50%</v>
      </c>
    </row>
    <row r="84" spans="1:34" ht="20.100000000000001" customHeight="1">
      <c r="B84" s="41">
        <v>15511011</v>
      </c>
      <c r="C84" s="41" t="s">
        <v>1232</v>
      </c>
      <c r="D84" s="1" t="s">
        <v>1233</v>
      </c>
      <c r="E84" s="1" t="str">
        <f t="shared" si="22"/>
        <v>效果:受到伤害有概率使攻击者移动速度降低30%,持续5秒</v>
      </c>
    </row>
    <row r="85" spans="1:34" ht="20.100000000000001" customHeight="1">
      <c r="B85" s="41">
        <v>15511012</v>
      </c>
      <c r="C85" s="41" t="s">
        <v>1234</v>
      </c>
      <c r="D85" s="1" t="s">
        <v>1235</v>
      </c>
      <c r="E85" s="1" t="str">
        <f t="shared" si="22"/>
        <v>效果:提升自身攻击5%</v>
      </c>
    </row>
    <row r="86" spans="1:34" ht="20.100000000000001" customHeight="1">
      <c r="B86" s="41">
        <v>15511013</v>
      </c>
      <c r="C86" s="41" t="s">
        <v>1236</v>
      </c>
      <c r="D86" s="1" t="s">
        <v>1237</v>
      </c>
      <c r="E86" s="1" t="str">
        <f t="shared" si="22"/>
        <v>效果:提升闪避概率+5%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34" ht="20.100000000000001" customHeight="1"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34" ht="20.100000000000001" customHeight="1">
      <c r="I88" s="1" t="s">
        <v>1238</v>
      </c>
      <c r="J88" s="1">
        <v>61011101</v>
      </c>
      <c r="K88" s="1" t="s">
        <v>79</v>
      </c>
      <c r="L88" s="1" t="str">
        <f>"技能:"&amp;K88&amp;" 提升1级"</f>
        <v>技能:裂地击 提升1级</v>
      </c>
      <c r="M88" s="1">
        <v>61021101</v>
      </c>
      <c r="N88" s="1" t="s">
        <v>1239</v>
      </c>
      <c r="O88" s="1" t="str">
        <f>"技能:"&amp;N88&amp;" 提升1级"</f>
        <v>技能:元素烈焰 提升1级</v>
      </c>
      <c r="P88" s="1">
        <v>61022101</v>
      </c>
      <c r="Q88" s="1" t="s">
        <v>1240</v>
      </c>
      <c r="R88" s="1" t="str">
        <f>"技能:"&amp;Q88&amp;" 提升1级"</f>
        <v>技能:光能击 提升1级</v>
      </c>
      <c r="S88" s="1">
        <v>61023101</v>
      </c>
      <c r="T88" s="1" t="s">
        <v>387</v>
      </c>
      <c r="U88" s="1" t="str">
        <f>"技能:"&amp;T88&amp;" 提升1级"</f>
        <v>技能:能量吸附 提升1级</v>
      </c>
      <c r="W88" s="1">
        <v>62011101</v>
      </c>
      <c r="X88" s="1" t="s">
        <v>65</v>
      </c>
      <c r="Y88" s="1" t="str">
        <f>"技能:"&amp;X88&amp;" 提升1级"</f>
        <v>技能:魔法闪击 提升1级</v>
      </c>
      <c r="Z88" s="1">
        <v>62021101</v>
      </c>
      <c r="AA88" s="1" t="s">
        <v>221</v>
      </c>
      <c r="AB88" s="1" t="str">
        <f>"技能:"&amp;AA88&amp;" 提升1级"</f>
        <v>技能:元素护盾 提升1级</v>
      </c>
      <c r="AC88" s="1">
        <v>62022101</v>
      </c>
      <c r="AD88" s="1" t="s">
        <v>176</v>
      </c>
      <c r="AE88" s="1" t="str">
        <f>"技能:"&amp;AD88&amp;" 提升1级"</f>
        <v>技能:精灵之击 提升1级</v>
      </c>
      <c r="AF88" s="1">
        <v>62023101</v>
      </c>
      <c r="AG88" s="1" t="s">
        <v>280</v>
      </c>
      <c r="AH88" s="1" t="str">
        <f>"技能:"&amp;AG88&amp;" 提升1级"</f>
        <v>技能:魔法护盾 提升1级</v>
      </c>
    </row>
    <row r="89" spans="1:34" ht="20.100000000000001" customHeight="1">
      <c r="B89" s="1" t="s">
        <v>994</v>
      </c>
      <c r="C89" s="1" t="s">
        <v>1241</v>
      </c>
      <c r="D89" s="1" t="s">
        <v>1242</v>
      </c>
      <c r="E89" s="1" t="str">
        <f t="shared" ref="E89:E99" si="23">"效果:"&amp;D89</f>
        <v>效果:提升伤害加成5%</v>
      </c>
      <c r="F89" s="1">
        <v>200903</v>
      </c>
      <c r="G89" s="13"/>
      <c r="J89" s="1">
        <v>61011201</v>
      </c>
      <c r="K89" s="1" t="s">
        <v>111</v>
      </c>
      <c r="L89" s="1" t="str">
        <f t="shared" ref="L89:L93" si="24">"技能:"&amp;K89&amp;" 提升1级"</f>
        <v>技能:回旋击 提升1级</v>
      </c>
      <c r="M89" s="1">
        <v>61021201</v>
      </c>
      <c r="N89" s="1" t="s">
        <v>1243</v>
      </c>
      <c r="O89" s="1" t="str">
        <f t="shared" ref="O89:O91" si="25">"技能:"&amp;N89&amp;" 提升1级"</f>
        <v>技能:元素法球 提升1级</v>
      </c>
      <c r="P89" s="1">
        <v>61022201</v>
      </c>
      <c r="Q89" s="1" t="s">
        <v>324</v>
      </c>
      <c r="R89" s="1" t="str">
        <f t="shared" ref="R89:R91" si="26">"技能:"&amp;Q89&amp;" 提升1级"</f>
        <v>技能:光剑攻击 提升1级</v>
      </c>
      <c r="S89" s="1">
        <v>61023201</v>
      </c>
      <c r="T89" s="1" t="s">
        <v>1244</v>
      </c>
      <c r="U89" s="1" t="str">
        <f t="shared" ref="U89:U91" si="27">"技能:"&amp;T89&amp;" 提升1级"</f>
        <v>技能:爆发状态 提升1级</v>
      </c>
      <c r="W89" s="1">
        <v>62011201</v>
      </c>
      <c r="X89" s="1" t="s">
        <v>86</v>
      </c>
      <c r="Y89" s="1" t="str">
        <f t="shared" ref="Y89:Y93" si="28">"技能:"&amp;X89&amp;" 提升1级"</f>
        <v>技能:龙卷雨击 提升1级</v>
      </c>
      <c r="Z89" s="1">
        <v>62021201</v>
      </c>
      <c r="AA89" s="1" t="s">
        <v>90</v>
      </c>
      <c r="AB89" s="1" t="str">
        <f t="shared" ref="AB89:AB91" si="29">"技能:"&amp;AA89&amp;" 提升1级"</f>
        <v>技能:冲击波 提升1级</v>
      </c>
      <c r="AC89" s="1">
        <v>62022201</v>
      </c>
      <c r="AD89" s="1" t="s">
        <v>1245</v>
      </c>
      <c r="AE89" s="1" t="str">
        <f t="shared" ref="AE89:AE91" si="30">"技能:"&amp;AD89&amp;" 提升1级"</f>
        <v>技能:爆焰燃烧 提升1级</v>
      </c>
      <c r="AF89" s="1">
        <v>62023201</v>
      </c>
      <c r="AG89" s="1" t="s">
        <v>293</v>
      </c>
      <c r="AH89" s="1" t="str">
        <f t="shared" ref="AH89:AH91" si="31">"技能:"&amp;AG89&amp;" 提升1级"</f>
        <v>技能:治愈之境 提升1级</v>
      </c>
    </row>
    <row r="90" spans="1:34" ht="20.100000000000001" customHeight="1">
      <c r="B90" s="1" t="s">
        <v>1002</v>
      </c>
      <c r="C90" s="1" t="s">
        <v>1246</v>
      </c>
      <c r="D90" s="1" t="s">
        <v>1247</v>
      </c>
      <c r="E90" s="1" t="str">
        <f t="shared" si="23"/>
        <v>效果:提升伤害减免5%</v>
      </c>
      <c r="F90" s="1">
        <v>201003</v>
      </c>
      <c r="G90" s="13"/>
      <c r="J90" s="1">
        <v>61011301</v>
      </c>
      <c r="K90" s="1" t="s">
        <v>1248</v>
      </c>
      <c r="L90" s="1" t="str">
        <f t="shared" si="24"/>
        <v>技能:跳跃击 提升1级</v>
      </c>
      <c r="M90" s="1">
        <v>61021301</v>
      </c>
      <c r="N90" s="1" t="s">
        <v>253</v>
      </c>
      <c r="O90" s="1" t="str">
        <f t="shared" si="25"/>
        <v>技能:元素爆冰 提升1级</v>
      </c>
      <c r="P90" s="1">
        <v>61022301</v>
      </c>
      <c r="Q90" s="1" t="s">
        <v>331</v>
      </c>
      <c r="R90" s="1" t="str">
        <f t="shared" si="26"/>
        <v>技能:光之能量 提升1级</v>
      </c>
      <c r="S90" s="1">
        <v>61023301</v>
      </c>
      <c r="T90" s="1" t="s">
        <v>1249</v>
      </c>
      <c r="U90" s="1" t="str">
        <f t="shared" si="27"/>
        <v>技能:能量之球 提升1级</v>
      </c>
      <c r="W90" s="1">
        <v>62011301</v>
      </c>
      <c r="X90" s="1" t="s">
        <v>116</v>
      </c>
      <c r="Y90" s="1" t="str">
        <f t="shared" si="28"/>
        <v>技能:禁锢之术 提升1级</v>
      </c>
      <c r="Z90" s="1">
        <v>62021301</v>
      </c>
      <c r="AA90" s="1" t="s">
        <v>106</v>
      </c>
      <c r="AB90" s="1" t="str">
        <f t="shared" si="29"/>
        <v>技能:熔岩大地 提升1级</v>
      </c>
      <c r="AC90" s="1">
        <v>62022301</v>
      </c>
      <c r="AD90" s="1" t="s">
        <v>1250</v>
      </c>
      <c r="AE90" s="1" t="str">
        <f t="shared" si="30"/>
        <v>技能:灼烧轰击 提升1级</v>
      </c>
      <c r="AF90" s="1">
        <v>62023301</v>
      </c>
      <c r="AG90" s="1" t="s">
        <v>304</v>
      </c>
      <c r="AH90" s="1" t="str">
        <f t="shared" si="31"/>
        <v>技能:心灵之击 提升1级</v>
      </c>
    </row>
    <row r="91" spans="1:34" ht="20.100000000000001" customHeight="1">
      <c r="B91" s="1" t="s">
        <v>1007</v>
      </c>
      <c r="C91" s="1" t="s">
        <v>1251</v>
      </c>
      <c r="D91" s="1" t="s">
        <v>1252</v>
      </c>
      <c r="E91" s="1" t="str">
        <f t="shared" si="23"/>
        <v>效果:提升闪避率2%</v>
      </c>
      <c r="F91" s="1">
        <v>200303</v>
      </c>
      <c r="G91" s="13"/>
      <c r="J91" s="1">
        <v>61012101</v>
      </c>
      <c r="K91" s="1" t="s">
        <v>1253</v>
      </c>
      <c r="L91" s="1" t="str">
        <f t="shared" si="24"/>
        <v>技能:裂波击 提升1级</v>
      </c>
      <c r="M91" s="1">
        <v>61021401</v>
      </c>
      <c r="N91" s="1" t="s">
        <v>1254</v>
      </c>
      <c r="O91" s="1" t="str">
        <f t="shared" si="25"/>
        <v>技能:元素引力波 提升1级</v>
      </c>
      <c r="P91" s="1">
        <v>61022401</v>
      </c>
      <c r="Q91" s="1" t="s">
        <v>1255</v>
      </c>
      <c r="R91" s="1" t="str">
        <f t="shared" si="26"/>
        <v>技能:光之击 提升1级</v>
      </c>
      <c r="S91" s="1">
        <v>61023401</v>
      </c>
      <c r="T91" s="1" t="s">
        <v>1256</v>
      </c>
      <c r="U91" s="1" t="str">
        <f t="shared" si="27"/>
        <v>技能:能量之地 提升1级</v>
      </c>
      <c r="W91" s="1">
        <v>62012101</v>
      </c>
      <c r="X91" s="1" t="s">
        <v>1257</v>
      </c>
      <c r="Y91" s="1" t="str">
        <f t="shared" si="28"/>
        <v>技能:光能灼烧 提升1级</v>
      </c>
      <c r="Z91" s="1">
        <v>62021401</v>
      </c>
      <c r="AA91" s="1" t="s">
        <v>1258</v>
      </c>
      <c r="AB91" s="1" t="str">
        <f t="shared" si="29"/>
        <v>技能:大魔导之影 提升1级</v>
      </c>
      <c r="AC91" s="1">
        <v>62022401</v>
      </c>
      <c r="AD91" s="1" t="s">
        <v>228</v>
      </c>
      <c r="AE91" s="1" t="str">
        <f t="shared" si="30"/>
        <v>技能:精灵轰击 提升1级</v>
      </c>
      <c r="AF91" s="1">
        <v>62023401</v>
      </c>
      <c r="AG91" s="1" t="s">
        <v>319</v>
      </c>
      <c r="AH91" s="1" t="str">
        <f t="shared" si="31"/>
        <v>技能:心灵治愈 提升1级</v>
      </c>
    </row>
    <row r="92" spans="1:34" ht="20.100000000000001" customHeight="1">
      <c r="B92" s="1" t="s">
        <v>1014</v>
      </c>
      <c r="C92" s="1" t="s">
        <v>1251</v>
      </c>
      <c r="D92" s="1" t="s">
        <v>1259</v>
      </c>
      <c r="E92" s="1" t="str">
        <f t="shared" si="23"/>
        <v>效果:提升命中率2%</v>
      </c>
      <c r="F92" s="1">
        <v>200203</v>
      </c>
      <c r="G92" s="13"/>
      <c r="J92" s="1">
        <v>61012201</v>
      </c>
      <c r="K92" s="1" t="s">
        <v>1113</v>
      </c>
      <c r="L92" s="1" t="str">
        <f t="shared" si="24"/>
        <v>技能:旋风击 提升1级</v>
      </c>
      <c r="M92" s="1"/>
      <c r="N92" s="1"/>
      <c r="O92" s="1"/>
      <c r="P92" s="1"/>
      <c r="Q92" s="1"/>
      <c r="R92" s="1"/>
      <c r="S92" s="1"/>
      <c r="T92" s="1"/>
      <c r="W92" s="1">
        <v>62012201</v>
      </c>
      <c r="X92" s="1" t="s">
        <v>160</v>
      </c>
      <c r="Y92" s="1" t="str">
        <f t="shared" si="28"/>
        <v>技能:守护之击 提升1级</v>
      </c>
      <c r="Z92" s="1"/>
      <c r="AA92" s="1"/>
      <c r="AB92" s="1"/>
      <c r="AC92" s="1"/>
      <c r="AD92" s="1"/>
      <c r="AE92" s="1"/>
      <c r="AF92" s="1"/>
      <c r="AG92" s="1"/>
    </row>
    <row r="93" spans="1:34" ht="20.100000000000001" customHeight="1">
      <c r="A93" s="1" t="s">
        <v>1260</v>
      </c>
      <c r="B93" s="1" t="s">
        <v>1021</v>
      </c>
      <c r="C93" s="1"/>
      <c r="D93" s="1"/>
      <c r="E93" s="1"/>
      <c r="F93" s="1"/>
      <c r="G93" s="1"/>
      <c r="H93" s="1"/>
      <c r="I93" s="1"/>
      <c r="J93" s="1">
        <v>61012301</v>
      </c>
      <c r="K93" s="1" t="s">
        <v>1261</v>
      </c>
      <c r="L93" s="1" t="str">
        <f t="shared" si="24"/>
        <v>技能:冲锋击 提升1级</v>
      </c>
      <c r="M93" s="1"/>
      <c r="N93" s="1"/>
      <c r="O93" s="1"/>
      <c r="P93" s="1"/>
      <c r="Q93" s="1"/>
      <c r="R93" s="1"/>
      <c r="S93" s="1"/>
      <c r="T93" s="1"/>
      <c r="W93" s="1">
        <v>62012301</v>
      </c>
      <c r="X93" s="1" t="s">
        <v>172</v>
      </c>
      <c r="Y93" s="1" t="str">
        <f t="shared" si="28"/>
        <v>技能:冰锥之击 提升1级</v>
      </c>
      <c r="Z93" s="1"/>
      <c r="AA93" s="1"/>
      <c r="AB93" s="1"/>
      <c r="AC93" s="1"/>
      <c r="AD93" s="1"/>
      <c r="AE93" s="1"/>
      <c r="AF93" s="1"/>
      <c r="AG93" s="1"/>
    </row>
    <row r="94" spans="1:34" ht="20.100000000000001" customHeight="1">
      <c r="B94" s="46" t="s">
        <v>1023</v>
      </c>
      <c r="C94" s="1" t="s">
        <v>1246</v>
      </c>
      <c r="D94" s="46" t="s">
        <v>1262</v>
      </c>
      <c r="E94" s="46" t="str">
        <f t="shared" si="23"/>
        <v>效果:提升攻击穿透2%</v>
      </c>
      <c r="F94" s="46">
        <v>202203</v>
      </c>
      <c r="G94" s="13"/>
      <c r="H94" s="13"/>
      <c r="I94" s="13"/>
      <c r="J94" s="1"/>
      <c r="K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4" ht="20.100000000000001" customHeight="1">
      <c r="B95" s="46" t="s">
        <v>1028</v>
      </c>
      <c r="C95" s="1" t="s">
        <v>1246</v>
      </c>
      <c r="D95" s="46" t="s">
        <v>1263</v>
      </c>
      <c r="E95" s="46" t="str">
        <f t="shared" si="23"/>
        <v>效果:提升暴击率2%</v>
      </c>
      <c r="F95" s="46">
        <v>200103</v>
      </c>
      <c r="G95" s="13"/>
      <c r="H95" s="13"/>
      <c r="I95" s="13"/>
      <c r="J95" s="1"/>
      <c r="K95" s="1"/>
      <c r="L95" s="1"/>
      <c r="M95" s="1" t="s">
        <v>1264</v>
      </c>
      <c r="N95" s="1"/>
      <c r="O95" s="1"/>
      <c r="P95" s="1"/>
      <c r="Q95" s="1" t="s">
        <v>3</v>
      </c>
      <c r="R95" s="3"/>
      <c r="S95" s="3"/>
      <c r="T95" s="3"/>
      <c r="U95" s="3"/>
      <c r="V95" s="3"/>
      <c r="W95" s="1" t="s">
        <v>12</v>
      </c>
      <c r="X95" s="3"/>
      <c r="Y95" s="3"/>
      <c r="Z95" s="3"/>
      <c r="AA95" s="3"/>
      <c r="AB95" s="3"/>
      <c r="AC95" s="1" t="s">
        <v>16</v>
      </c>
      <c r="AD95" s="1" t="s">
        <v>45</v>
      </c>
      <c r="AE95" s="3"/>
      <c r="AF95" s="3"/>
      <c r="AG95" s="1" t="s">
        <v>1265</v>
      </c>
    </row>
    <row r="96" spans="1:34" ht="20.100000000000001" customHeight="1">
      <c r="B96" s="46" t="s">
        <v>1032</v>
      </c>
      <c r="C96" s="1" t="s">
        <v>1246</v>
      </c>
      <c r="D96" s="46" t="s">
        <v>1266</v>
      </c>
      <c r="E96" s="46" t="str">
        <f t="shared" si="23"/>
        <v>效果:提升抗暴率2%</v>
      </c>
      <c r="F96" s="46">
        <v>200403</v>
      </c>
      <c r="G96" s="13"/>
      <c r="H96" s="13"/>
      <c r="I96" s="13"/>
      <c r="J96" s="1" t="s">
        <v>16</v>
      </c>
      <c r="K96" s="1">
        <v>14</v>
      </c>
      <c r="L96" s="1" t="str">
        <f>"传承"&amp;LEFT(M96,2)</f>
        <v>传承攻击</v>
      </c>
      <c r="M96" s="1" t="s">
        <v>1200</v>
      </c>
      <c r="P96" s="1">
        <f>LOOKUP(Q96,[2]ItemProto!$C$856:$C$1335,[2]ItemProto!$S$856:$S$1335)</f>
        <v>69000002</v>
      </c>
      <c r="Q96" s="1">
        <v>14100111</v>
      </c>
      <c r="R96" s="1" t="s">
        <v>210</v>
      </c>
      <c r="S96" s="3" t="s">
        <v>1267</v>
      </c>
      <c r="T96" s="3"/>
      <c r="U96" s="3"/>
      <c r="V96" s="3">
        <f>LOOKUP(W96,[2]ItemProto!$C$856:$C$1335,[2]ItemProto!$S$856:$S$1335)</f>
        <v>0</v>
      </c>
      <c r="W96" s="1">
        <v>14110021</v>
      </c>
      <c r="X96" s="1" t="s">
        <v>1268</v>
      </c>
      <c r="Y96" s="3" t="s">
        <v>1167</v>
      </c>
      <c r="Z96" s="3"/>
      <c r="AA96" s="3"/>
      <c r="AB96" s="3">
        <f>LOOKUP(AC96,[2]ItemProto!$C$856:$C$1335,[2]ItemProto!$S$856:$S$1335)</f>
        <v>0</v>
      </c>
      <c r="AC96" s="1">
        <v>15210012</v>
      </c>
      <c r="AD96" s="1" t="s">
        <v>223</v>
      </c>
      <c r="AE96" s="3" t="s">
        <v>1177</v>
      </c>
      <c r="AF96" s="3"/>
    </row>
    <row r="97" spans="2:32" ht="20.100000000000001" customHeight="1">
      <c r="B97" s="46" t="s">
        <v>1037</v>
      </c>
      <c r="C97" s="1" t="s">
        <v>1251</v>
      </c>
      <c r="D97" s="46" t="s">
        <v>1269</v>
      </c>
      <c r="E97" s="46" t="str">
        <f t="shared" ref="E97" si="32">"效果:"&amp;D97</f>
        <v>效果:提升魔法穿透2%</v>
      </c>
      <c r="F97" s="46">
        <v>202303</v>
      </c>
      <c r="G97" s="13"/>
      <c r="H97" s="1"/>
      <c r="I97" s="13"/>
      <c r="J97" s="1" t="s">
        <v>1264</v>
      </c>
      <c r="K97" s="1">
        <v>14</v>
      </c>
      <c r="L97" s="1" t="str">
        <f t="shared" ref="L97:L105" si="33">"传承"&amp;LEFT(M97,2)</f>
        <v>传承物防</v>
      </c>
      <c r="M97" s="1" t="s">
        <v>1270</v>
      </c>
      <c r="N97" s="5"/>
      <c r="P97" s="1">
        <f>LOOKUP(Q97,[2]ItemProto!$C$856:$C$1335,[2]ItemProto!$S$856:$S$1335)</f>
        <v>0</v>
      </c>
      <c r="Q97" s="1">
        <v>15210112</v>
      </c>
      <c r="R97" s="1" t="s">
        <v>1271</v>
      </c>
      <c r="S97" s="3" t="s">
        <v>1272</v>
      </c>
      <c r="T97" s="3"/>
      <c r="U97" s="3"/>
      <c r="V97" s="3">
        <f>LOOKUP(W97,[2]ItemProto!$C$856:$C$1335,[2]ItemProto!$S$856:$S$1335)</f>
        <v>0</v>
      </c>
      <c r="W97" s="1">
        <v>14110022</v>
      </c>
      <c r="X97" s="1" t="s">
        <v>1273</v>
      </c>
      <c r="Y97" s="3" t="s">
        <v>1169</v>
      </c>
      <c r="Z97" s="3"/>
      <c r="AA97" s="3"/>
      <c r="AB97" s="3">
        <f>LOOKUP(AC97,[2]ItemProto!$C$856:$C$1335,[2]ItemProto!$S$856:$S$1335)</f>
        <v>69000016</v>
      </c>
      <c r="AC97" s="1">
        <v>15310011</v>
      </c>
      <c r="AD97" s="1" t="s">
        <v>223</v>
      </c>
      <c r="AE97" s="3" t="s">
        <v>1190</v>
      </c>
      <c r="AF97" s="3"/>
    </row>
    <row r="98" spans="2:32" ht="20.100000000000001" customHeight="1">
      <c r="B98" s="46" t="s">
        <v>1040</v>
      </c>
      <c r="C98" s="1" t="s">
        <v>1241</v>
      </c>
      <c r="D98" s="46" t="s">
        <v>1274</v>
      </c>
      <c r="E98" s="46" t="str">
        <f t="shared" si="23"/>
        <v>效果:提升物理伤害加成2%</v>
      </c>
      <c r="F98" s="46">
        <v>200503</v>
      </c>
      <c r="G98" s="13"/>
      <c r="H98" s="1"/>
      <c r="I98" s="1"/>
      <c r="J98" s="13"/>
      <c r="K98" s="1"/>
      <c r="L98" s="1" t="str">
        <f t="shared" si="33"/>
        <v>传承魔防</v>
      </c>
      <c r="M98" s="1" t="s">
        <v>1275</v>
      </c>
      <c r="N98" s="5"/>
      <c r="P98" s="1" t="e">
        <f>LOOKUP(Q98,[2]ItemProto!$C$856:$C$1335,[2]ItemProto!$S$856:$S$1335)</f>
        <v>#N/A</v>
      </c>
      <c r="R98" s="1" t="s">
        <v>1276</v>
      </c>
      <c r="S98" s="3" t="s">
        <v>1277</v>
      </c>
      <c r="T98" s="3"/>
      <c r="U98" s="3"/>
      <c r="V98" s="3">
        <f>LOOKUP(W98,[2]ItemProto!$C$856:$C$1335,[2]ItemProto!$S$856:$S$1335)</f>
        <v>0</v>
      </c>
      <c r="W98" s="1">
        <v>15211012</v>
      </c>
      <c r="X98" s="1" t="s">
        <v>1278</v>
      </c>
      <c r="Y98" s="3" t="s">
        <v>1279</v>
      </c>
      <c r="Z98" s="3"/>
      <c r="AA98" s="3"/>
      <c r="AB98" s="3">
        <f>LOOKUP(AC98,[2]ItemProto!$C$856:$C$1335,[2]ItemProto!$S$856:$S$1335)</f>
        <v>0</v>
      </c>
      <c r="AC98" s="1">
        <v>15310012</v>
      </c>
      <c r="AD98" s="1" t="s">
        <v>223</v>
      </c>
      <c r="AE98" s="3" t="s">
        <v>1192</v>
      </c>
      <c r="AF98" s="3"/>
    </row>
    <row r="99" spans="2:32" ht="20.100000000000001" customHeight="1">
      <c r="B99" s="1" t="s">
        <v>1042</v>
      </c>
      <c r="C99" s="1" t="s">
        <v>1241</v>
      </c>
      <c r="D99" s="1" t="s">
        <v>1235</v>
      </c>
      <c r="E99" s="1" t="str">
        <f t="shared" si="23"/>
        <v>效果:提升自身攻击5%</v>
      </c>
      <c r="F99" s="1">
        <v>100402</v>
      </c>
      <c r="G99" s="13"/>
      <c r="H99" s="1"/>
      <c r="I99" s="1"/>
      <c r="J99" s="1" t="s">
        <v>3</v>
      </c>
      <c r="K99" s="1">
        <v>10</v>
      </c>
      <c r="L99" s="1" t="str">
        <f t="shared" si="33"/>
        <v>传承血量</v>
      </c>
      <c r="M99" s="1" t="s">
        <v>1280</v>
      </c>
      <c r="N99" s="5"/>
      <c r="P99" s="1">
        <f>LOOKUP(Q99,[2]ItemProto!$C$856:$C$1335,[2]ItemProto!$S$856:$S$1335)</f>
        <v>0</v>
      </c>
      <c r="Q99" s="1">
        <v>15211011</v>
      </c>
      <c r="R99" s="1" t="s">
        <v>1281</v>
      </c>
      <c r="S99" s="3" t="s">
        <v>1229</v>
      </c>
      <c r="T99" s="3"/>
      <c r="U99" s="3"/>
      <c r="V99" s="3">
        <f>LOOKUP(W99,[2]ItemProto!$C$856:$C$1335,[2]ItemProto!$S$856:$S$1335)</f>
        <v>69000010</v>
      </c>
      <c r="W99" s="1">
        <v>15411011</v>
      </c>
      <c r="X99" s="1" t="s">
        <v>1282</v>
      </c>
      <c r="Y99" s="3" t="s">
        <v>1216</v>
      </c>
      <c r="Z99" s="3"/>
      <c r="AA99" s="3"/>
      <c r="AB99" s="3" t="str">
        <f>LOOKUP(AC99,[2]ItemProto!$C$856:$C$1335,[2]ItemProto!$S$856:$S$1335)</f>
        <v>69000013;69000017</v>
      </c>
      <c r="AC99" s="1">
        <v>15410011</v>
      </c>
      <c r="AD99" s="1" t="s">
        <v>223</v>
      </c>
      <c r="AE99" s="3" t="s">
        <v>1207</v>
      </c>
      <c r="AF99" s="3"/>
    </row>
    <row r="100" spans="2:32" ht="20.100000000000001" customHeight="1">
      <c r="H100" s="5"/>
      <c r="I100" s="1"/>
      <c r="J100" s="13"/>
      <c r="K100" s="1"/>
      <c r="L100" s="1" t="str">
        <f t="shared" si="33"/>
        <v>传承暴击</v>
      </c>
      <c r="M100" s="1" t="s">
        <v>1283</v>
      </c>
      <c r="N100" s="5"/>
      <c r="P100" s="1">
        <f>LOOKUP(Q100,[2]ItemProto!$C$856:$C$1335,[2]ItemProto!$S$856:$S$1335)</f>
        <v>69000011</v>
      </c>
      <c r="Q100" s="1">
        <v>15510121</v>
      </c>
      <c r="R100" s="1" t="s">
        <v>272</v>
      </c>
      <c r="S100" s="3" t="s">
        <v>1284</v>
      </c>
      <c r="T100" s="3"/>
      <c r="U100" s="3"/>
      <c r="V100" s="3">
        <f>LOOKUP(W100,[2]ItemProto!$C$856:$C$1335,[2]ItemProto!$S$856:$S$1335)</f>
        <v>69000012</v>
      </c>
      <c r="W100" s="1">
        <v>15511011</v>
      </c>
      <c r="X100" s="1" t="s">
        <v>1285</v>
      </c>
      <c r="Y100" s="3" t="s">
        <v>1233</v>
      </c>
      <c r="Z100" s="3"/>
      <c r="AA100" s="3"/>
      <c r="AB100" s="3">
        <f>LOOKUP(AC100,[2]ItemProto!$C$856:$C$1335,[2]ItemProto!$S$856:$S$1335)</f>
        <v>0</v>
      </c>
      <c r="AC100" s="1">
        <v>15510011</v>
      </c>
      <c r="AD100" s="1" t="s">
        <v>223</v>
      </c>
      <c r="AE100" s="3" t="s">
        <v>1225</v>
      </c>
      <c r="AF100" s="3"/>
    </row>
    <row r="101" spans="2:32" ht="20.100000000000001" customHeight="1">
      <c r="H101" s="5"/>
      <c r="I101" s="5"/>
      <c r="K101" s="5"/>
      <c r="L101" s="1" t="str">
        <f t="shared" si="33"/>
        <v>传承命中</v>
      </c>
      <c r="M101" s="1" t="s">
        <v>1286</v>
      </c>
      <c r="N101" s="5"/>
      <c r="P101" s="1"/>
      <c r="Q101" s="3"/>
      <c r="R101" s="1" t="s">
        <v>1287</v>
      </c>
      <c r="S101" s="3" t="s">
        <v>1288</v>
      </c>
      <c r="U101" s="3"/>
      <c r="V101" s="3"/>
      <c r="W101" s="3"/>
      <c r="X101" s="1" t="s">
        <v>1289</v>
      </c>
      <c r="Y101" s="7" t="s">
        <v>1290</v>
      </c>
      <c r="Z101" s="3"/>
      <c r="AA101" s="3"/>
      <c r="AB101" s="3">
        <f>LOOKUP(AC101,[2]ItemProto!$C$856:$C$1335,[2]ItemProto!$S$856:$S$1335)</f>
        <v>0</v>
      </c>
      <c r="AC101" s="1">
        <v>15510012</v>
      </c>
      <c r="AD101" s="1" t="s">
        <v>223</v>
      </c>
      <c r="AE101" s="3" t="s">
        <v>1227</v>
      </c>
      <c r="AF101" s="3"/>
    </row>
    <row r="102" spans="2:32" ht="20.100000000000001" customHeight="1">
      <c r="B102" s="1" t="s">
        <v>994</v>
      </c>
      <c r="C102" s="1"/>
      <c r="D102" s="1" t="s">
        <v>1242</v>
      </c>
      <c r="H102" s="5"/>
      <c r="I102" s="5"/>
      <c r="K102" s="5"/>
      <c r="L102" s="1" t="str">
        <f t="shared" si="33"/>
        <v>传承抗暴</v>
      </c>
      <c r="M102" s="1" t="s">
        <v>1291</v>
      </c>
      <c r="N102" s="5"/>
      <c r="Q102" s="3"/>
      <c r="R102" s="1" t="s">
        <v>1292</v>
      </c>
      <c r="S102" s="3" t="s">
        <v>1293</v>
      </c>
      <c r="X102" s="1" t="s">
        <v>1294</v>
      </c>
      <c r="Y102" s="7" t="s">
        <v>1295</v>
      </c>
      <c r="AC102" s="3"/>
      <c r="AD102" s="1"/>
      <c r="AE102" s="3"/>
      <c r="AF102" s="3"/>
    </row>
    <row r="103" spans="2:32" ht="20.100000000000001" customHeight="1">
      <c r="B103" s="1" t="s">
        <v>1002</v>
      </c>
      <c r="C103" s="1"/>
      <c r="D103" s="1" t="s">
        <v>1247</v>
      </c>
      <c r="H103" s="5"/>
      <c r="I103" s="5"/>
      <c r="K103" s="5"/>
      <c r="L103" s="1" t="str">
        <f t="shared" si="33"/>
        <v>传承闪避</v>
      </c>
      <c r="M103" s="1" t="s">
        <v>1296</v>
      </c>
      <c r="N103" s="5"/>
      <c r="R103" s="1" t="s">
        <v>1297</v>
      </c>
      <c r="S103" s="3" t="s">
        <v>1298</v>
      </c>
      <c r="X103" s="1" t="s">
        <v>246</v>
      </c>
      <c r="Y103" t="s">
        <v>1299</v>
      </c>
      <c r="AC103" s="3"/>
      <c r="AD103" s="1"/>
      <c r="AE103" s="3"/>
      <c r="AF103" s="3"/>
    </row>
    <row r="104" spans="2:32" ht="20.100000000000001" customHeight="1">
      <c r="B104" s="46" t="s">
        <v>1023</v>
      </c>
      <c r="C104" s="46"/>
      <c r="D104" s="46" t="s">
        <v>1262</v>
      </c>
      <c r="H104" s="5"/>
      <c r="I104" s="5"/>
      <c r="K104" s="5"/>
      <c r="L104" s="1" t="str">
        <f t="shared" si="33"/>
        <v>传承技能</v>
      </c>
      <c r="M104" s="1" t="s">
        <v>1300</v>
      </c>
      <c r="N104" s="5"/>
      <c r="R104" s="1" t="s">
        <v>1281</v>
      </c>
      <c r="S104" s="7" t="s">
        <v>996</v>
      </c>
      <c r="X104" s="1" t="s">
        <v>1301</v>
      </c>
      <c r="Y104" t="s">
        <v>1302</v>
      </c>
      <c r="AC104" s="1"/>
      <c r="AD104" s="1" t="s">
        <v>56</v>
      </c>
      <c r="AE104" s="3"/>
      <c r="AF104" s="3"/>
    </row>
    <row r="105" spans="2:32" ht="20.100000000000001" customHeight="1">
      <c r="B105" s="46" t="s">
        <v>1028</v>
      </c>
      <c r="C105" s="46"/>
      <c r="D105" s="46" t="s">
        <v>1263</v>
      </c>
      <c r="H105" s="5"/>
      <c r="I105" s="5"/>
      <c r="K105" s="5"/>
      <c r="L105" s="1" t="str">
        <f t="shared" si="33"/>
        <v>传承重击</v>
      </c>
      <c r="M105" s="1" t="s">
        <v>1303</v>
      </c>
      <c r="N105" s="5"/>
      <c r="R105" s="1" t="s">
        <v>1304</v>
      </c>
      <c r="S105" s="7" t="s">
        <v>1305</v>
      </c>
      <c r="X105" s="1" t="s">
        <v>1306</v>
      </c>
      <c r="Y105" s="7" t="s">
        <v>1307</v>
      </c>
      <c r="AB105" s="3">
        <f>LOOKUP(AC105,[2]ItemProto!$C$856:$C$1335,[2]ItemProto!$S$856:$S$1335)</f>
        <v>0</v>
      </c>
      <c r="AC105" s="1">
        <v>15210111</v>
      </c>
      <c r="AD105" s="1" t="s">
        <v>223</v>
      </c>
      <c r="AE105" s="3" t="s">
        <v>1179</v>
      </c>
      <c r="AF105" s="3"/>
    </row>
    <row r="106" spans="2:32" ht="20.100000000000001" customHeight="1">
      <c r="B106" s="46" t="s">
        <v>1032</v>
      </c>
      <c r="C106" s="46"/>
      <c r="D106" s="46" t="s">
        <v>1266</v>
      </c>
      <c r="H106" s="5"/>
      <c r="I106" s="5"/>
      <c r="K106" s="5"/>
      <c r="L106" s="1" t="str">
        <f t="shared" ref="L106:L109" si="34">"传承武器"</f>
        <v>传承武器</v>
      </c>
      <c r="M106" s="1" t="s">
        <v>1308</v>
      </c>
      <c r="N106" s="5"/>
      <c r="R106" s="1"/>
      <c r="AB106" s="3">
        <f>LOOKUP(AC106,[2]ItemProto!$C$856:$C$1335,[2]ItemProto!$S$856:$S$1335)</f>
        <v>0</v>
      </c>
      <c r="AC106" s="1">
        <v>15310112</v>
      </c>
      <c r="AD106" s="1" t="s">
        <v>223</v>
      </c>
      <c r="AE106" s="3" t="s">
        <v>1196</v>
      </c>
      <c r="AF106" s="3"/>
    </row>
    <row r="107" spans="2:32" ht="20.100000000000001" customHeight="1">
      <c r="B107" s="46" t="s">
        <v>1037</v>
      </c>
      <c r="C107" s="46"/>
      <c r="D107" s="46" t="s">
        <v>1269</v>
      </c>
      <c r="H107" s="5"/>
      <c r="I107" s="5"/>
      <c r="K107" s="5"/>
      <c r="L107" s="1" t="str">
        <f t="shared" si="34"/>
        <v>传承武器</v>
      </c>
      <c r="M107" s="1" t="s">
        <v>1309</v>
      </c>
      <c r="N107" s="5"/>
      <c r="AB107" s="3">
        <f>LOOKUP(AC107,[2]ItemProto!$C$856:$C$1335,[2]ItemProto!$S$856:$S$1335)</f>
        <v>0</v>
      </c>
      <c r="AC107" s="1">
        <v>15410111</v>
      </c>
      <c r="AD107" s="1" t="s">
        <v>223</v>
      </c>
      <c r="AE107" s="3" t="s">
        <v>1212</v>
      </c>
      <c r="AF107" s="3"/>
    </row>
    <row r="108" spans="2:32" ht="20.100000000000001" customHeight="1">
      <c r="B108" s="46" t="s">
        <v>1040</v>
      </c>
      <c r="C108" s="46"/>
      <c r="D108" s="46" t="s">
        <v>1274</v>
      </c>
      <c r="E108" s="1" t="s">
        <v>1310</v>
      </c>
      <c r="H108" s="5"/>
      <c r="I108" s="5"/>
      <c r="J108" s="5"/>
      <c r="K108" s="48"/>
      <c r="L108" s="1" t="str">
        <f t="shared" si="34"/>
        <v>传承武器</v>
      </c>
      <c r="M108" s="1" t="s">
        <v>1311</v>
      </c>
      <c r="N108" s="5"/>
      <c r="AB108" s="3">
        <f>LOOKUP(AC108,[2]ItemProto!$C$856:$C$1335,[2]ItemProto!$S$856:$S$1335)</f>
        <v>0</v>
      </c>
      <c r="AC108" s="1">
        <v>15510122</v>
      </c>
      <c r="AD108" s="1" t="s">
        <v>223</v>
      </c>
      <c r="AE108" s="3" t="s">
        <v>1231</v>
      </c>
      <c r="AF108" s="3"/>
    </row>
    <row r="109" spans="2:32" ht="20.100000000000001" customHeight="1">
      <c r="B109" s="1" t="s">
        <v>1014</v>
      </c>
      <c r="C109" s="1"/>
      <c r="E109" s="1" t="s">
        <v>1167</v>
      </c>
      <c r="H109" s="5"/>
      <c r="I109" s="5"/>
      <c r="J109" s="5"/>
      <c r="K109" s="5"/>
      <c r="L109" s="1" t="str">
        <f t="shared" si="34"/>
        <v>传承武器</v>
      </c>
      <c r="M109" s="1" t="s">
        <v>1312</v>
      </c>
      <c r="N109" s="5"/>
      <c r="AC109" s="1"/>
      <c r="AD109" s="1" t="s">
        <v>223</v>
      </c>
      <c r="AE109" s="3" t="s">
        <v>1313</v>
      </c>
      <c r="AF109" s="3"/>
    </row>
    <row r="110" spans="2:32" ht="20.100000000000001" customHeight="1">
      <c r="E110" s="1" t="s">
        <v>1169</v>
      </c>
      <c r="H110" s="5"/>
      <c r="I110" s="5"/>
      <c r="J110" s="5"/>
      <c r="K110" s="5"/>
      <c r="L110" s="5"/>
      <c r="M110" s="5"/>
      <c r="N110" s="5"/>
      <c r="AC110" s="3"/>
      <c r="AD110" s="1" t="s">
        <v>223</v>
      </c>
      <c r="AE110" s="3" t="s">
        <v>1314</v>
      </c>
      <c r="AF110" s="3"/>
    </row>
    <row r="111" spans="2:32" ht="20.100000000000001" customHeight="1">
      <c r="E111" s="1" t="s">
        <v>1315</v>
      </c>
      <c r="Q111" s="1" t="s">
        <v>1316</v>
      </c>
      <c r="R111" s="3"/>
      <c r="S111" s="3"/>
      <c r="T111" s="3"/>
      <c r="AC111" s="3"/>
      <c r="AD111" s="3"/>
      <c r="AE111" s="3"/>
      <c r="AF111" s="3"/>
    </row>
    <row r="112" spans="2:32" ht="20.100000000000001" customHeight="1">
      <c r="Q112" s="1" t="s">
        <v>1317</v>
      </c>
      <c r="R112" s="3" t="s">
        <v>1318</v>
      </c>
      <c r="S112" s="3"/>
      <c r="T112" s="3"/>
      <c r="AC112" s="3"/>
      <c r="AD112" s="3"/>
      <c r="AE112" s="3"/>
      <c r="AF112" s="3"/>
    </row>
    <row r="113" spans="1:32" ht="20.100000000000001" customHeight="1">
      <c r="Q113" s="1" t="s">
        <v>1319</v>
      </c>
      <c r="R113" s="3" t="s">
        <v>1320</v>
      </c>
      <c r="S113" s="3"/>
      <c r="T113" s="3"/>
      <c r="AC113" s="3"/>
      <c r="AD113" s="3"/>
      <c r="AE113" s="3"/>
      <c r="AF113" s="3"/>
    </row>
    <row r="114" spans="1:32" s="3" customFormat="1" ht="20.100000000000001" customHeight="1">
      <c r="C114" s="1"/>
      <c r="D114" s="1"/>
      <c r="I114" s="1"/>
      <c r="J114" s="1"/>
      <c r="Q114" s="1" t="s">
        <v>1321</v>
      </c>
      <c r="R114" s="3" t="s">
        <v>694</v>
      </c>
      <c r="AC114" s="1"/>
    </row>
    <row r="115" spans="1:32" ht="20.100000000000001" customHeight="1">
      <c r="Q115" s="1" t="s">
        <v>1322</v>
      </c>
      <c r="R115" s="3" t="s">
        <v>1323</v>
      </c>
      <c r="S115" s="3"/>
      <c r="T115" s="3"/>
      <c r="AC115" s="3"/>
      <c r="AD115" s="3"/>
      <c r="AE115" s="3"/>
      <c r="AF115" s="3"/>
    </row>
    <row r="116" spans="1:32" s="3" customFormat="1" ht="20.100000000000001" customHeight="1">
      <c r="C116" s="1"/>
      <c r="D116" s="1"/>
      <c r="I116" s="1"/>
      <c r="J116" s="1"/>
      <c r="Q116" s="1" t="s">
        <v>1324</v>
      </c>
      <c r="R116" s="3" t="s">
        <v>697</v>
      </c>
      <c r="AC116" s="1"/>
    </row>
    <row r="117" spans="1:32" s="3" customFormat="1" ht="20.100000000000001" customHeight="1">
      <c r="C117" s="1"/>
      <c r="I117" s="1"/>
      <c r="J117" s="1"/>
      <c r="Q117" s="1" t="s">
        <v>1325</v>
      </c>
      <c r="R117" s="3" t="s">
        <v>1183</v>
      </c>
      <c r="X117" s="3" t="s">
        <v>1326</v>
      </c>
      <c r="Y117"/>
      <c r="Z117"/>
      <c r="AA117"/>
    </row>
    <row r="118" spans="1:32" s="3" customFormat="1" ht="20.100000000000001" customHeight="1">
      <c r="A118" s="1" t="s">
        <v>1327</v>
      </c>
      <c r="B118" s="3" t="s">
        <v>329</v>
      </c>
      <c r="C118" s="1" t="s">
        <v>1328</v>
      </c>
      <c r="D118" s="1" t="s">
        <v>1329</v>
      </c>
      <c r="E118" s="1" t="s">
        <v>1330</v>
      </c>
      <c r="F118" s="3" t="s">
        <v>1331</v>
      </c>
      <c r="I118" s="1"/>
      <c r="J118" s="1"/>
      <c r="Q118" s="1" t="s">
        <v>747</v>
      </c>
      <c r="R118" s="3" t="s">
        <v>716</v>
      </c>
    </row>
    <row r="119" spans="1:32" s="3" customFormat="1" ht="20.100000000000001" customHeight="1">
      <c r="B119" s="3" t="s">
        <v>1332</v>
      </c>
      <c r="C119" s="1" t="s">
        <v>1333</v>
      </c>
      <c r="D119" s="1" t="s">
        <v>1334</v>
      </c>
      <c r="E119" s="1" t="s">
        <v>1335</v>
      </c>
      <c r="F119" s="3" t="s">
        <v>1336</v>
      </c>
    </row>
    <row r="120" spans="1:32" s="3" customFormat="1" ht="20.100000000000001" customHeight="1">
      <c r="B120" s="3" t="s">
        <v>1337</v>
      </c>
      <c r="C120" s="1" t="s">
        <v>1338</v>
      </c>
      <c r="D120" s="1" t="s">
        <v>1339</v>
      </c>
      <c r="E120" s="1" t="s">
        <v>1340</v>
      </c>
    </row>
    <row r="121" spans="1:32" s="3" customFormat="1" ht="20.100000000000001" customHeight="1">
      <c r="B121" s="3" t="s">
        <v>1341</v>
      </c>
      <c r="C121" s="1" t="s">
        <v>1342</v>
      </c>
      <c r="D121" s="1" t="s">
        <v>1343</v>
      </c>
      <c r="E121" s="3" t="s">
        <v>1344</v>
      </c>
      <c r="G121" s="3" t="s">
        <v>1345</v>
      </c>
    </row>
    <row r="122" spans="1:32" s="3" customFormat="1" ht="20.100000000000001" customHeight="1">
      <c r="B122" s="3" t="s">
        <v>1346</v>
      </c>
      <c r="C122" s="1" t="s">
        <v>1347</v>
      </c>
      <c r="D122" s="1" t="s">
        <v>1348</v>
      </c>
      <c r="E122" s="3" t="s">
        <v>1349</v>
      </c>
    </row>
    <row r="123" spans="1:32" s="3" customFormat="1" ht="20.100000000000001" customHeight="1">
      <c r="B123" s="3" t="s">
        <v>1350</v>
      </c>
      <c r="C123" s="1" t="s">
        <v>1338</v>
      </c>
      <c r="D123" s="1" t="s">
        <v>1351</v>
      </c>
      <c r="E123" s="3" t="s">
        <v>1352</v>
      </c>
      <c r="G123" s="3" t="s">
        <v>432</v>
      </c>
    </row>
    <row r="124" spans="1:32" s="3" customFormat="1" ht="20.100000000000001" customHeight="1">
      <c r="C124" s="1"/>
      <c r="D124" s="1" t="s">
        <v>1353</v>
      </c>
      <c r="G124" s="3" t="s">
        <v>1354</v>
      </c>
    </row>
    <row r="125" spans="1:32" s="3" customFormat="1" ht="20.100000000000001" customHeight="1">
      <c r="C125" s="1"/>
      <c r="G125" s="3" t="s">
        <v>449</v>
      </c>
    </row>
    <row r="126" spans="1:32" s="3" customFormat="1" ht="20.100000000000001" customHeight="1">
      <c r="C126" s="1"/>
      <c r="G126" s="3" t="s">
        <v>1355</v>
      </c>
    </row>
    <row r="127" spans="1:32" s="3" customFormat="1" ht="20.100000000000001" customHeight="1">
      <c r="B127" s="47" t="s">
        <v>1356</v>
      </c>
      <c r="C127" s="45" t="s">
        <v>1357</v>
      </c>
      <c r="D127" s="47" t="s">
        <v>1358</v>
      </c>
      <c r="G127" s="3" t="s">
        <v>464</v>
      </c>
    </row>
    <row r="128" spans="1:32" s="3" customFormat="1" ht="20.100000000000001" customHeight="1">
      <c r="B128" s="47" t="s">
        <v>1359</v>
      </c>
      <c r="C128" s="45" t="s">
        <v>1360</v>
      </c>
      <c r="D128" s="47" t="s">
        <v>1361</v>
      </c>
      <c r="G128" s="3" t="s">
        <v>468</v>
      </c>
    </row>
    <row r="129" spans="2:7" s="3" customFormat="1" ht="20.100000000000001" customHeight="1">
      <c r="B129" s="47" t="s">
        <v>1362</v>
      </c>
      <c r="C129" s="45" t="s">
        <v>1363</v>
      </c>
      <c r="D129" s="47" t="s">
        <v>1364</v>
      </c>
      <c r="G129" s="3" t="s">
        <v>1365</v>
      </c>
    </row>
    <row r="130" spans="2:7" s="3" customFormat="1" ht="20.100000000000001" customHeight="1">
      <c r="B130" s="47" t="s">
        <v>1366</v>
      </c>
      <c r="C130" s="45" t="s">
        <v>1367</v>
      </c>
      <c r="D130" s="47" t="s">
        <v>1368</v>
      </c>
      <c r="G130" s="3" t="s">
        <v>1369</v>
      </c>
    </row>
    <row r="131" spans="2:7" s="3" customFormat="1" ht="20.100000000000001" customHeight="1">
      <c r="B131" s="47" t="s">
        <v>1370</v>
      </c>
      <c r="C131" s="45" t="s">
        <v>1371</v>
      </c>
      <c r="D131" s="47" t="s">
        <v>1372</v>
      </c>
      <c r="G131" s="3" t="s">
        <v>1373</v>
      </c>
    </row>
    <row r="132" spans="2:7" s="3" customFormat="1" ht="20.100000000000001" customHeight="1">
      <c r="B132" s="47" t="s">
        <v>1374</v>
      </c>
      <c r="C132" s="45" t="s">
        <v>1375</v>
      </c>
      <c r="D132" s="47" t="s">
        <v>1376</v>
      </c>
      <c r="G132" s="3" t="s">
        <v>485</v>
      </c>
    </row>
    <row r="133" spans="2:7" s="3" customFormat="1" ht="20.100000000000001" customHeight="1">
      <c r="B133" s="47" t="s">
        <v>1377</v>
      </c>
      <c r="C133" s="45" t="s">
        <v>1378</v>
      </c>
      <c r="D133" s="47" t="s">
        <v>1379</v>
      </c>
      <c r="G133" s="3" t="s">
        <v>1380</v>
      </c>
    </row>
    <row r="134" spans="2:7" s="3" customFormat="1" ht="20.100000000000001" customHeight="1">
      <c r="B134" s="47" t="s">
        <v>1381</v>
      </c>
      <c r="C134" s="45" t="s">
        <v>1382</v>
      </c>
      <c r="D134" s="47" t="s">
        <v>1383</v>
      </c>
    </row>
    <row r="135" spans="2:7" s="3" customFormat="1" ht="20.100000000000001" customHeight="1">
      <c r="B135" s="47" t="s">
        <v>1384</v>
      </c>
      <c r="C135" s="45" t="s">
        <v>1385</v>
      </c>
      <c r="D135" s="47" t="s">
        <v>1386</v>
      </c>
    </row>
    <row r="136" spans="2:7" s="3" customFormat="1" ht="20.100000000000001" customHeight="1">
      <c r="B136" s="47" t="s">
        <v>1387</v>
      </c>
      <c r="C136" s="45" t="s">
        <v>1388</v>
      </c>
      <c r="D136" s="47" t="s">
        <v>1389</v>
      </c>
    </row>
    <row r="137" spans="2:7" s="3" customFormat="1" ht="20.100000000000001" customHeight="1">
      <c r="B137" s="47" t="s">
        <v>1390</v>
      </c>
      <c r="C137" s="45" t="s">
        <v>1391</v>
      </c>
      <c r="D137" s="47" t="s">
        <v>1392</v>
      </c>
    </row>
    <row r="138" spans="2:7" ht="20.100000000000001" customHeight="1">
      <c r="B138" s="47" t="s">
        <v>1393</v>
      </c>
      <c r="C138" s="45" t="s">
        <v>1394</v>
      </c>
      <c r="D138" s="47" t="s">
        <v>1395</v>
      </c>
    </row>
    <row r="139" spans="2:7" ht="20.100000000000001" customHeight="1"/>
    <row r="140" spans="2:7" ht="20.100000000000001" customHeight="1"/>
    <row r="141" spans="2:7" ht="20.100000000000001" customHeight="1"/>
    <row r="142" spans="2:7" ht="20.100000000000001" customHeight="1"/>
    <row r="143" spans="2:7" ht="20.100000000000001" customHeight="1"/>
    <row r="144" spans="2:7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spans="2:11" ht="20.100000000000001" customHeight="1"/>
    <row r="162" spans="2:11" ht="20.100000000000001" customHeight="1"/>
    <row r="163" spans="2:11" ht="20.100000000000001" customHeight="1"/>
    <row r="164" spans="2:11" ht="20.100000000000001" customHeight="1">
      <c r="B164" s="3" t="s">
        <v>1396</v>
      </c>
    </row>
    <row r="165" spans="2:11" ht="20.100000000000001" customHeight="1"/>
    <row r="166" spans="2:11" s="1" customFormat="1" ht="20.100000000000001" customHeight="1"/>
    <row r="167" spans="2:11" s="1" customFormat="1" ht="20.100000000000001" customHeight="1"/>
    <row r="168" spans="2:11" s="1" customFormat="1" ht="20.100000000000001" customHeight="1">
      <c r="B168" s="1" t="s">
        <v>1397</v>
      </c>
    </row>
    <row r="169" spans="2:11" s="1" customFormat="1" ht="20.100000000000001" customHeight="1">
      <c r="B169" s="49" t="s">
        <v>1398</v>
      </c>
      <c r="C169" s="1">
        <v>10000</v>
      </c>
      <c r="E169" s="1" t="s">
        <v>742</v>
      </c>
    </row>
    <row r="170" spans="2:11" s="1" customFormat="1" ht="20.100000000000001" customHeight="1">
      <c r="B170" s="49" t="s">
        <v>1399</v>
      </c>
      <c r="C170" s="1">
        <v>20000</v>
      </c>
      <c r="E170" s="1" t="s">
        <v>744</v>
      </c>
      <c r="H170" s="1" t="s">
        <v>744</v>
      </c>
    </row>
    <row r="171" spans="2:11" s="1" customFormat="1" ht="20.100000000000001" customHeight="1">
      <c r="B171" s="49" t="s">
        <v>1400</v>
      </c>
      <c r="E171" s="1" t="s">
        <v>750</v>
      </c>
      <c r="H171" s="1" t="s">
        <v>750</v>
      </c>
    </row>
    <row r="172" spans="2:11" s="1" customFormat="1" ht="20.100000000000001" customHeight="1">
      <c r="B172" s="49" t="s">
        <v>1401</v>
      </c>
      <c r="E172" s="1" t="s">
        <v>747</v>
      </c>
      <c r="H172" s="1" t="s">
        <v>747</v>
      </c>
    </row>
    <row r="173" spans="2:11" s="1" customFormat="1" ht="20.100000000000001" customHeight="1">
      <c r="B173" s="49" t="s">
        <v>1402</v>
      </c>
      <c r="E173" s="1" t="s">
        <v>748</v>
      </c>
      <c r="H173" s="1" t="s">
        <v>748</v>
      </c>
    </row>
    <row r="174" spans="2:11" s="1" customFormat="1" ht="20.100000000000001" customHeight="1">
      <c r="B174" s="49" t="s">
        <v>1403</v>
      </c>
    </row>
    <row r="175" spans="2:11" s="1" customFormat="1" ht="20.100000000000001" customHeight="1">
      <c r="B175" s="49" t="s">
        <v>1404</v>
      </c>
    </row>
    <row r="176" spans="2:11" s="1" customFormat="1" ht="20.100000000000001" customHeight="1">
      <c r="B176" s="49" t="s">
        <v>1405</v>
      </c>
      <c r="H176" s="1" t="s">
        <v>742</v>
      </c>
      <c r="I176" s="1">
        <v>3</v>
      </c>
      <c r="J176" s="1">
        <v>5</v>
      </c>
      <c r="K176" s="1">
        <f>J176*I176</f>
        <v>15</v>
      </c>
    </row>
    <row r="177" spans="2:17" s="1" customFormat="1" ht="20.100000000000001" customHeight="1">
      <c r="B177" s="49" t="s">
        <v>1406</v>
      </c>
      <c r="H177" s="1" t="s">
        <v>744</v>
      </c>
      <c r="I177" s="1">
        <v>3</v>
      </c>
      <c r="J177" s="1">
        <v>5</v>
      </c>
      <c r="K177" s="1">
        <f t="shared" ref="K177:K180" si="35">J177*I177</f>
        <v>15</v>
      </c>
    </row>
    <row r="178" spans="2:17" s="1" customFormat="1" ht="20.100000000000001" customHeight="1">
      <c r="B178" s="49" t="s">
        <v>1407</v>
      </c>
      <c r="H178" s="1" t="s">
        <v>750</v>
      </c>
      <c r="I178" s="1">
        <v>3</v>
      </c>
      <c r="J178" s="1">
        <v>5</v>
      </c>
      <c r="K178" s="1">
        <f t="shared" si="35"/>
        <v>15</v>
      </c>
    </row>
    <row r="179" spans="2:17" s="1" customFormat="1" ht="20.100000000000001" customHeight="1">
      <c r="B179" s="49" t="s">
        <v>1408</v>
      </c>
      <c r="H179" s="1" t="s">
        <v>747</v>
      </c>
      <c r="I179" s="1">
        <v>4</v>
      </c>
      <c r="J179" s="1">
        <v>5</v>
      </c>
      <c r="K179" s="1">
        <f t="shared" si="35"/>
        <v>20</v>
      </c>
    </row>
    <row r="180" spans="2:17" s="1" customFormat="1" ht="20.100000000000001" customHeight="1">
      <c r="B180" s="49" t="s">
        <v>1409</v>
      </c>
      <c r="H180" s="1" t="s">
        <v>748</v>
      </c>
      <c r="I180" s="1">
        <v>4</v>
      </c>
      <c r="J180" s="1">
        <v>5</v>
      </c>
      <c r="K180" s="1">
        <f t="shared" si="35"/>
        <v>20</v>
      </c>
    </row>
    <row r="181" spans="2:17" s="1" customFormat="1" ht="20.100000000000001" customHeight="1">
      <c r="K181" s="1">
        <f>SUM(K176:K180)</f>
        <v>85</v>
      </c>
      <c r="L181" s="1">
        <f>K181/10</f>
        <v>8.5</v>
      </c>
      <c r="M181" s="1">
        <f>K181/5</f>
        <v>17</v>
      </c>
    </row>
    <row r="182" spans="2:17" s="1" customFormat="1" ht="20.100000000000001" customHeight="1"/>
    <row r="183" spans="2:17" s="1" customFormat="1" ht="20.100000000000001" customHeight="1">
      <c r="H183" s="1" t="s">
        <v>744</v>
      </c>
      <c r="K183" s="1">
        <v>10</v>
      </c>
      <c r="L183" s="1">
        <f>K183*17</f>
        <v>170</v>
      </c>
      <c r="M183" s="1">
        <f>L183/10</f>
        <v>17</v>
      </c>
      <c r="O183" s="102" t="s">
        <v>1410</v>
      </c>
    </row>
    <row r="184" spans="2:17" s="1" customFormat="1" ht="20.100000000000001" customHeight="1">
      <c r="B184" s="50" t="s">
        <v>1411</v>
      </c>
      <c r="C184" s="50" t="s">
        <v>1412</v>
      </c>
      <c r="D184" s="1" t="str">
        <f>B184&amp;"·"&amp;C184</f>
        <v>子鼠·破晓</v>
      </c>
      <c r="E184" s="1" t="s">
        <v>742</v>
      </c>
      <c r="F184" s="32">
        <v>105101</v>
      </c>
      <c r="H184" s="1" t="s">
        <v>747</v>
      </c>
      <c r="K184" s="1">
        <v>15</v>
      </c>
      <c r="L184" s="1">
        <f t="shared" ref="L184:L185" si="36">K184*17</f>
        <v>255</v>
      </c>
      <c r="M184" s="1">
        <f t="shared" ref="M184:M185" si="37">L184/10</f>
        <v>25.5</v>
      </c>
      <c r="O184" s="102" t="s">
        <v>1413</v>
      </c>
      <c r="Q184" s="32" t="s">
        <v>742</v>
      </c>
    </row>
    <row r="185" spans="2:17" s="1" customFormat="1" ht="20.100000000000001" customHeight="1">
      <c r="B185" s="50" t="s">
        <v>1414</v>
      </c>
      <c r="C185" s="50" t="s">
        <v>1415</v>
      </c>
      <c r="D185" s="1" t="str">
        <f t="shared" ref="D185:D195" si="38">B185&amp;"·"&amp;C185</f>
        <v>丑牛·破风</v>
      </c>
      <c r="E185" s="1" t="s">
        <v>750</v>
      </c>
      <c r="F185" s="32">
        <v>105501</v>
      </c>
      <c r="H185" s="1" t="s">
        <v>748</v>
      </c>
      <c r="K185" s="1">
        <v>20</v>
      </c>
      <c r="L185" s="1">
        <f t="shared" si="36"/>
        <v>340</v>
      </c>
      <c r="M185" s="1">
        <f t="shared" si="37"/>
        <v>34</v>
      </c>
      <c r="O185" s="102" t="s">
        <v>1416</v>
      </c>
      <c r="Q185" s="32" t="s">
        <v>744</v>
      </c>
    </row>
    <row r="186" spans="2:17" s="1" customFormat="1" ht="20.100000000000001" customHeight="1">
      <c r="B186" s="50" t="s">
        <v>1417</v>
      </c>
      <c r="C186" s="50" t="s">
        <v>1418</v>
      </c>
      <c r="D186" s="1" t="str">
        <f t="shared" si="38"/>
        <v>寅虎·破军</v>
      </c>
      <c r="E186" s="1" t="s">
        <v>744</v>
      </c>
      <c r="F186" s="32">
        <v>105301</v>
      </c>
      <c r="Q186" s="32" t="s">
        <v>750</v>
      </c>
    </row>
    <row r="187" spans="2:17" s="1" customFormat="1" ht="20.100000000000001" customHeight="1">
      <c r="B187" s="50" t="s">
        <v>1419</v>
      </c>
      <c r="C187" s="49" t="s">
        <v>1420</v>
      </c>
      <c r="D187" s="1" t="str">
        <f t="shared" si="38"/>
        <v>卯兔·洪流</v>
      </c>
      <c r="E187" s="1" t="s">
        <v>747</v>
      </c>
      <c r="F187" s="32">
        <v>105201</v>
      </c>
      <c r="L187" s="1">
        <f>SUM(L183:L185)</f>
        <v>765</v>
      </c>
      <c r="Q187" s="32" t="s">
        <v>748</v>
      </c>
    </row>
    <row r="188" spans="2:17" s="1" customFormat="1" ht="20.100000000000001" customHeight="1">
      <c r="B188" s="50" t="s">
        <v>1421</v>
      </c>
      <c r="C188" s="49" t="s">
        <v>1422</v>
      </c>
      <c r="D188" s="1" t="str">
        <f t="shared" si="38"/>
        <v>辰龙·挽歌</v>
      </c>
      <c r="E188" s="1" t="s">
        <v>1423</v>
      </c>
      <c r="F188" s="32">
        <v>105501</v>
      </c>
      <c r="G188" s="32">
        <v>105401</v>
      </c>
      <c r="H188" s="1" t="s">
        <v>1424</v>
      </c>
      <c r="J188" s="1" t="str">
        <f>F188&amp;","&amp;G188</f>
        <v>105501,105401</v>
      </c>
      <c r="Q188" s="32" t="s">
        <v>747</v>
      </c>
    </row>
    <row r="189" spans="2:17" s="1" customFormat="1" ht="20.100000000000001" customHeight="1">
      <c r="B189" s="50" t="s">
        <v>1425</v>
      </c>
      <c r="C189" s="50" t="s">
        <v>1426</v>
      </c>
      <c r="D189" s="1" t="str">
        <f t="shared" si="38"/>
        <v>巳蛇·逐风</v>
      </c>
      <c r="E189" s="1" t="s">
        <v>1427</v>
      </c>
      <c r="F189" s="32">
        <v>105301</v>
      </c>
      <c r="G189" s="32">
        <v>105201</v>
      </c>
      <c r="H189" s="1" t="s">
        <v>1423</v>
      </c>
      <c r="J189" s="1" t="str">
        <f t="shared" ref="J189:J195" si="39">F189&amp;","&amp;G189</f>
        <v>105301,105201</v>
      </c>
    </row>
    <row r="190" spans="2:17" s="1" customFormat="1" ht="20.100000000000001" customHeight="1">
      <c r="B190" s="50" t="s">
        <v>1428</v>
      </c>
      <c r="C190" s="50" t="s">
        <v>1429</v>
      </c>
      <c r="D190" s="1" t="str">
        <f t="shared" si="38"/>
        <v>午马·利刃</v>
      </c>
      <c r="E190" s="1" t="s">
        <v>1430</v>
      </c>
      <c r="F190" s="32">
        <v>105101</v>
      </c>
      <c r="G190" s="32">
        <v>105401</v>
      </c>
      <c r="H190" s="1" t="s">
        <v>1431</v>
      </c>
      <c r="J190" s="1" t="str">
        <f t="shared" si="39"/>
        <v>105101,105401</v>
      </c>
    </row>
    <row r="191" spans="2:17" s="1" customFormat="1" ht="20.100000000000001" customHeight="1">
      <c r="B191" s="50" t="s">
        <v>1432</v>
      </c>
      <c r="C191" s="50" t="s">
        <v>1433</v>
      </c>
      <c r="D191" s="1" t="str">
        <f t="shared" si="38"/>
        <v>未羊·战魂</v>
      </c>
      <c r="E191" s="1" t="s">
        <v>1434</v>
      </c>
      <c r="F191" s="32">
        <v>105501</v>
      </c>
      <c r="G191" s="32">
        <v>105201</v>
      </c>
      <c r="H191" s="1" t="s">
        <v>744</v>
      </c>
      <c r="J191" s="1" t="str">
        <f t="shared" si="39"/>
        <v>105501,105201</v>
      </c>
    </row>
    <row r="192" spans="2:17" s="1" customFormat="1" ht="20.100000000000001" customHeight="1">
      <c r="B192" s="50" t="s">
        <v>1435</v>
      </c>
      <c r="C192" s="50" t="s">
        <v>1436</v>
      </c>
      <c r="D192" s="1" t="str">
        <f t="shared" si="38"/>
        <v>申猴·清风</v>
      </c>
      <c r="E192" s="1" t="s">
        <v>748</v>
      </c>
      <c r="F192" s="32">
        <v>105401</v>
      </c>
      <c r="H192" s="1" t="s">
        <v>1437</v>
      </c>
    </row>
    <row r="193" spans="2:10" s="1" customFormat="1" ht="20.100000000000001" customHeight="1">
      <c r="B193" s="50" t="s">
        <v>1438</v>
      </c>
      <c r="C193" s="50" t="s">
        <v>1439</v>
      </c>
      <c r="D193" s="1" t="str">
        <f t="shared" si="38"/>
        <v>酉鸡·天刺</v>
      </c>
      <c r="E193" s="1" t="s">
        <v>1440</v>
      </c>
      <c r="F193" s="32">
        <v>105101</v>
      </c>
      <c r="G193" s="32">
        <v>105201</v>
      </c>
      <c r="H193" s="1" t="s">
        <v>744</v>
      </c>
      <c r="J193" s="1" t="str">
        <f t="shared" si="39"/>
        <v>105101,105201</v>
      </c>
    </row>
    <row r="194" spans="2:10" s="1" customFormat="1" ht="20.100000000000001" customHeight="1">
      <c r="B194" s="50" t="s">
        <v>1441</v>
      </c>
      <c r="C194" s="50" t="s">
        <v>1442</v>
      </c>
      <c r="D194" s="1" t="str">
        <f t="shared" si="38"/>
        <v>戌狗·惊鸿</v>
      </c>
      <c r="E194" s="1" t="s">
        <v>1437</v>
      </c>
      <c r="F194" s="32">
        <v>105501</v>
      </c>
      <c r="G194" s="32">
        <v>105301</v>
      </c>
      <c r="H194" s="1" t="s">
        <v>747</v>
      </c>
      <c r="J194" s="1" t="str">
        <f t="shared" si="39"/>
        <v>105501,105301</v>
      </c>
    </row>
    <row r="195" spans="2:10" s="1" customFormat="1" ht="20.100000000000001" customHeight="1">
      <c r="B195" s="50" t="s">
        <v>1443</v>
      </c>
      <c r="C195" s="50" t="s">
        <v>1444</v>
      </c>
      <c r="D195" s="1" t="str">
        <f t="shared" si="38"/>
        <v>亥猪·寒裂</v>
      </c>
      <c r="E195" s="1" t="s">
        <v>1445</v>
      </c>
      <c r="F195" s="32">
        <v>105301</v>
      </c>
      <c r="G195" s="32">
        <v>105401</v>
      </c>
      <c r="H195" s="1" t="s">
        <v>748</v>
      </c>
      <c r="J195" s="1" t="str">
        <f t="shared" si="39"/>
        <v>105301,105401</v>
      </c>
    </row>
    <row r="196" spans="2:10" ht="20.100000000000001" customHeight="1">
      <c r="B196" s="1"/>
      <c r="C196" s="1"/>
      <c r="D196" s="1"/>
    </row>
    <row r="197" spans="2:10" ht="20.100000000000001" customHeight="1">
      <c r="B197" s="1"/>
      <c r="C197" s="1"/>
      <c r="D197" s="1"/>
    </row>
    <row r="198" spans="2:10" ht="20.100000000000001" customHeight="1">
      <c r="B198" s="50" t="s">
        <v>1411</v>
      </c>
      <c r="C198" s="50" t="s">
        <v>1446</v>
      </c>
      <c r="D198" s="1" t="str">
        <f>B198&amp;"·"&amp;C198</f>
        <v>子鼠·天启</v>
      </c>
      <c r="H198" s="1" t="s">
        <v>1447</v>
      </c>
    </row>
    <row r="199" spans="2:10" ht="20.100000000000001" customHeight="1">
      <c r="B199" s="50" t="s">
        <v>1414</v>
      </c>
      <c r="C199" s="49" t="s">
        <v>1448</v>
      </c>
      <c r="D199" s="1" t="str">
        <f t="shared" ref="D199:D209" si="40">B199&amp;"·"&amp;C199</f>
        <v>丑牛·天正</v>
      </c>
      <c r="H199" s="1" t="s">
        <v>1449</v>
      </c>
    </row>
    <row r="200" spans="2:10" ht="20.100000000000001" customHeight="1">
      <c r="B200" s="50" t="s">
        <v>1417</v>
      </c>
      <c r="C200" s="50" t="s">
        <v>1450</v>
      </c>
      <c r="D200" s="1" t="str">
        <f t="shared" si="40"/>
        <v>寅虎·天罡</v>
      </c>
      <c r="H200" s="1" t="s">
        <v>1451</v>
      </c>
    </row>
    <row r="201" spans="2:10" ht="20.100000000000001" customHeight="1">
      <c r="B201" s="50" t="s">
        <v>1419</v>
      </c>
      <c r="C201" s="49" t="s">
        <v>1452</v>
      </c>
      <c r="D201" s="1" t="str">
        <f t="shared" si="40"/>
        <v>卯兔·白鸿</v>
      </c>
      <c r="H201" s="1" t="s">
        <v>1453</v>
      </c>
    </row>
    <row r="202" spans="2:10" ht="20.100000000000001" customHeight="1">
      <c r="B202" s="50" t="s">
        <v>1421</v>
      </c>
      <c r="C202" s="50" t="s">
        <v>1454</v>
      </c>
      <c r="D202" s="1" t="str">
        <f t="shared" si="40"/>
        <v>辰龙·紫金</v>
      </c>
      <c r="H202" s="1" t="s">
        <v>1455</v>
      </c>
    </row>
    <row r="203" spans="2:10" ht="20.100000000000001" customHeight="1">
      <c r="B203" s="50" t="s">
        <v>1425</v>
      </c>
      <c r="C203" s="50" t="s">
        <v>1456</v>
      </c>
      <c r="D203" s="1" t="str">
        <f t="shared" si="40"/>
        <v>巳蛇·修罗</v>
      </c>
      <c r="H203" s="1" t="s">
        <v>1457</v>
      </c>
    </row>
    <row r="204" spans="2:10" ht="20.100000000000001" customHeight="1">
      <c r="B204" s="50" t="s">
        <v>1428</v>
      </c>
      <c r="C204" s="50" t="s">
        <v>1458</v>
      </c>
      <c r="D204" s="1" t="str">
        <f t="shared" si="40"/>
        <v>午马·金甲</v>
      </c>
      <c r="H204" s="1" t="s">
        <v>1459</v>
      </c>
    </row>
    <row r="205" spans="2:10" ht="20.100000000000001" customHeight="1">
      <c r="B205" s="50" t="s">
        <v>1432</v>
      </c>
      <c r="C205" s="50" t="s">
        <v>1460</v>
      </c>
      <c r="D205" s="1" t="str">
        <f t="shared" si="40"/>
        <v>未羊·苍穹</v>
      </c>
      <c r="H205" s="1" t="s">
        <v>1461</v>
      </c>
    </row>
    <row r="206" spans="2:10" ht="20.100000000000001" customHeight="1">
      <c r="B206" s="50" t="s">
        <v>1435</v>
      </c>
      <c r="C206" s="50" t="s">
        <v>1462</v>
      </c>
      <c r="D206" s="1" t="str">
        <f t="shared" si="40"/>
        <v>申猴·龙牙</v>
      </c>
      <c r="H206" s="1" t="s">
        <v>1463</v>
      </c>
    </row>
    <row r="207" spans="2:10" ht="20.100000000000001" customHeight="1">
      <c r="B207" s="50" t="s">
        <v>1438</v>
      </c>
      <c r="C207" s="50" t="s">
        <v>1464</v>
      </c>
      <c r="D207" s="1" t="str">
        <f t="shared" si="40"/>
        <v>酉鸡·漠灵</v>
      </c>
      <c r="H207" s="1" t="s">
        <v>1465</v>
      </c>
    </row>
    <row r="208" spans="2:10" ht="20.100000000000001" customHeight="1">
      <c r="B208" s="50" t="s">
        <v>1441</v>
      </c>
      <c r="C208" s="50" t="s">
        <v>1466</v>
      </c>
      <c r="D208" s="1" t="str">
        <f t="shared" si="40"/>
        <v>戌狗·无尽</v>
      </c>
      <c r="H208" s="1" t="s">
        <v>1467</v>
      </c>
    </row>
    <row r="209" spans="1:8" ht="20.100000000000001" customHeight="1">
      <c r="B209" s="50" t="s">
        <v>1443</v>
      </c>
      <c r="C209" s="50" t="s">
        <v>1468</v>
      </c>
      <c r="D209" s="1" t="str">
        <f t="shared" si="40"/>
        <v>亥猪·焚天</v>
      </c>
      <c r="H209" s="1" t="s">
        <v>1469</v>
      </c>
    </row>
    <row r="210" spans="1:8" ht="20.100000000000001" customHeight="1"/>
    <row r="211" spans="1:8" ht="20.100000000000001" customHeight="1"/>
    <row r="212" spans="1:8" ht="20.100000000000001" customHeight="1"/>
    <row r="213" spans="1:8" ht="20.100000000000001" customHeight="1">
      <c r="E213" s="1"/>
    </row>
    <row r="214" spans="1:8" ht="20.100000000000001" customHeight="1">
      <c r="D214" s="1"/>
      <c r="E214" s="5"/>
      <c r="F214" s="1"/>
      <c r="G214" s="1"/>
    </row>
    <row r="215" spans="1:8" ht="20.100000000000001" customHeight="1">
      <c r="B215" s="51">
        <v>10010037</v>
      </c>
      <c r="C215" s="52" t="s">
        <v>1470</v>
      </c>
      <c r="D215" s="1"/>
      <c r="E215" s="3" t="s">
        <v>891</v>
      </c>
      <c r="F215" s="1"/>
      <c r="G215" s="1"/>
    </row>
    <row r="216" spans="1:8" ht="20.100000000000001" customHeight="1">
      <c r="D216" s="13"/>
      <c r="E216" s="3" t="s">
        <v>1471</v>
      </c>
      <c r="F216" s="1">
        <v>1</v>
      </c>
      <c r="G216" s="1">
        <v>2</v>
      </c>
    </row>
    <row r="217" spans="1:8" ht="20.100000000000001" customHeight="1">
      <c r="B217" s="1" t="s">
        <v>1472</v>
      </c>
      <c r="C217" s="13">
        <v>3</v>
      </c>
      <c r="E217" s="3" t="s">
        <v>1473</v>
      </c>
      <c r="F217" s="1">
        <v>1.5</v>
      </c>
      <c r="G217" s="1">
        <v>3</v>
      </c>
    </row>
    <row r="218" spans="1:8" ht="20.100000000000001" customHeight="1">
      <c r="E218" s="3" t="s">
        <v>1474</v>
      </c>
      <c r="F218" s="1">
        <v>2</v>
      </c>
      <c r="G218" s="1">
        <v>4</v>
      </c>
    </row>
    <row r="219" spans="1:8" ht="20.100000000000001" customHeight="1">
      <c r="E219" s="3"/>
      <c r="F219" s="1"/>
      <c r="G219" s="1"/>
    </row>
    <row r="220" spans="1:8" ht="20.100000000000001" customHeight="1">
      <c r="B220" s="1" t="s">
        <v>1475</v>
      </c>
      <c r="C220" s="1"/>
      <c r="E220" s="3"/>
    </row>
    <row r="221" spans="1:8" ht="20.100000000000001" customHeight="1">
      <c r="B221" s="1">
        <v>1</v>
      </c>
      <c r="C221" s="1">
        <v>3</v>
      </c>
    </row>
    <row r="222" spans="1:8" ht="20.100000000000001" customHeight="1">
      <c r="B222" s="1">
        <v>2</v>
      </c>
      <c r="C222" s="1">
        <v>10</v>
      </c>
    </row>
    <row r="223" spans="1:8" ht="20.100000000000001" customHeight="1">
      <c r="B223" s="1">
        <v>3</v>
      </c>
      <c r="C223" s="1">
        <v>25</v>
      </c>
    </row>
    <row r="224" spans="1:8" ht="20.100000000000001" customHeight="1">
      <c r="A224" s="5"/>
      <c r="B224" s="5"/>
      <c r="C224" s="1"/>
      <c r="D224" s="5"/>
      <c r="E224" s="5"/>
      <c r="F224" s="5"/>
      <c r="G224" s="1" t="s">
        <v>1476</v>
      </c>
    </row>
    <row r="225" spans="1:6" ht="20.100000000000001" customHeight="1">
      <c r="A225" s="5"/>
      <c r="B225" s="1" t="s">
        <v>1477</v>
      </c>
      <c r="C225" s="1"/>
      <c r="D225" s="5"/>
      <c r="E225" s="1"/>
      <c r="F225" s="5"/>
    </row>
    <row r="226" spans="1:6" ht="20.100000000000001" customHeight="1">
      <c r="A226" s="5"/>
      <c r="B226" s="1">
        <v>1</v>
      </c>
      <c r="C226" s="1">
        <v>12</v>
      </c>
      <c r="D226" s="1">
        <f>C226/3</f>
        <v>4</v>
      </c>
      <c r="E226" s="5"/>
      <c r="F226" s="5"/>
    </row>
    <row r="227" spans="1:6" ht="20.100000000000001" customHeight="1">
      <c r="A227" s="5"/>
      <c r="B227" s="1">
        <v>2</v>
      </c>
      <c r="C227" s="1">
        <v>36</v>
      </c>
      <c r="D227" s="1">
        <f t="shared" ref="D227:D228" si="41">C227/3</f>
        <v>12</v>
      </c>
      <c r="E227" s="5"/>
      <c r="F227" s="5"/>
    </row>
    <row r="228" spans="1:6" ht="20.100000000000001" customHeight="1">
      <c r="A228" s="5"/>
      <c r="B228" s="1">
        <v>3</v>
      </c>
      <c r="C228" s="1">
        <f>C227*3</f>
        <v>108</v>
      </c>
      <c r="D228" s="1">
        <f t="shared" si="41"/>
        <v>36</v>
      </c>
      <c r="E228" s="5"/>
      <c r="F228" s="5"/>
    </row>
    <row r="229" spans="1:6" ht="20.100000000000001" customHeight="1">
      <c r="A229" s="5"/>
      <c r="B229" s="5"/>
      <c r="C229" s="1"/>
      <c r="D229" s="5"/>
      <c r="E229" s="5"/>
      <c r="F229" s="5"/>
    </row>
    <row r="230" spans="1:6" ht="20.100000000000001" customHeight="1"/>
    <row r="231" spans="1:6" ht="20.100000000000001" customHeight="1">
      <c r="B231" s="1">
        <v>10</v>
      </c>
    </row>
    <row r="232" spans="1:6" ht="20.100000000000001" customHeight="1">
      <c r="B232" s="1">
        <v>30</v>
      </c>
    </row>
    <row r="233" spans="1:6" ht="20.100000000000001" customHeight="1">
      <c r="B233" s="1">
        <v>100</v>
      </c>
    </row>
    <row r="234" spans="1:6" ht="20.100000000000001" customHeight="1"/>
    <row r="235" spans="1:6" ht="20.100000000000001" customHeight="1">
      <c r="B235" s="1" t="s">
        <v>1478</v>
      </c>
      <c r="C235" s="1" t="s">
        <v>1479</v>
      </c>
      <c r="D235" s="1"/>
    </row>
    <row r="236" spans="1:6" ht="20.100000000000001" customHeight="1">
      <c r="B236" s="1" t="s">
        <v>1480</v>
      </c>
      <c r="C236" s="1">
        <f>4*3*1.5+3*3</f>
        <v>27</v>
      </c>
      <c r="D236" s="1"/>
      <c r="E236">
        <f>3*3*2</f>
        <v>18</v>
      </c>
    </row>
    <row r="237" spans="1:6" ht="20.100000000000001" customHeight="1">
      <c r="B237" s="1">
        <v>1</v>
      </c>
      <c r="C237" s="1">
        <v>0.08</v>
      </c>
      <c r="D237" s="1">
        <f>C237*C236</f>
        <v>2.16</v>
      </c>
    </row>
    <row r="238" spans="1:6" ht="20.100000000000001" customHeight="1">
      <c r="B238" s="1">
        <v>2</v>
      </c>
      <c r="C238" s="1">
        <v>0.01</v>
      </c>
      <c r="D238" s="1">
        <f>C238*C236</f>
        <v>0.27</v>
      </c>
    </row>
    <row r="239" spans="1:6" ht="20.100000000000001" customHeight="1">
      <c r="B239" s="1" t="s">
        <v>1481</v>
      </c>
      <c r="C239" s="1">
        <v>0.3</v>
      </c>
      <c r="D239" s="1">
        <f>C236*C239/10</f>
        <v>0.80999999999999994</v>
      </c>
    </row>
    <row r="240" spans="1:6" ht="20.100000000000001" customHeight="1"/>
    <row r="241" spans="2:8" ht="20.100000000000001" customHeight="1">
      <c r="B241" s="51">
        <v>10010037</v>
      </c>
      <c r="C241" s="52" t="s">
        <v>1470</v>
      </c>
      <c r="D241" s="1">
        <v>0.3</v>
      </c>
    </row>
    <row r="242" spans="2:8" ht="20.100000000000001" customHeight="1">
      <c r="B242" s="30">
        <v>16000101</v>
      </c>
      <c r="C242" s="31" t="s">
        <v>1398</v>
      </c>
      <c r="D242" s="1">
        <v>0.08</v>
      </c>
    </row>
    <row r="243" spans="2:8" ht="20.100000000000001" customHeight="1">
      <c r="B243" s="30">
        <v>16000102</v>
      </c>
      <c r="C243" s="31" t="s">
        <v>1399</v>
      </c>
      <c r="D243" s="1">
        <v>0.08</v>
      </c>
    </row>
    <row r="244" spans="2:8" ht="20.100000000000001" customHeight="1">
      <c r="B244" s="30">
        <v>16000103</v>
      </c>
      <c r="C244" s="31" t="s">
        <v>1400</v>
      </c>
      <c r="D244" s="1">
        <v>0.08</v>
      </c>
      <c r="G244">
        <v>1380</v>
      </c>
      <c r="H244">
        <v>1500</v>
      </c>
    </row>
    <row r="245" spans="2:8" ht="20.100000000000001" customHeight="1">
      <c r="B245" s="30">
        <v>16000104</v>
      </c>
      <c r="C245" s="31" t="s">
        <v>1401</v>
      </c>
      <c r="D245" s="1">
        <v>0.08</v>
      </c>
      <c r="G245">
        <v>1400</v>
      </c>
    </row>
    <row r="246" spans="2:8" ht="20.100000000000001" customHeight="1">
      <c r="B246" s="30">
        <v>16000105</v>
      </c>
      <c r="C246" s="31" t="s">
        <v>1402</v>
      </c>
      <c r="D246" s="1">
        <v>0.08</v>
      </c>
      <c r="G246">
        <v>1400</v>
      </c>
    </row>
    <row r="247" spans="2:8" ht="20.100000000000001" customHeight="1">
      <c r="B247" s="30">
        <v>16000106</v>
      </c>
      <c r="C247" s="31" t="s">
        <v>1403</v>
      </c>
      <c r="D247" s="1">
        <v>0.08</v>
      </c>
    </row>
    <row r="248" spans="2:8" ht="20.100000000000001" customHeight="1">
      <c r="B248" s="30">
        <v>16000107</v>
      </c>
      <c r="C248" s="31" t="s">
        <v>1404</v>
      </c>
      <c r="D248" s="1">
        <v>0.08</v>
      </c>
      <c r="G248">
        <v>1400</v>
      </c>
      <c r="H248">
        <v>1380</v>
      </c>
    </row>
    <row r="249" spans="2:8" ht="20.100000000000001" customHeight="1">
      <c r="B249" s="30">
        <v>16000108</v>
      </c>
      <c r="C249" s="31" t="s">
        <v>1405</v>
      </c>
      <c r="D249" s="1">
        <v>0.08</v>
      </c>
    </row>
    <row r="250" spans="2:8" ht="20.100000000000001" customHeight="1">
      <c r="B250" s="30">
        <v>16000109</v>
      </c>
      <c r="C250" s="31" t="s">
        <v>1406</v>
      </c>
      <c r="D250" s="1">
        <v>0.08</v>
      </c>
    </row>
    <row r="251" spans="2:8" ht="20.100000000000001" customHeight="1">
      <c r="B251" s="30">
        <v>16000110</v>
      </c>
      <c r="C251" s="31" t="s">
        <v>1407</v>
      </c>
      <c r="D251" s="1">
        <v>0.08</v>
      </c>
    </row>
    <row r="252" spans="2:8" ht="20.100000000000001" customHeight="1">
      <c r="B252" s="30">
        <v>16000111</v>
      </c>
      <c r="C252" s="31" t="s">
        <v>1408</v>
      </c>
      <c r="D252" s="1">
        <v>0.08</v>
      </c>
    </row>
    <row r="253" spans="2:8" ht="20.100000000000001" customHeight="1">
      <c r="B253" s="30">
        <v>16000112</v>
      </c>
      <c r="C253" s="31" t="s">
        <v>1409</v>
      </c>
      <c r="D253" s="1">
        <v>0.08</v>
      </c>
    </row>
    <row r="254" spans="2:8" ht="20.100000000000001" customHeight="1">
      <c r="B254" s="30">
        <v>16000201</v>
      </c>
      <c r="C254" s="31" t="s">
        <v>1482</v>
      </c>
      <c r="D254" s="1">
        <v>1.4999999999999999E-2</v>
      </c>
    </row>
    <row r="255" spans="2:8" ht="20.100000000000001" customHeight="1">
      <c r="B255" s="30">
        <v>16000202</v>
      </c>
      <c r="C255" s="31" t="s">
        <v>1483</v>
      </c>
      <c r="D255" s="1">
        <v>1.4999999999999999E-2</v>
      </c>
    </row>
    <row r="256" spans="2:8" ht="20.100000000000001" customHeight="1">
      <c r="B256" s="30">
        <v>16000203</v>
      </c>
      <c r="C256" s="31" t="s">
        <v>1484</v>
      </c>
      <c r="D256" s="1">
        <v>1.4999999999999999E-2</v>
      </c>
    </row>
    <row r="257" spans="2:4" ht="20.100000000000001" customHeight="1">
      <c r="B257" s="30">
        <v>16000204</v>
      </c>
      <c r="C257" s="31" t="s">
        <v>1485</v>
      </c>
      <c r="D257" s="1">
        <v>1.4999999999999999E-2</v>
      </c>
    </row>
    <row r="258" spans="2:4" ht="20.100000000000001" customHeight="1">
      <c r="B258" s="30">
        <v>16000205</v>
      </c>
      <c r="C258" s="31" t="s">
        <v>1486</v>
      </c>
      <c r="D258" s="1">
        <v>1.4999999999999999E-2</v>
      </c>
    </row>
    <row r="259" spans="2:4" ht="20.100000000000001" customHeight="1">
      <c r="B259" s="30">
        <v>16000206</v>
      </c>
      <c r="C259" s="31" t="s">
        <v>1487</v>
      </c>
      <c r="D259" s="1">
        <v>1.4999999999999999E-2</v>
      </c>
    </row>
    <row r="260" spans="2:4" ht="20.100000000000001" customHeight="1">
      <c r="B260" s="30">
        <v>16000207</v>
      </c>
      <c r="C260" s="31" t="s">
        <v>1488</v>
      </c>
      <c r="D260" s="1">
        <v>1.4999999999999999E-2</v>
      </c>
    </row>
    <row r="261" spans="2:4" ht="20.100000000000001" customHeight="1">
      <c r="B261" s="30">
        <v>16000208</v>
      </c>
      <c r="C261" s="31" t="s">
        <v>1489</v>
      </c>
      <c r="D261" s="1">
        <v>1.4999999999999999E-2</v>
      </c>
    </row>
    <row r="262" spans="2:4" ht="20.100000000000001" customHeight="1">
      <c r="B262" s="30">
        <v>16000209</v>
      </c>
      <c r="C262" s="31" t="s">
        <v>1490</v>
      </c>
      <c r="D262" s="1">
        <v>1.4999999999999999E-2</v>
      </c>
    </row>
    <row r="263" spans="2:4" ht="20.100000000000001" customHeight="1">
      <c r="B263" s="30">
        <v>16000210</v>
      </c>
      <c r="C263" s="31" t="s">
        <v>1491</v>
      </c>
      <c r="D263" s="1">
        <v>1.4999999999999999E-2</v>
      </c>
    </row>
    <row r="264" spans="2:4" ht="20.100000000000001" customHeight="1">
      <c r="B264" s="30">
        <v>16000211</v>
      </c>
      <c r="C264" s="31" t="s">
        <v>1492</v>
      </c>
      <c r="D264" s="1">
        <v>1.4999999999999999E-2</v>
      </c>
    </row>
    <row r="265" spans="2:4" ht="20.100000000000001" customHeight="1">
      <c r="B265" s="30">
        <v>16000212</v>
      </c>
      <c r="C265" s="31" t="s">
        <v>1493</v>
      </c>
      <c r="D265" s="1">
        <v>1.4999999999999999E-2</v>
      </c>
    </row>
    <row r="266" spans="2:4" ht="20.100000000000001" customHeight="1">
      <c r="B266" s="30">
        <v>16000301</v>
      </c>
      <c r="C266" s="31" t="s">
        <v>1494</v>
      </c>
    </row>
    <row r="267" spans="2:4" ht="20.100000000000001" customHeight="1">
      <c r="B267" s="30">
        <v>16000302</v>
      </c>
      <c r="C267" s="31" t="s">
        <v>1495</v>
      </c>
    </row>
    <row r="268" spans="2:4" ht="20.100000000000001" customHeight="1">
      <c r="B268" s="30">
        <v>16000303</v>
      </c>
      <c r="C268" s="31" t="s">
        <v>1496</v>
      </c>
    </row>
    <row r="269" spans="2:4" ht="20.100000000000001" customHeight="1">
      <c r="B269" s="30">
        <v>16000304</v>
      </c>
      <c r="C269" s="31" t="s">
        <v>1497</v>
      </c>
    </row>
    <row r="270" spans="2:4" ht="20.100000000000001" customHeight="1">
      <c r="B270" s="30">
        <v>16000305</v>
      </c>
      <c r="C270" s="31" t="s">
        <v>1498</v>
      </c>
    </row>
    <row r="271" spans="2:4" ht="20.100000000000001" customHeight="1">
      <c r="B271" s="30">
        <v>16000306</v>
      </c>
      <c r="C271" s="31" t="s">
        <v>1499</v>
      </c>
    </row>
    <row r="272" spans="2:4" ht="20.100000000000001" customHeight="1">
      <c r="B272" s="30">
        <v>16000307</v>
      </c>
      <c r="C272" s="31" t="s">
        <v>1500</v>
      </c>
    </row>
    <row r="273" spans="2:3" ht="20.100000000000001" customHeight="1">
      <c r="B273" s="30">
        <v>16000308</v>
      </c>
      <c r="C273" s="31" t="s">
        <v>1501</v>
      </c>
    </row>
    <row r="274" spans="2:3" ht="20.100000000000001" customHeight="1">
      <c r="B274" s="30">
        <v>16000309</v>
      </c>
      <c r="C274" s="31" t="s">
        <v>1502</v>
      </c>
    </row>
    <row r="275" spans="2:3" ht="20.100000000000001" customHeight="1">
      <c r="B275" s="30">
        <v>16000310</v>
      </c>
      <c r="C275" s="31" t="s">
        <v>1503</v>
      </c>
    </row>
    <row r="276" spans="2:3" ht="20.100000000000001" customHeight="1">
      <c r="B276" s="30">
        <v>16000311</v>
      </c>
      <c r="C276" s="31" t="s">
        <v>1504</v>
      </c>
    </row>
    <row r="277" spans="2:3" ht="20.100000000000001" customHeight="1">
      <c r="B277" s="30">
        <v>16000312</v>
      </c>
      <c r="C277" s="31" t="s">
        <v>1505</v>
      </c>
    </row>
    <row r="278" spans="2:3" ht="20.100000000000001" customHeight="1"/>
    <row r="279" spans="2:3" ht="20.100000000000001" customHeight="1"/>
    <row r="280" spans="2:3" ht="20.100000000000001" customHeight="1"/>
    <row r="281" spans="2:3" ht="20.100000000000001" customHeight="1"/>
    <row r="282" spans="2:3" ht="20.100000000000001" customHeight="1"/>
    <row r="283" spans="2:3" ht="20.100000000000001" customHeight="1"/>
    <row r="284" spans="2:3" ht="20.100000000000001" customHeight="1"/>
    <row r="285" spans="2:3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workbookViewId="0">
      <selection activeCell="L11" sqref="H2:L11"/>
    </sheetView>
  </sheetViews>
  <sheetFormatPr defaultColWidth="9" defaultRowHeight="14.25"/>
  <cols>
    <col min="2" max="2" width="11" customWidth="1"/>
    <col min="9" max="9" width="11.75" customWidth="1"/>
    <col min="10" max="10" width="36.5" customWidth="1"/>
    <col min="11" max="11" width="14.25" customWidth="1"/>
    <col min="12" max="12" width="11" customWidth="1"/>
    <col min="13" max="13" width="21.625" customWidth="1"/>
    <col min="14" max="14" width="9" style="36"/>
    <col min="16" max="16" width="23.75" customWidth="1"/>
  </cols>
  <sheetData>
    <row r="1" spans="1:18" s="5" customFormat="1" ht="20.100000000000001" customHeight="1">
      <c r="N1" s="38"/>
    </row>
    <row r="2" spans="1:18" s="5" customFormat="1" ht="20.100000000000001" customHeight="1">
      <c r="I2" s="1" t="s">
        <v>1506</v>
      </c>
      <c r="N2" s="38"/>
    </row>
    <row r="3" spans="1:18" s="5" customFormat="1" ht="20.100000000000001" customHeight="1">
      <c r="H3" s="1" t="s">
        <v>1507</v>
      </c>
      <c r="I3" s="1">
        <v>1</v>
      </c>
      <c r="J3" s="1" t="s">
        <v>1508</v>
      </c>
      <c r="K3" s="1" t="s">
        <v>1509</v>
      </c>
      <c r="N3" s="38"/>
    </row>
    <row r="4" spans="1:18" s="5" customFormat="1" ht="20.100000000000001" customHeight="1">
      <c r="I4" s="1">
        <v>2</v>
      </c>
      <c r="J4" s="1" t="s">
        <v>1510</v>
      </c>
      <c r="N4" s="38"/>
    </row>
    <row r="5" spans="1:18" s="5" customFormat="1" ht="20.100000000000001" customHeight="1">
      <c r="I5" s="1">
        <v>3</v>
      </c>
      <c r="J5" s="1" t="s">
        <v>1511</v>
      </c>
      <c r="K5" s="1" t="s">
        <v>1512</v>
      </c>
      <c r="N5" s="38"/>
      <c r="P5" s="1">
        <v>9</v>
      </c>
      <c r="Q5" s="1" t="s">
        <v>1513</v>
      </c>
      <c r="R5" s="1" t="s">
        <v>1514</v>
      </c>
    </row>
    <row r="6" spans="1:18" s="5" customFormat="1" ht="20.100000000000001" customHeight="1">
      <c r="I6" s="1">
        <v>4</v>
      </c>
      <c r="J6" s="1" t="s">
        <v>1515</v>
      </c>
      <c r="N6" s="38"/>
    </row>
    <row r="7" spans="1:18" s="5" customFormat="1" ht="20.100000000000001" customHeight="1">
      <c r="I7" s="1">
        <v>5</v>
      </c>
      <c r="J7" s="1" t="s">
        <v>1516</v>
      </c>
      <c r="K7" s="1" t="s">
        <v>1514</v>
      </c>
      <c r="N7" s="38"/>
    </row>
    <row r="8" spans="1:18" s="5" customFormat="1" ht="20.100000000000001" customHeight="1">
      <c r="I8" s="1">
        <v>6</v>
      </c>
      <c r="J8" s="1" t="s">
        <v>1517</v>
      </c>
      <c r="K8" s="1" t="s">
        <v>1512</v>
      </c>
      <c r="N8" s="38"/>
    </row>
    <row r="9" spans="1:18" s="5" customFormat="1" ht="20.100000000000001" customHeight="1">
      <c r="I9" s="1">
        <v>7</v>
      </c>
      <c r="J9" s="1" t="s">
        <v>1518</v>
      </c>
      <c r="K9" s="1">
        <v>60000</v>
      </c>
      <c r="N9" s="38"/>
    </row>
    <row r="10" spans="1:18" s="5" customFormat="1" ht="20.100000000000001" customHeight="1">
      <c r="I10" s="1">
        <v>8</v>
      </c>
      <c r="J10" s="1" t="s">
        <v>1519</v>
      </c>
      <c r="K10" s="1" t="s">
        <v>1520</v>
      </c>
      <c r="N10" s="38"/>
    </row>
    <row r="11" spans="1:18" s="5" customFormat="1" ht="20.100000000000001" customHeight="1">
      <c r="I11" s="1">
        <v>10</v>
      </c>
      <c r="J11" s="1" t="s">
        <v>1521</v>
      </c>
      <c r="K11" s="1" t="s">
        <v>1522</v>
      </c>
      <c r="N11" s="38"/>
    </row>
    <row r="12" spans="1:18" s="5" customFormat="1" ht="20.100000000000001" customHeight="1">
      <c r="N12" s="38"/>
    </row>
    <row r="13" spans="1:18" s="5" customFormat="1" ht="20.100000000000001" customHeight="1">
      <c r="J13" s="1" t="s">
        <v>1523</v>
      </c>
      <c r="N13" s="38"/>
      <c r="O13" s="1" t="s">
        <v>1524</v>
      </c>
    </row>
    <row r="14" spans="1:18" s="1" customFormat="1" ht="20.100000000000001" customHeight="1">
      <c r="N14" s="7"/>
    </row>
    <row r="15" spans="1:18" s="1" customFormat="1" ht="20.100000000000001" customHeight="1">
      <c r="J15" s="1" t="s">
        <v>1525</v>
      </c>
      <c r="N15" s="39" t="s">
        <v>1526</v>
      </c>
      <c r="Q15" s="1" t="s">
        <v>1527</v>
      </c>
    </row>
    <row r="16" spans="1:18" s="1" customFormat="1" ht="20.100000000000001" customHeight="1">
      <c r="A16" s="37" t="s">
        <v>220</v>
      </c>
      <c r="B16" s="1" t="s">
        <v>1528</v>
      </c>
      <c r="C16" s="7" t="s">
        <v>1529</v>
      </c>
      <c r="I16" s="1" t="s">
        <v>1530</v>
      </c>
      <c r="J16" s="7" t="s">
        <v>1531</v>
      </c>
      <c r="M16" s="1" t="s">
        <v>1532</v>
      </c>
      <c r="N16" s="7" t="s">
        <v>1533</v>
      </c>
    </row>
    <row r="17" spans="1:18" s="1" customFormat="1" ht="20.100000000000001" customHeight="1">
      <c r="A17" s="37" t="s">
        <v>312</v>
      </c>
      <c r="B17" s="1" t="s">
        <v>1534</v>
      </c>
      <c r="C17" s="7" t="s">
        <v>1535</v>
      </c>
      <c r="I17" s="1" t="s">
        <v>1536</v>
      </c>
      <c r="J17" s="7" t="s">
        <v>1537</v>
      </c>
      <c r="M17" s="1" t="s">
        <v>1538</v>
      </c>
      <c r="N17" s="7" t="s">
        <v>1539</v>
      </c>
    </row>
    <row r="18" spans="1:18" s="1" customFormat="1" ht="20.100000000000001" customHeight="1">
      <c r="A18" s="37" t="s">
        <v>386</v>
      </c>
      <c r="B18" s="1" t="s">
        <v>1540</v>
      </c>
      <c r="C18" s="7" t="s">
        <v>1541</v>
      </c>
      <c r="I18" s="1" t="s">
        <v>1542</v>
      </c>
      <c r="J18" s="7" t="s">
        <v>1543</v>
      </c>
      <c r="M18" s="1" t="s">
        <v>1544</v>
      </c>
      <c r="N18" s="7" t="s">
        <v>1545</v>
      </c>
    </row>
    <row r="19" spans="1:18" s="1" customFormat="1" ht="20.100000000000001" customHeight="1">
      <c r="C19" s="7"/>
      <c r="J19" s="7"/>
      <c r="N19" s="7" t="s">
        <v>1546</v>
      </c>
    </row>
    <row r="20" spans="1:18" s="1" customFormat="1" ht="20.100000000000001" customHeight="1">
      <c r="A20" s="37" t="s">
        <v>67</v>
      </c>
      <c r="B20" s="1" t="s">
        <v>1547</v>
      </c>
      <c r="C20" s="7" t="s">
        <v>1548</v>
      </c>
      <c r="I20" s="1" t="s">
        <v>1549</v>
      </c>
      <c r="J20" s="7" t="s">
        <v>1550</v>
      </c>
      <c r="M20" s="1" t="s">
        <v>1551</v>
      </c>
      <c r="N20" s="7"/>
    </row>
    <row r="21" spans="1:18" s="1" customFormat="1" ht="20.100000000000001" customHeight="1">
      <c r="A21" s="37" t="s">
        <v>175</v>
      </c>
      <c r="B21" s="1" t="s">
        <v>1552</v>
      </c>
      <c r="C21" s="7" t="s">
        <v>1553</v>
      </c>
      <c r="I21" s="1" t="s">
        <v>1554</v>
      </c>
      <c r="J21" s="7" t="s">
        <v>1555</v>
      </c>
      <c r="M21" s="1" t="s">
        <v>1556</v>
      </c>
      <c r="N21" s="7" t="s">
        <v>1557</v>
      </c>
    </row>
    <row r="22" spans="1:18" s="1" customFormat="1" ht="20.100000000000001" customHeight="1">
      <c r="A22" s="37" t="s">
        <v>279</v>
      </c>
      <c r="B22" s="1" t="s">
        <v>1558</v>
      </c>
      <c r="C22" s="7" t="s">
        <v>1559</v>
      </c>
      <c r="I22" s="1" t="s">
        <v>1560</v>
      </c>
      <c r="J22" s="7" t="s">
        <v>1561</v>
      </c>
      <c r="M22" s="1" t="s">
        <v>1562</v>
      </c>
      <c r="N22" s="7"/>
    </row>
    <row r="23" spans="1:18" s="1" customFormat="1" ht="20.100000000000001" customHeight="1">
      <c r="J23" s="7"/>
      <c r="N23" s="7"/>
    </row>
    <row r="24" spans="1:18" s="1" customFormat="1" ht="20.100000000000001" customHeight="1">
      <c r="I24" s="1" t="s">
        <v>1563</v>
      </c>
      <c r="J24" s="7" t="s">
        <v>1564</v>
      </c>
      <c r="N24" s="7"/>
    </row>
    <row r="25" spans="1:18" s="1" customFormat="1" ht="20.100000000000001" customHeight="1">
      <c r="J25" s="7" t="s">
        <v>1565</v>
      </c>
      <c r="N25" s="7"/>
    </row>
    <row r="26" spans="1:18" s="1" customFormat="1" ht="20.100000000000001" customHeight="1">
      <c r="J26" s="7"/>
      <c r="N26" s="7"/>
    </row>
    <row r="27" spans="1:18" s="1" customFormat="1" ht="20.100000000000001" customHeight="1">
      <c r="N27" s="7"/>
    </row>
    <row r="28" spans="1:18" s="1" customFormat="1" ht="20.100000000000001" customHeight="1">
      <c r="A28" s="1" t="s">
        <v>1566</v>
      </c>
      <c r="B28" s="1" t="s">
        <v>25</v>
      </c>
      <c r="M28" s="1" t="s">
        <v>1264</v>
      </c>
      <c r="N28" s="7"/>
      <c r="P28" s="7"/>
    </row>
    <row r="29" spans="1:18" s="1" customFormat="1" ht="20.100000000000001" customHeight="1">
      <c r="A29" s="1" t="s">
        <v>1567</v>
      </c>
      <c r="B29" s="1">
        <v>1</v>
      </c>
      <c r="C29" s="7" t="s">
        <v>1568</v>
      </c>
      <c r="G29" s="1">
        <v>3</v>
      </c>
      <c r="L29" s="1" t="s">
        <v>1569</v>
      </c>
      <c r="M29" s="1" t="s">
        <v>1570</v>
      </c>
      <c r="N29" s="7"/>
      <c r="O29" s="1">
        <v>1</v>
      </c>
      <c r="P29" s="7" t="s">
        <v>1571</v>
      </c>
    </row>
    <row r="30" spans="1:18" s="1" customFormat="1" ht="20.100000000000001" customHeight="1">
      <c r="A30" s="1" t="s">
        <v>1572</v>
      </c>
      <c r="B30" s="1">
        <v>2</v>
      </c>
      <c r="C30" s="7" t="s">
        <v>1573</v>
      </c>
      <c r="G30" s="1">
        <v>2</v>
      </c>
      <c r="M30" s="1" t="s">
        <v>1574</v>
      </c>
      <c r="N30" s="7"/>
      <c r="O30" s="1">
        <v>2</v>
      </c>
      <c r="P30" s="7" t="s">
        <v>1575</v>
      </c>
    </row>
    <row r="31" spans="1:18" ht="20.100000000000001" customHeight="1">
      <c r="A31" s="1" t="s">
        <v>1576</v>
      </c>
      <c r="B31" s="1">
        <v>2</v>
      </c>
      <c r="C31" s="3" t="s">
        <v>1577</v>
      </c>
      <c r="G31" s="22">
        <v>2</v>
      </c>
      <c r="L31" s="1"/>
      <c r="M31" s="1" t="s">
        <v>1578</v>
      </c>
      <c r="N31" s="38"/>
      <c r="O31" s="1">
        <v>3</v>
      </c>
      <c r="P31" s="7" t="s">
        <v>1579</v>
      </c>
      <c r="Q31" s="29"/>
      <c r="R31" s="29"/>
    </row>
    <row r="32" spans="1:18" ht="20.100000000000001" customHeight="1">
      <c r="A32" s="1" t="s">
        <v>1580</v>
      </c>
      <c r="B32" s="1">
        <v>2</v>
      </c>
      <c r="C32" t="s">
        <v>1581</v>
      </c>
      <c r="G32" s="1">
        <v>2</v>
      </c>
      <c r="L32" s="1"/>
      <c r="M32" s="1"/>
      <c r="N32" s="38"/>
      <c r="O32" s="1">
        <v>4</v>
      </c>
      <c r="P32" s="38"/>
      <c r="Q32" s="29"/>
      <c r="R32" s="29"/>
    </row>
    <row r="33" spans="1:18" ht="20.100000000000001" customHeight="1">
      <c r="A33" s="1" t="s">
        <v>1582</v>
      </c>
      <c r="B33" s="1">
        <v>10</v>
      </c>
      <c r="G33" s="1">
        <v>1</v>
      </c>
      <c r="I33">
        <v>10</v>
      </c>
      <c r="L33" s="1"/>
      <c r="M33" s="1"/>
      <c r="N33" s="38"/>
      <c r="O33" s="5"/>
      <c r="P33" s="5"/>
      <c r="Q33" s="5"/>
      <c r="R33" s="5"/>
    </row>
    <row r="34" spans="1:18" ht="20.100000000000001" customHeight="1">
      <c r="A34" s="1" t="s">
        <v>1583</v>
      </c>
      <c r="B34" s="1">
        <v>10</v>
      </c>
      <c r="G34" s="1">
        <v>1</v>
      </c>
      <c r="L34" s="1"/>
      <c r="M34" s="1"/>
    </row>
    <row r="35" spans="1:18" ht="20.100000000000001" customHeight="1">
      <c r="A35" s="1" t="s">
        <v>1584</v>
      </c>
      <c r="B35" s="1">
        <v>10</v>
      </c>
      <c r="G35" s="1">
        <v>1</v>
      </c>
      <c r="L35" s="1"/>
      <c r="M35" s="1"/>
    </row>
    <row r="36" spans="1:18" ht="20.100000000000001" customHeight="1">
      <c r="A36" s="1" t="s">
        <v>1585</v>
      </c>
      <c r="B36" s="1">
        <v>10</v>
      </c>
      <c r="G36" s="1">
        <v>1</v>
      </c>
      <c r="L36" s="1"/>
      <c r="M36" s="1"/>
      <c r="N36" s="38"/>
      <c r="O36" s="5"/>
      <c r="P36" s="5"/>
      <c r="Q36" s="5"/>
      <c r="R36" s="5"/>
    </row>
    <row r="37" spans="1:18" ht="20.100000000000001" customHeight="1">
      <c r="A37" s="1" t="s">
        <v>1586</v>
      </c>
      <c r="B37" s="1">
        <v>10</v>
      </c>
      <c r="G37" s="1">
        <v>1</v>
      </c>
      <c r="L37" s="1" t="s">
        <v>1587</v>
      </c>
      <c r="M37" s="1" t="s">
        <v>1588</v>
      </c>
      <c r="N37" s="38"/>
      <c r="O37" s="1">
        <v>1</v>
      </c>
      <c r="P37" s="5"/>
      <c r="Q37" s="5"/>
      <c r="R37" s="5"/>
    </row>
    <row r="38" spans="1:18" ht="20.100000000000001" customHeight="1">
      <c r="L38" s="1"/>
      <c r="M38" s="1" t="s">
        <v>1589</v>
      </c>
      <c r="N38" s="38"/>
      <c r="O38" s="1">
        <v>2</v>
      </c>
      <c r="P38" s="5"/>
      <c r="Q38" s="5"/>
      <c r="R38" s="5"/>
    </row>
    <row r="39" spans="1:18" ht="20.100000000000001" customHeight="1">
      <c r="L39" s="1"/>
      <c r="M39" s="1"/>
      <c r="N39" s="38"/>
      <c r="O39" s="1"/>
      <c r="P39" s="5"/>
      <c r="Q39" s="5"/>
      <c r="R39" s="5"/>
    </row>
    <row r="40" spans="1:18" ht="20.100000000000001" customHeight="1">
      <c r="N40" s="38"/>
      <c r="O40" s="1"/>
      <c r="P40" s="5"/>
      <c r="Q40" s="5"/>
      <c r="R40" s="5"/>
    </row>
    <row r="41" spans="1:18">
      <c r="N41" s="38"/>
      <c r="O41" s="5"/>
      <c r="P41" s="5"/>
      <c r="Q41" s="5"/>
      <c r="R41" s="5"/>
    </row>
  </sheetData>
  <phoneticPr fontId="35" type="noConversion"/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C50"/>
  <sheetViews>
    <sheetView workbookViewId="0">
      <selection activeCell="L13" sqref="L13"/>
    </sheetView>
  </sheetViews>
  <sheetFormatPr defaultColWidth="9" defaultRowHeight="14.25"/>
  <cols>
    <col min="5" max="5" width="13" customWidth="1"/>
    <col min="18" max="21" width="11.5" customWidth="1"/>
    <col min="23" max="23" width="10.25" customWidth="1"/>
    <col min="25" max="25" width="13.25" customWidth="1"/>
    <col min="26" max="26" width="13.5" customWidth="1"/>
    <col min="27" max="27" width="12.375" customWidth="1"/>
    <col min="28" max="28" width="11.875" customWidth="1"/>
  </cols>
  <sheetData>
    <row r="1" spans="2:26" s="1" customFormat="1" ht="20.100000000000001" customHeight="1">
      <c r="E1" s="1" t="s">
        <v>1590</v>
      </c>
    </row>
    <row r="2" spans="2:26" s="1" customFormat="1" ht="20.100000000000001" customHeight="1">
      <c r="G2" s="1" t="s">
        <v>329</v>
      </c>
    </row>
    <row r="3" spans="2:26" s="1" customFormat="1" ht="20.100000000000001" customHeight="1">
      <c r="B3" s="1">
        <v>20</v>
      </c>
      <c r="C3" s="1" t="s">
        <v>1591</v>
      </c>
      <c r="D3" s="1" t="s">
        <v>2</v>
      </c>
      <c r="E3" s="1">
        <v>1</v>
      </c>
      <c r="F3" s="1">
        <v>20</v>
      </c>
      <c r="H3" s="1">
        <v>30</v>
      </c>
      <c r="I3" s="1" t="s">
        <v>1592</v>
      </c>
      <c r="J3" s="1" t="s">
        <v>2</v>
      </c>
      <c r="L3" s="1">
        <v>40</v>
      </c>
      <c r="M3" s="1" t="s">
        <v>1593</v>
      </c>
      <c r="N3" s="1" t="s">
        <v>2</v>
      </c>
      <c r="S3" s="1">
        <v>10</v>
      </c>
      <c r="T3" s="1">
        <v>6</v>
      </c>
      <c r="U3" s="1">
        <f>T3*S3</f>
        <v>60</v>
      </c>
      <c r="W3" s="1">
        <f>60*250+7500</f>
        <v>22500</v>
      </c>
      <c r="Y3" s="1">
        <f>U3/W3</f>
        <v>2.6666666666666666E-3</v>
      </c>
      <c r="Z3" s="1">
        <f>Y3*10</f>
        <v>2.6666666666666665E-2</v>
      </c>
    </row>
    <row r="4" spans="2:26" s="1" customFormat="1" ht="20.100000000000001" customHeight="1">
      <c r="D4" s="1" t="s">
        <v>3</v>
      </c>
      <c r="E4" s="1">
        <v>1</v>
      </c>
      <c r="F4" s="1">
        <v>20</v>
      </c>
      <c r="J4" s="1" t="s">
        <v>3</v>
      </c>
      <c r="N4" s="1" t="s">
        <v>3</v>
      </c>
      <c r="S4" s="1">
        <v>20</v>
      </c>
      <c r="T4" s="1">
        <v>6</v>
      </c>
      <c r="U4" s="1">
        <f t="shared" ref="U4:U7" si="0">T4*S4</f>
        <v>120</v>
      </c>
      <c r="W4" s="1">
        <f t="shared" ref="W4:W7" si="1">60*250+7500</f>
        <v>22500</v>
      </c>
      <c r="Y4" s="1">
        <f t="shared" ref="Y4:Y7" si="2">U4/W4</f>
        <v>5.3333333333333332E-3</v>
      </c>
      <c r="Z4" s="1">
        <f t="shared" ref="Z4:Z7" si="3">Y4*10</f>
        <v>5.333333333333333E-2</v>
      </c>
    </row>
    <row r="5" spans="2:26" s="1" customFormat="1" ht="20.100000000000001" customHeight="1">
      <c r="D5" s="1" t="s">
        <v>12</v>
      </c>
      <c r="E5" s="1">
        <v>1</v>
      </c>
      <c r="F5" s="1">
        <v>20</v>
      </c>
      <c r="J5" s="1" t="s">
        <v>12</v>
      </c>
      <c r="N5" s="1" t="s">
        <v>12</v>
      </c>
      <c r="S5" s="1">
        <v>30</v>
      </c>
      <c r="T5" s="1">
        <v>6</v>
      </c>
      <c r="U5" s="1">
        <f t="shared" si="0"/>
        <v>180</v>
      </c>
      <c r="W5" s="1">
        <f t="shared" si="1"/>
        <v>22500</v>
      </c>
      <c r="Y5" s="1">
        <f t="shared" si="2"/>
        <v>8.0000000000000002E-3</v>
      </c>
      <c r="Z5" s="1">
        <f t="shared" si="3"/>
        <v>0.08</v>
      </c>
    </row>
    <row r="6" spans="2:26" s="1" customFormat="1" ht="20.100000000000001" customHeight="1">
      <c r="D6" s="1" t="s">
        <v>1594</v>
      </c>
      <c r="E6" s="1">
        <v>1</v>
      </c>
      <c r="F6" s="1">
        <v>20</v>
      </c>
      <c r="J6" s="1" t="s">
        <v>1594</v>
      </c>
      <c r="N6" s="1" t="s">
        <v>1594</v>
      </c>
      <c r="S6" s="1">
        <v>40</v>
      </c>
      <c r="T6" s="1">
        <v>6</v>
      </c>
      <c r="U6" s="1">
        <f t="shared" si="0"/>
        <v>240</v>
      </c>
      <c r="W6" s="1">
        <f t="shared" si="1"/>
        <v>22500</v>
      </c>
      <c r="Y6" s="1">
        <f t="shared" si="2"/>
        <v>1.0666666666666666E-2</v>
      </c>
      <c r="Z6" s="1">
        <f t="shared" si="3"/>
        <v>0.10666666666666666</v>
      </c>
    </row>
    <row r="7" spans="2:26" s="1" customFormat="1" ht="20.100000000000001" customHeight="1">
      <c r="D7" s="1" t="s">
        <v>1595</v>
      </c>
      <c r="E7" s="1">
        <v>1</v>
      </c>
      <c r="F7" s="1">
        <v>20</v>
      </c>
      <c r="J7" s="1" t="s">
        <v>1595</v>
      </c>
      <c r="N7" s="1" t="s">
        <v>1595</v>
      </c>
      <c r="S7" s="1">
        <v>50</v>
      </c>
      <c r="T7" s="1">
        <v>6</v>
      </c>
      <c r="U7" s="1">
        <f t="shared" si="0"/>
        <v>300</v>
      </c>
      <c r="W7" s="1">
        <f t="shared" si="1"/>
        <v>22500</v>
      </c>
      <c r="Y7" s="1">
        <f t="shared" si="2"/>
        <v>1.3333333333333334E-2</v>
      </c>
      <c r="Z7" s="1">
        <f t="shared" si="3"/>
        <v>0.13333333333333333</v>
      </c>
    </row>
    <row r="8" spans="2:26" s="1" customFormat="1" ht="20.100000000000001" customHeight="1"/>
    <row r="9" spans="2:26" s="1" customFormat="1" ht="20.100000000000001" customHeight="1"/>
    <row r="10" spans="2:26" s="1" customFormat="1" ht="20.100000000000001" customHeight="1">
      <c r="S10" s="4" t="s">
        <v>2</v>
      </c>
      <c r="T10" s="4" t="s">
        <v>3</v>
      </c>
      <c r="U10" s="4" t="s">
        <v>28</v>
      </c>
      <c r="V10" s="4" t="s">
        <v>29</v>
      </c>
    </row>
    <row r="11" spans="2:26" s="1" customFormat="1" ht="20.100000000000001" customHeight="1">
      <c r="B11" s="1" t="s">
        <v>1596</v>
      </c>
      <c r="F11" s="1" t="s">
        <v>1597</v>
      </c>
      <c r="S11" s="1">
        <v>10500</v>
      </c>
      <c r="T11" s="1">
        <v>1000</v>
      </c>
      <c r="U11" s="1">
        <v>300</v>
      </c>
      <c r="V11" s="1">
        <v>300</v>
      </c>
      <c r="W11" s="1">
        <f>T11/10/10</f>
        <v>10</v>
      </c>
    </row>
    <row r="12" spans="2:26" s="1" customFormat="1" ht="20.100000000000001" customHeight="1">
      <c r="B12" s="1">
        <v>1</v>
      </c>
      <c r="C12" s="1">
        <v>1</v>
      </c>
      <c r="D12" s="1">
        <v>1</v>
      </c>
      <c r="E12" s="1">
        <v>20</v>
      </c>
      <c r="F12" s="1">
        <v>3000</v>
      </c>
      <c r="S12" s="1">
        <v>15750</v>
      </c>
      <c r="T12" s="1">
        <v>1500</v>
      </c>
      <c r="U12" s="1">
        <v>450</v>
      </c>
      <c r="V12" s="1">
        <v>450</v>
      </c>
      <c r="W12" s="1">
        <f t="shared" ref="W12:W15" si="4">T12/10/10</f>
        <v>15</v>
      </c>
    </row>
    <row r="13" spans="2:26" s="1" customFormat="1" ht="20.100000000000001" customHeight="1">
      <c r="B13" s="1">
        <v>2</v>
      </c>
      <c r="C13" s="1">
        <v>2</v>
      </c>
      <c r="D13" s="1">
        <v>2</v>
      </c>
      <c r="E13" s="1">
        <v>40</v>
      </c>
      <c r="F13" s="1">
        <v>5000</v>
      </c>
      <c r="S13" s="1">
        <v>21000</v>
      </c>
      <c r="T13" s="1">
        <v>2000</v>
      </c>
      <c r="U13" s="1">
        <v>600</v>
      </c>
      <c r="V13" s="1">
        <v>600</v>
      </c>
      <c r="W13" s="1">
        <f t="shared" si="4"/>
        <v>20</v>
      </c>
    </row>
    <row r="14" spans="2:26" s="1" customFormat="1" ht="20.100000000000001" customHeight="1">
      <c r="B14" s="1">
        <v>3</v>
      </c>
      <c r="C14" s="1">
        <v>3</v>
      </c>
      <c r="D14" s="1">
        <v>3</v>
      </c>
      <c r="E14" s="1">
        <v>60</v>
      </c>
      <c r="F14" s="1">
        <v>7500</v>
      </c>
      <c r="S14" s="1">
        <v>26250</v>
      </c>
      <c r="T14" s="1">
        <v>2500</v>
      </c>
      <c r="U14" s="1">
        <v>750</v>
      </c>
      <c r="V14" s="1">
        <v>750</v>
      </c>
      <c r="W14" s="1">
        <f t="shared" si="4"/>
        <v>25</v>
      </c>
    </row>
    <row r="15" spans="2:26" s="1" customFormat="1" ht="20.100000000000001" customHeight="1">
      <c r="B15" s="1">
        <v>4</v>
      </c>
      <c r="C15" s="1">
        <v>4</v>
      </c>
      <c r="D15" s="1">
        <v>4</v>
      </c>
      <c r="E15" s="1">
        <v>80</v>
      </c>
      <c r="F15" s="1">
        <v>10000</v>
      </c>
      <c r="S15" s="1">
        <v>31500</v>
      </c>
      <c r="T15" s="1">
        <v>3000</v>
      </c>
      <c r="U15" s="1">
        <v>900</v>
      </c>
      <c r="V15" s="1">
        <v>900</v>
      </c>
      <c r="W15" s="1">
        <f t="shared" si="4"/>
        <v>30</v>
      </c>
    </row>
    <row r="16" spans="2:26" s="1" customFormat="1" ht="20.100000000000001" customHeight="1">
      <c r="B16" s="1">
        <v>5</v>
      </c>
      <c r="C16" s="1">
        <v>5</v>
      </c>
      <c r="D16" s="1">
        <v>5</v>
      </c>
      <c r="E16" s="1">
        <v>100</v>
      </c>
      <c r="F16" s="1">
        <v>12500</v>
      </c>
    </row>
    <row r="17" spans="2:29" s="1" customFormat="1" ht="20.100000000000001" customHeight="1">
      <c r="B17" s="1">
        <v>6</v>
      </c>
      <c r="C17" s="1">
        <v>6</v>
      </c>
      <c r="D17" s="1">
        <v>6</v>
      </c>
      <c r="E17" s="1">
        <v>120</v>
      </c>
      <c r="F17" s="1">
        <v>15000</v>
      </c>
    </row>
    <row r="18" spans="2:29" s="1" customFormat="1" ht="20.100000000000001" customHeight="1">
      <c r="S18" s="1" t="s">
        <v>1598</v>
      </c>
      <c r="T18" s="1" t="s">
        <v>1599</v>
      </c>
    </row>
    <row r="19" spans="2:29" s="1" customFormat="1" ht="20.100000000000001" customHeight="1"/>
    <row r="20" spans="2:29" s="1" customFormat="1" ht="20.100000000000001" customHeight="1"/>
    <row r="21" spans="2:29" s="1" customFormat="1" ht="20.100000000000001" customHeight="1">
      <c r="AC21" s="1" t="s">
        <v>742</v>
      </c>
    </row>
    <row r="22" spans="2:29" s="1" customFormat="1" ht="20.100000000000001" customHeight="1">
      <c r="AC22" s="1" t="s">
        <v>744</v>
      </c>
    </row>
    <row r="23" spans="2:29" s="1" customFormat="1" ht="20.100000000000001" customHeight="1">
      <c r="AC23" s="1" t="s">
        <v>750</v>
      </c>
    </row>
    <row r="24" spans="2:29" s="1" customFormat="1" ht="20.100000000000001" customHeight="1">
      <c r="AC24" s="1" t="s">
        <v>748</v>
      </c>
    </row>
    <row r="25" spans="2:29" s="1" customFormat="1" ht="20.100000000000001" customHeight="1">
      <c r="AC25" s="1" t="s">
        <v>747</v>
      </c>
    </row>
    <row r="26" spans="2:29" s="1" customFormat="1" ht="20.100000000000001" customHeight="1"/>
    <row r="27" spans="2:29" s="1" customFormat="1" ht="20.100000000000001" customHeight="1"/>
    <row r="28" spans="2:29" s="1" customFormat="1" ht="20.100000000000001" customHeight="1"/>
    <row r="29" spans="2:29" s="1" customFormat="1" ht="20.100000000000001" customHeight="1"/>
    <row r="30" spans="2:29" s="1" customFormat="1" ht="20.100000000000001" customHeight="1"/>
    <row r="31" spans="2:29" s="1" customFormat="1" ht="20.100000000000001" customHeight="1"/>
    <row r="32" spans="2:29" s="1" customFormat="1" ht="20.100000000000001" customHeight="1"/>
    <row r="33" s="1" customFormat="1" ht="20.100000000000001" customHeight="1"/>
    <row r="34" s="1" customFormat="1" ht="20.100000000000001" customHeight="1"/>
    <row r="35" s="1" customFormat="1" ht="20.100000000000001" customHeight="1"/>
    <row r="36" s="1" customFormat="1" ht="20.100000000000001" customHeight="1"/>
    <row r="37" s="1" customFormat="1" ht="20.100000000000001" customHeight="1"/>
    <row r="38" s="1" customFormat="1" ht="20.100000000000001" customHeight="1"/>
    <row r="39" s="1" customFormat="1" ht="20.100000000000001" customHeight="1"/>
    <row r="40" s="1" customFormat="1" ht="20.100000000000001" customHeight="1"/>
    <row r="41" s="1" customFormat="1" ht="20.100000000000001" customHeight="1"/>
    <row r="42" s="1" customFormat="1" ht="20.100000000000001" customHeight="1"/>
    <row r="43" s="1" customFormat="1" ht="20.100000000000001" customHeight="1"/>
    <row r="44" s="1" customFormat="1" ht="20.100000000000001" customHeight="1"/>
    <row r="45" s="1" customFormat="1" ht="20.100000000000001" customHeight="1"/>
    <row r="46" s="1" customFormat="1" ht="20.100000000000001" customHeight="1"/>
    <row r="47" s="1" customFormat="1" ht="20.100000000000001" customHeight="1"/>
    <row r="48" s="1" customFormat="1" ht="20.100000000000001" customHeight="1"/>
    <row r="49" s="1" customFormat="1" ht="20.100000000000001" customHeight="1"/>
    <row r="50" s="1" customFormat="1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X192"/>
  <sheetViews>
    <sheetView topLeftCell="A91" workbookViewId="0">
      <selection activeCell="C117" sqref="C117"/>
    </sheetView>
  </sheetViews>
  <sheetFormatPr defaultColWidth="9" defaultRowHeight="14.25"/>
  <cols>
    <col min="7" max="7" width="9" style="1"/>
    <col min="8" max="8" width="10.125" customWidth="1"/>
  </cols>
  <sheetData>
    <row r="1" spans="2:24" ht="20.100000000000001" customHeight="1"/>
    <row r="2" spans="2:24" ht="20.100000000000001" customHeight="1">
      <c r="S2" s="1"/>
      <c r="T2" s="1"/>
      <c r="U2" s="1"/>
      <c r="V2" s="1"/>
      <c r="W2" s="1"/>
    </row>
    <row r="3" spans="2:24" ht="20.100000000000001" customHeight="1">
      <c r="B3" s="13" t="s">
        <v>1591</v>
      </c>
      <c r="S3" s="1"/>
      <c r="T3" s="1" t="s">
        <v>2</v>
      </c>
      <c r="U3" s="1" t="s">
        <v>3</v>
      </c>
      <c r="V3" s="1" t="s">
        <v>12</v>
      </c>
      <c r="W3" s="1"/>
    </row>
    <row r="4" spans="2:24" ht="20.100000000000001" customHeight="1">
      <c r="M4" s="1"/>
      <c r="S4" s="1"/>
      <c r="T4" s="1">
        <v>21000</v>
      </c>
      <c r="U4" s="1">
        <v>1000</v>
      </c>
      <c r="V4" s="1">
        <v>300</v>
      </c>
      <c r="W4" s="1"/>
    </row>
    <row r="5" spans="2:24" ht="20.100000000000001" customHeight="1">
      <c r="B5" s="30">
        <v>14010004</v>
      </c>
      <c r="C5" s="31" t="s">
        <v>1600</v>
      </c>
      <c r="D5" s="31">
        <v>3</v>
      </c>
      <c r="E5" s="32" t="s">
        <v>28</v>
      </c>
      <c r="F5" s="32">
        <v>100603</v>
      </c>
      <c r="G5" s="32">
        <v>15</v>
      </c>
      <c r="H5" t="str">
        <f>F5&amp;","&amp;G5</f>
        <v>100603,15</v>
      </c>
      <c r="J5" s="1">
        <v>100</v>
      </c>
      <c r="M5" s="1">
        <v>100</v>
      </c>
      <c r="P5" s="32" t="s">
        <v>765</v>
      </c>
      <c r="Q5" s="32">
        <v>100203</v>
      </c>
      <c r="S5" s="1"/>
      <c r="T5" s="1"/>
      <c r="U5" s="1"/>
      <c r="V5" s="1"/>
      <c r="W5" s="1"/>
    </row>
    <row r="6" spans="2:24" ht="20.100000000000001" customHeight="1">
      <c r="B6" s="30">
        <v>14010008</v>
      </c>
      <c r="C6" s="31" t="s">
        <v>1601</v>
      </c>
      <c r="D6" s="31">
        <v>3</v>
      </c>
      <c r="E6" s="32" t="s">
        <v>807</v>
      </c>
      <c r="F6" s="32">
        <v>119303</v>
      </c>
      <c r="G6" s="32">
        <v>12</v>
      </c>
      <c r="H6" t="str">
        <f t="shared" ref="H6:H39" si="0">F6&amp;","&amp;G6</f>
        <v>119303,12</v>
      </c>
      <c r="J6" s="1">
        <v>150</v>
      </c>
      <c r="M6" s="1">
        <v>30</v>
      </c>
      <c r="P6" s="32" t="s">
        <v>3</v>
      </c>
      <c r="Q6" s="32">
        <v>100403</v>
      </c>
      <c r="S6" s="1"/>
      <c r="T6" s="1">
        <v>1000</v>
      </c>
      <c r="U6" s="1">
        <v>100</v>
      </c>
      <c r="V6" s="1">
        <v>30</v>
      </c>
      <c r="W6" s="1">
        <v>1</v>
      </c>
      <c r="X6" s="1">
        <v>30</v>
      </c>
    </row>
    <row r="7" spans="2:24" ht="20.100000000000001" customHeight="1">
      <c r="B7" s="30">
        <v>14010012</v>
      </c>
      <c r="C7" s="31" t="s">
        <v>1602</v>
      </c>
      <c r="D7" s="31">
        <v>3</v>
      </c>
      <c r="E7" s="32" t="s">
        <v>765</v>
      </c>
      <c r="F7" s="32">
        <v>100203</v>
      </c>
      <c r="G7" s="32">
        <v>200</v>
      </c>
      <c r="H7" t="str">
        <f t="shared" si="0"/>
        <v>100203,200</v>
      </c>
      <c r="J7" s="1">
        <v>200</v>
      </c>
      <c r="M7" s="1">
        <v>30</v>
      </c>
      <c r="P7" s="32" t="s">
        <v>28</v>
      </c>
      <c r="Q7" s="32">
        <v>100603</v>
      </c>
      <c r="S7" s="1"/>
      <c r="T7" s="1"/>
      <c r="U7" s="1">
        <v>150</v>
      </c>
      <c r="V7" s="1">
        <v>45</v>
      </c>
      <c r="W7" s="1">
        <v>1.5</v>
      </c>
    </row>
    <row r="8" spans="2:24" ht="20.100000000000001" customHeight="1">
      <c r="B8" s="30">
        <v>14020004</v>
      </c>
      <c r="C8" s="31" t="s">
        <v>1603</v>
      </c>
      <c r="D8" s="31">
        <v>3</v>
      </c>
      <c r="E8" s="32" t="s">
        <v>811</v>
      </c>
      <c r="F8" s="32">
        <v>119403</v>
      </c>
      <c r="G8" s="32">
        <v>12</v>
      </c>
      <c r="H8" t="str">
        <f t="shared" si="0"/>
        <v>119403,12</v>
      </c>
      <c r="J8" s="1">
        <v>250</v>
      </c>
      <c r="M8" s="1">
        <v>1000</v>
      </c>
      <c r="P8" s="32" t="s">
        <v>29</v>
      </c>
      <c r="Q8" s="32">
        <v>100803</v>
      </c>
      <c r="S8" s="1"/>
      <c r="T8" s="1"/>
      <c r="U8" s="1">
        <v>200</v>
      </c>
      <c r="V8" s="1">
        <v>60</v>
      </c>
      <c r="W8" s="1">
        <v>2</v>
      </c>
    </row>
    <row r="9" spans="2:24" ht="20.100000000000001" customHeight="1">
      <c r="B9" s="30">
        <v>14020008</v>
      </c>
      <c r="C9" s="31" t="s">
        <v>1604</v>
      </c>
      <c r="D9" s="31">
        <v>3</v>
      </c>
      <c r="E9" s="32" t="s">
        <v>804</v>
      </c>
      <c r="F9" s="32">
        <v>119103</v>
      </c>
      <c r="G9" s="32">
        <v>12</v>
      </c>
      <c r="H9" t="str">
        <f t="shared" si="0"/>
        <v>119103,12</v>
      </c>
      <c r="J9" s="1">
        <v>300</v>
      </c>
      <c r="M9" s="5"/>
      <c r="S9" s="1"/>
      <c r="T9" s="1"/>
      <c r="U9" s="1">
        <v>250</v>
      </c>
      <c r="V9" s="1">
        <v>75</v>
      </c>
      <c r="W9" s="1">
        <v>2.5</v>
      </c>
    </row>
    <row r="10" spans="2:24" ht="20.100000000000001" customHeight="1">
      <c r="B10" s="30">
        <v>14020012</v>
      </c>
      <c r="C10" s="31" t="s">
        <v>1605</v>
      </c>
      <c r="D10" s="31">
        <v>3</v>
      </c>
      <c r="E10" s="32" t="s">
        <v>1595</v>
      </c>
      <c r="F10" s="32">
        <v>101003</v>
      </c>
      <c r="G10" s="32">
        <v>15</v>
      </c>
      <c r="H10" t="str">
        <f t="shared" si="0"/>
        <v>101003,15</v>
      </c>
      <c r="M10" s="5"/>
      <c r="P10" s="32" t="s">
        <v>804</v>
      </c>
      <c r="Q10" s="32">
        <v>119103</v>
      </c>
      <c r="S10" s="1">
        <v>5</v>
      </c>
      <c r="T10" s="1"/>
      <c r="U10" s="1">
        <v>300</v>
      </c>
      <c r="V10" s="1">
        <v>90</v>
      </c>
      <c r="W10" s="1">
        <v>3</v>
      </c>
    </row>
    <row r="11" spans="2:24" ht="20.100000000000001" customHeight="1">
      <c r="B11" s="30">
        <v>14030004</v>
      </c>
      <c r="C11" s="31" t="s">
        <v>1606</v>
      </c>
      <c r="D11" s="31">
        <v>3</v>
      </c>
      <c r="E11" s="32" t="s">
        <v>29</v>
      </c>
      <c r="F11" s="32">
        <v>100803</v>
      </c>
      <c r="G11" s="32">
        <v>15</v>
      </c>
      <c r="H11" t="str">
        <f t="shared" si="0"/>
        <v>100803,15</v>
      </c>
      <c r="P11" s="32" t="s">
        <v>807</v>
      </c>
      <c r="Q11" s="32">
        <v>119303</v>
      </c>
      <c r="S11" s="1">
        <v>5</v>
      </c>
      <c r="T11" s="1"/>
      <c r="U11" s="1"/>
      <c r="V11" s="1"/>
      <c r="W11" s="1"/>
    </row>
    <row r="12" spans="2:24" ht="20.100000000000001" customHeight="1">
      <c r="B12" s="30">
        <v>14030008</v>
      </c>
      <c r="C12" s="31" t="s">
        <v>1607</v>
      </c>
      <c r="D12" s="31">
        <v>3</v>
      </c>
      <c r="E12" s="32" t="s">
        <v>814</v>
      </c>
      <c r="F12" s="32">
        <v>119203</v>
      </c>
      <c r="G12" s="32">
        <v>12</v>
      </c>
      <c r="H12" t="str">
        <f t="shared" si="0"/>
        <v>119203,12</v>
      </c>
      <c r="P12" s="32" t="s">
        <v>811</v>
      </c>
      <c r="Q12" s="32">
        <v>119403</v>
      </c>
      <c r="S12" s="13">
        <v>5</v>
      </c>
    </row>
    <row r="13" spans="2:24" ht="20.100000000000001" customHeight="1">
      <c r="B13" s="30">
        <v>14030012</v>
      </c>
      <c r="C13" s="31" t="s">
        <v>1608</v>
      </c>
      <c r="D13" s="31">
        <v>3</v>
      </c>
      <c r="E13" s="32" t="s">
        <v>765</v>
      </c>
      <c r="F13" s="32">
        <v>100203</v>
      </c>
      <c r="G13" s="32">
        <v>200</v>
      </c>
      <c r="H13" t="str">
        <f t="shared" si="0"/>
        <v>100203,200</v>
      </c>
      <c r="P13" s="32" t="s">
        <v>814</v>
      </c>
      <c r="Q13" s="32">
        <v>119203</v>
      </c>
      <c r="S13" s="1">
        <v>5</v>
      </c>
    </row>
    <row r="14" spans="2:24" ht="20.100000000000001" customHeight="1">
      <c r="B14" s="30">
        <v>14040004</v>
      </c>
      <c r="C14" s="31" t="s">
        <v>1609</v>
      </c>
      <c r="D14" s="31">
        <v>3</v>
      </c>
      <c r="E14" s="32" t="s">
        <v>28</v>
      </c>
      <c r="F14" s="32">
        <v>100603</v>
      </c>
      <c r="G14" s="32">
        <v>15</v>
      </c>
      <c r="H14" t="str">
        <f t="shared" si="0"/>
        <v>100603,15</v>
      </c>
    </row>
    <row r="15" spans="2:24" ht="20.100000000000001" customHeight="1">
      <c r="B15" s="30">
        <v>14040008</v>
      </c>
      <c r="C15" s="31" t="s">
        <v>1610</v>
      </c>
      <c r="D15" s="31">
        <v>3</v>
      </c>
      <c r="E15" s="32" t="s">
        <v>814</v>
      </c>
      <c r="F15" s="32">
        <v>119203</v>
      </c>
      <c r="G15" s="32">
        <v>12</v>
      </c>
      <c r="H15" t="str">
        <f t="shared" si="0"/>
        <v>119203,12</v>
      </c>
      <c r="P15" s="34" t="s">
        <v>1595</v>
      </c>
      <c r="Q15">
        <v>101003</v>
      </c>
      <c r="S15" s="1">
        <v>150</v>
      </c>
    </row>
    <row r="16" spans="2:24" ht="20.100000000000001" customHeight="1">
      <c r="B16" s="30">
        <v>14040012</v>
      </c>
      <c r="C16" s="31" t="s">
        <v>1611</v>
      </c>
      <c r="D16" s="31">
        <v>3</v>
      </c>
      <c r="E16" s="32" t="s">
        <v>807</v>
      </c>
      <c r="F16" s="32">
        <v>119303</v>
      </c>
      <c r="G16" s="32">
        <v>12</v>
      </c>
      <c r="H16" t="str">
        <f t="shared" si="0"/>
        <v>119303,12</v>
      </c>
      <c r="P16" s="1"/>
    </row>
    <row r="17" spans="2:20" ht="20.100000000000001" customHeight="1">
      <c r="B17" s="30">
        <v>14050004</v>
      </c>
      <c r="C17" s="31" t="s">
        <v>1612</v>
      </c>
      <c r="D17" s="31">
        <v>3</v>
      </c>
      <c r="E17" s="32" t="s">
        <v>29</v>
      </c>
      <c r="F17" s="32">
        <v>100803</v>
      </c>
      <c r="G17" s="32">
        <v>15</v>
      </c>
      <c r="H17" t="str">
        <f t="shared" si="0"/>
        <v>100803,15</v>
      </c>
      <c r="P17" s="1">
        <v>10</v>
      </c>
      <c r="Q17">
        <v>12</v>
      </c>
      <c r="R17">
        <f>S17/3</f>
        <v>13.333333333333334</v>
      </c>
      <c r="S17" s="1">
        <v>40</v>
      </c>
      <c r="T17" s="1">
        <v>1</v>
      </c>
    </row>
    <row r="18" spans="2:20" ht="20.100000000000001" customHeight="1">
      <c r="B18" s="30">
        <v>14050008</v>
      </c>
      <c r="C18" s="31" t="s">
        <v>1613</v>
      </c>
      <c r="D18" s="31">
        <v>3</v>
      </c>
      <c r="E18" s="32" t="s">
        <v>811</v>
      </c>
      <c r="F18" s="32">
        <v>119403</v>
      </c>
      <c r="G18" s="32">
        <v>12</v>
      </c>
      <c r="H18" t="str">
        <f t="shared" si="0"/>
        <v>119403,12</v>
      </c>
      <c r="P18" s="1"/>
      <c r="Q18">
        <v>16</v>
      </c>
      <c r="R18">
        <f t="shared" ref="R18:R21" si="1">S18/3</f>
        <v>16.666666666666668</v>
      </c>
      <c r="S18" s="1">
        <v>50</v>
      </c>
      <c r="T18" s="1">
        <v>1.25</v>
      </c>
    </row>
    <row r="19" spans="2:20" ht="20.100000000000001" customHeight="1">
      <c r="B19" s="30">
        <v>14050012</v>
      </c>
      <c r="C19" s="31" t="s">
        <v>1614</v>
      </c>
      <c r="D19" s="31">
        <v>3</v>
      </c>
      <c r="E19" s="32" t="s">
        <v>765</v>
      </c>
      <c r="F19" s="32">
        <v>100203</v>
      </c>
      <c r="G19" s="32">
        <v>200</v>
      </c>
      <c r="H19" t="str">
        <f t="shared" si="0"/>
        <v>100203,200</v>
      </c>
      <c r="P19" s="1"/>
      <c r="Q19">
        <v>20</v>
      </c>
      <c r="R19">
        <f t="shared" si="1"/>
        <v>20</v>
      </c>
      <c r="S19" s="1">
        <v>60</v>
      </c>
      <c r="T19" s="1">
        <v>1.5</v>
      </c>
    </row>
    <row r="20" spans="2:20" ht="20.100000000000001" customHeight="1">
      <c r="B20" s="30">
        <v>14060004</v>
      </c>
      <c r="C20" s="31" t="s">
        <v>1615</v>
      </c>
      <c r="D20" s="31">
        <v>3</v>
      </c>
      <c r="E20" s="32" t="s">
        <v>3</v>
      </c>
      <c r="F20" s="32">
        <v>100403</v>
      </c>
      <c r="G20" s="32">
        <v>15</v>
      </c>
      <c r="H20" t="str">
        <f t="shared" si="0"/>
        <v>100403,15</v>
      </c>
      <c r="P20" s="1"/>
      <c r="Q20">
        <v>24</v>
      </c>
      <c r="R20">
        <f t="shared" si="1"/>
        <v>23.333333333333332</v>
      </c>
      <c r="S20" s="1">
        <v>70</v>
      </c>
      <c r="T20" s="1">
        <v>1.75</v>
      </c>
    </row>
    <row r="21" spans="2:20" ht="20.100000000000001" customHeight="1">
      <c r="B21" s="30">
        <v>14070004</v>
      </c>
      <c r="C21" s="31" t="s">
        <v>1616</v>
      </c>
      <c r="D21" s="31">
        <v>3</v>
      </c>
      <c r="E21" s="32" t="s">
        <v>3</v>
      </c>
      <c r="F21" s="32">
        <v>100403</v>
      </c>
      <c r="G21" s="32">
        <v>15</v>
      </c>
      <c r="H21" t="str">
        <f t="shared" si="0"/>
        <v>100403,15</v>
      </c>
      <c r="P21" s="1"/>
      <c r="Q21">
        <v>28</v>
      </c>
      <c r="R21">
        <f t="shared" si="1"/>
        <v>26.666666666666668</v>
      </c>
      <c r="S21" s="1">
        <v>80</v>
      </c>
      <c r="T21" s="1">
        <v>2</v>
      </c>
    </row>
    <row r="22" spans="2:20" ht="20.100000000000001" customHeight="1">
      <c r="B22" s="30">
        <v>14080003</v>
      </c>
      <c r="C22" s="31" t="s">
        <v>1617</v>
      </c>
      <c r="D22" s="31">
        <v>3</v>
      </c>
      <c r="E22" s="32" t="s">
        <v>807</v>
      </c>
      <c r="F22" s="32">
        <v>119303</v>
      </c>
      <c r="G22" s="32">
        <v>12</v>
      </c>
      <c r="H22" t="str">
        <f t="shared" si="0"/>
        <v>119303,12</v>
      </c>
      <c r="P22" s="1"/>
    </row>
    <row r="23" spans="2:20" ht="20.100000000000001" customHeight="1">
      <c r="B23" s="30">
        <v>14090003</v>
      </c>
      <c r="C23" s="31" t="s">
        <v>1618</v>
      </c>
      <c r="D23" s="31">
        <v>3</v>
      </c>
      <c r="E23" s="32" t="s">
        <v>765</v>
      </c>
      <c r="F23" s="32">
        <v>100203</v>
      </c>
      <c r="G23" s="32">
        <v>200</v>
      </c>
      <c r="H23" t="str">
        <f t="shared" si="0"/>
        <v>100203,200</v>
      </c>
      <c r="P23" s="1"/>
    </row>
    <row r="24" spans="2:20" ht="20.100000000000001" customHeight="1">
      <c r="B24" s="30">
        <v>14100004</v>
      </c>
      <c r="C24" s="31" t="s">
        <v>1619</v>
      </c>
      <c r="D24" s="31">
        <v>3</v>
      </c>
      <c r="E24" s="32" t="s">
        <v>1595</v>
      </c>
      <c r="F24" s="32">
        <v>101003</v>
      </c>
      <c r="G24" s="32">
        <v>15</v>
      </c>
      <c r="H24" t="str">
        <f t="shared" si="0"/>
        <v>101003,15</v>
      </c>
      <c r="P24" s="1">
        <f>7500+60*250</f>
        <v>22500</v>
      </c>
    </row>
    <row r="25" spans="2:20" ht="20.100000000000001" customHeight="1">
      <c r="B25" s="30">
        <v>14100008</v>
      </c>
      <c r="C25" s="31" t="s">
        <v>1620</v>
      </c>
      <c r="D25" s="31">
        <v>3</v>
      </c>
      <c r="E25" s="32" t="s">
        <v>1595</v>
      </c>
      <c r="F25" s="32">
        <v>101003</v>
      </c>
      <c r="G25" s="32">
        <v>15</v>
      </c>
      <c r="H25" t="str">
        <f t="shared" si="0"/>
        <v>101003,15</v>
      </c>
      <c r="J25" s="1" t="s">
        <v>3</v>
      </c>
      <c r="K25" s="32">
        <v>100403</v>
      </c>
      <c r="L25" s="1">
        <v>20</v>
      </c>
      <c r="P25" s="1"/>
    </row>
    <row r="26" spans="2:20" ht="20.100000000000001" customHeight="1">
      <c r="B26" s="30">
        <v>14100104</v>
      </c>
      <c r="C26" s="31" t="s">
        <v>1621</v>
      </c>
      <c r="D26" s="31">
        <v>3</v>
      </c>
      <c r="E26" s="32" t="s">
        <v>3</v>
      </c>
      <c r="F26" s="32">
        <v>100403</v>
      </c>
      <c r="G26" s="32">
        <v>15</v>
      </c>
      <c r="H26" t="str">
        <f t="shared" si="0"/>
        <v>100403,15</v>
      </c>
      <c r="P26" s="1">
        <f>300/P24</f>
        <v>1.3333333333333334E-2</v>
      </c>
    </row>
    <row r="27" spans="2:20" ht="20.100000000000001" customHeight="1">
      <c r="B27" s="30">
        <v>14100108</v>
      </c>
      <c r="C27" s="31" t="s">
        <v>1622</v>
      </c>
      <c r="D27" s="31">
        <v>3</v>
      </c>
      <c r="E27" s="32" t="s">
        <v>3</v>
      </c>
      <c r="F27" s="32">
        <v>100403</v>
      </c>
      <c r="G27" s="32">
        <v>15</v>
      </c>
      <c r="H27" t="str">
        <f t="shared" si="0"/>
        <v>100403,15</v>
      </c>
      <c r="P27" s="1"/>
    </row>
    <row r="28" spans="2:20" ht="20.100000000000001" customHeight="1">
      <c r="B28" s="30">
        <v>14110004</v>
      </c>
      <c r="C28" s="31" t="s">
        <v>1623</v>
      </c>
      <c r="D28" s="31">
        <v>3</v>
      </c>
      <c r="E28" s="32" t="s">
        <v>804</v>
      </c>
      <c r="F28" s="32">
        <v>119103</v>
      </c>
      <c r="G28" s="32">
        <v>12</v>
      </c>
      <c r="H28" t="str">
        <f t="shared" si="0"/>
        <v>119103,12</v>
      </c>
      <c r="P28" s="1"/>
    </row>
    <row r="29" spans="2:20" ht="20.100000000000001" customHeight="1">
      <c r="B29" s="30">
        <v>14110008</v>
      </c>
      <c r="C29" s="31" t="s">
        <v>1624</v>
      </c>
      <c r="D29" s="31">
        <v>3</v>
      </c>
      <c r="E29" s="32" t="s">
        <v>811</v>
      </c>
      <c r="F29" s="32">
        <v>119403</v>
      </c>
      <c r="G29" s="32">
        <v>12</v>
      </c>
      <c r="H29" t="str">
        <f t="shared" si="0"/>
        <v>119403,12</v>
      </c>
    </row>
    <row r="30" spans="2:20" ht="20.100000000000001" customHeight="1">
      <c r="B30" s="30">
        <v>14110012</v>
      </c>
      <c r="C30" s="31" t="s">
        <v>1625</v>
      </c>
      <c r="D30" s="31">
        <v>3</v>
      </c>
      <c r="E30" s="32" t="s">
        <v>765</v>
      </c>
      <c r="F30" s="32">
        <v>100203</v>
      </c>
      <c r="G30" s="32">
        <v>200</v>
      </c>
      <c r="H30" t="str">
        <f t="shared" si="0"/>
        <v>100203,200</v>
      </c>
    </row>
    <row r="31" spans="2:20" ht="20.100000000000001" customHeight="1">
      <c r="B31" s="33">
        <v>10021010</v>
      </c>
      <c r="C31" s="30" t="s">
        <v>1626</v>
      </c>
      <c r="D31" s="30">
        <v>300</v>
      </c>
      <c r="E31" s="32" t="s">
        <v>814</v>
      </c>
      <c r="F31" s="32">
        <v>119203</v>
      </c>
      <c r="G31" s="32">
        <v>12</v>
      </c>
      <c r="H31" t="str">
        <f t="shared" si="0"/>
        <v>119203,12</v>
      </c>
    </row>
    <row r="32" spans="2:20" ht="20.100000000000001" customHeight="1">
      <c r="B32" s="33">
        <v>10021010</v>
      </c>
      <c r="C32" s="30" t="s">
        <v>1626</v>
      </c>
      <c r="D32" s="30">
        <v>500</v>
      </c>
      <c r="E32" s="32" t="s">
        <v>765</v>
      </c>
      <c r="F32" s="32">
        <v>100203</v>
      </c>
      <c r="G32" s="32">
        <v>200</v>
      </c>
      <c r="H32" t="str">
        <f t="shared" si="0"/>
        <v>100203,200</v>
      </c>
    </row>
    <row r="33" spans="2:12" ht="20.100000000000001" customHeight="1">
      <c r="B33" s="33">
        <v>10021010</v>
      </c>
      <c r="C33" s="30" t="s">
        <v>1626</v>
      </c>
      <c r="D33" s="30">
        <v>1000</v>
      </c>
      <c r="E33" s="32" t="s">
        <v>1595</v>
      </c>
      <c r="F33" s="32">
        <v>101003</v>
      </c>
      <c r="G33" s="32">
        <v>15</v>
      </c>
      <c r="H33" t="str">
        <f t="shared" si="0"/>
        <v>101003,15</v>
      </c>
    </row>
    <row r="34" spans="2:12" ht="20.100000000000001" customHeight="1">
      <c r="B34" s="33">
        <v>10021008</v>
      </c>
      <c r="C34" s="30" t="s">
        <v>1627</v>
      </c>
      <c r="D34" s="30">
        <v>5</v>
      </c>
      <c r="E34" s="32" t="s">
        <v>765</v>
      </c>
      <c r="F34" s="32">
        <v>100203</v>
      </c>
      <c r="G34" s="32">
        <v>200</v>
      </c>
      <c r="H34" t="str">
        <f t="shared" si="0"/>
        <v>100203,200</v>
      </c>
      <c r="J34" s="1"/>
      <c r="K34" s="32"/>
      <c r="L34" s="1"/>
    </row>
    <row r="35" spans="2:12" ht="20.100000000000001" customHeight="1">
      <c r="B35" s="33">
        <v>10021008</v>
      </c>
      <c r="C35" s="30" t="s">
        <v>1627</v>
      </c>
      <c r="D35" s="30">
        <v>10</v>
      </c>
      <c r="E35" s="32" t="s">
        <v>3</v>
      </c>
      <c r="F35" s="32">
        <v>100403</v>
      </c>
      <c r="G35" s="32">
        <v>15</v>
      </c>
      <c r="H35" t="str">
        <f t="shared" si="0"/>
        <v>100403,15</v>
      </c>
    </row>
    <row r="36" spans="2:12" ht="20.100000000000001" customHeight="1">
      <c r="B36" s="33">
        <v>10021008</v>
      </c>
      <c r="C36" s="30" t="s">
        <v>1627</v>
      </c>
      <c r="D36" s="30">
        <v>20</v>
      </c>
      <c r="E36" s="32" t="s">
        <v>776</v>
      </c>
      <c r="F36" s="32">
        <v>110101</v>
      </c>
      <c r="G36" s="32">
        <v>20</v>
      </c>
      <c r="H36" t="str">
        <f t="shared" si="0"/>
        <v>110101,20</v>
      </c>
    </row>
    <row r="37" spans="2:12" ht="20.100000000000001" customHeight="1">
      <c r="B37" s="33">
        <v>10021009</v>
      </c>
      <c r="C37" s="30" t="s">
        <v>1628</v>
      </c>
      <c r="D37" s="30">
        <v>3</v>
      </c>
      <c r="E37" s="32" t="s">
        <v>765</v>
      </c>
      <c r="F37" s="32">
        <v>100203</v>
      </c>
      <c r="G37" s="32">
        <v>200</v>
      </c>
      <c r="H37" t="str">
        <f t="shared" si="0"/>
        <v>100203,200</v>
      </c>
    </row>
    <row r="38" spans="2:12" ht="20.100000000000001" customHeight="1">
      <c r="B38" s="33">
        <v>10021009</v>
      </c>
      <c r="C38" s="30" t="s">
        <v>1628</v>
      </c>
      <c r="D38" s="30">
        <v>5</v>
      </c>
      <c r="E38" s="32" t="s">
        <v>804</v>
      </c>
      <c r="F38" s="32">
        <v>119103</v>
      </c>
      <c r="G38" s="32">
        <v>12</v>
      </c>
      <c r="H38" t="str">
        <f t="shared" si="0"/>
        <v>119103,12</v>
      </c>
    </row>
    <row r="39" spans="2:12" ht="20.100000000000001" customHeight="1">
      <c r="B39" s="33">
        <v>10021009</v>
      </c>
      <c r="C39" s="30" t="s">
        <v>1628</v>
      </c>
      <c r="D39" s="30">
        <v>10</v>
      </c>
      <c r="E39" s="32" t="s">
        <v>776</v>
      </c>
      <c r="F39" s="32">
        <v>110101</v>
      </c>
      <c r="G39" s="32">
        <v>20</v>
      </c>
      <c r="H39" t="str">
        <f t="shared" si="0"/>
        <v>110101,20</v>
      </c>
    </row>
    <row r="40" spans="2:12" ht="20.100000000000001" customHeight="1"/>
    <row r="41" spans="2:12" ht="20.100000000000001" customHeight="1">
      <c r="B41" t="s">
        <v>1592</v>
      </c>
    </row>
    <row r="42" spans="2:12" ht="20.100000000000001" customHeight="1"/>
    <row r="43" spans="2:12" ht="20.100000000000001" customHeight="1">
      <c r="B43" s="30">
        <v>15201002</v>
      </c>
      <c r="C43" s="31" t="s">
        <v>1629</v>
      </c>
      <c r="D43" s="31">
        <v>3</v>
      </c>
      <c r="E43" s="32" t="s">
        <v>28</v>
      </c>
      <c r="F43" s="32">
        <v>100603</v>
      </c>
      <c r="G43" s="1">
        <v>22</v>
      </c>
      <c r="H43" t="str">
        <f>F43&amp;","&amp;G43</f>
        <v>100603,22</v>
      </c>
    </row>
    <row r="44" spans="2:12" ht="20.100000000000001" customHeight="1">
      <c r="B44" s="30">
        <v>15201004</v>
      </c>
      <c r="C44" s="31" t="s">
        <v>1630</v>
      </c>
      <c r="D44" s="31">
        <v>3</v>
      </c>
      <c r="E44" s="32" t="s">
        <v>807</v>
      </c>
      <c r="F44" s="32">
        <v>119303</v>
      </c>
      <c r="G44" s="1">
        <v>16</v>
      </c>
      <c r="H44" t="str">
        <f t="shared" ref="H44:H77" si="2">F44&amp;","&amp;G44</f>
        <v>119303,16</v>
      </c>
    </row>
    <row r="45" spans="2:12" ht="20.100000000000001" customHeight="1">
      <c r="B45" s="30">
        <v>15201006</v>
      </c>
      <c r="C45" s="31" t="s">
        <v>1631</v>
      </c>
      <c r="D45" s="31">
        <v>3</v>
      </c>
      <c r="E45" s="32" t="s">
        <v>765</v>
      </c>
      <c r="F45" s="32">
        <v>100203</v>
      </c>
      <c r="G45" s="1">
        <v>300</v>
      </c>
      <c r="H45" t="str">
        <f t="shared" si="2"/>
        <v>100203,300</v>
      </c>
    </row>
    <row r="46" spans="2:12" ht="20.100000000000001" customHeight="1">
      <c r="B46" s="30">
        <v>15202002</v>
      </c>
      <c r="C46" s="31" t="s">
        <v>1632</v>
      </c>
      <c r="D46" s="31">
        <v>3</v>
      </c>
      <c r="E46" s="32" t="s">
        <v>811</v>
      </c>
      <c r="F46" s="32">
        <v>119403</v>
      </c>
      <c r="G46" s="1">
        <v>16</v>
      </c>
      <c r="H46" t="str">
        <f t="shared" si="2"/>
        <v>119403,16</v>
      </c>
    </row>
    <row r="47" spans="2:12" ht="20.100000000000001" customHeight="1">
      <c r="B47" s="30">
        <v>15202004</v>
      </c>
      <c r="C47" s="31" t="s">
        <v>1633</v>
      </c>
      <c r="D47" s="31">
        <v>3</v>
      </c>
      <c r="E47" s="32" t="s">
        <v>804</v>
      </c>
      <c r="F47" s="32">
        <v>119103</v>
      </c>
      <c r="G47" s="1">
        <v>16</v>
      </c>
      <c r="H47" t="str">
        <f t="shared" si="2"/>
        <v>119103,16</v>
      </c>
    </row>
    <row r="48" spans="2:12" ht="20.100000000000001" customHeight="1">
      <c r="B48" s="30">
        <v>15202006</v>
      </c>
      <c r="C48" s="31" t="s">
        <v>1634</v>
      </c>
      <c r="D48" s="31">
        <v>3</v>
      </c>
      <c r="E48" s="32" t="s">
        <v>1595</v>
      </c>
      <c r="F48" s="32">
        <v>101003</v>
      </c>
      <c r="G48" s="1">
        <v>22</v>
      </c>
      <c r="H48" t="str">
        <f t="shared" si="2"/>
        <v>101003,22</v>
      </c>
    </row>
    <row r="49" spans="2:8" ht="20.100000000000001" customHeight="1">
      <c r="B49" s="30">
        <v>15203002</v>
      </c>
      <c r="C49" s="31" t="s">
        <v>1635</v>
      </c>
      <c r="D49" s="31">
        <v>3</v>
      </c>
      <c r="E49" s="32" t="s">
        <v>29</v>
      </c>
      <c r="F49" s="32">
        <v>100803</v>
      </c>
      <c r="G49" s="1">
        <v>22</v>
      </c>
      <c r="H49" t="str">
        <f t="shared" si="2"/>
        <v>100803,22</v>
      </c>
    </row>
    <row r="50" spans="2:8" ht="20.100000000000001" customHeight="1">
      <c r="B50" s="30">
        <v>15203004</v>
      </c>
      <c r="C50" s="31" t="s">
        <v>1636</v>
      </c>
      <c r="D50" s="31">
        <v>3</v>
      </c>
      <c r="E50" s="32" t="s">
        <v>814</v>
      </c>
      <c r="F50" s="32">
        <v>119203</v>
      </c>
      <c r="G50" s="1">
        <v>16</v>
      </c>
      <c r="H50" t="str">
        <f t="shared" si="2"/>
        <v>119203,16</v>
      </c>
    </row>
    <row r="51" spans="2:8" ht="20.100000000000001" customHeight="1">
      <c r="B51" s="30">
        <v>15203006</v>
      </c>
      <c r="C51" s="31" t="s">
        <v>1637</v>
      </c>
      <c r="D51" s="31">
        <v>3</v>
      </c>
      <c r="E51" s="32" t="s">
        <v>765</v>
      </c>
      <c r="F51" s="32">
        <v>100203</v>
      </c>
      <c r="G51" s="1">
        <v>300</v>
      </c>
      <c r="H51" t="str">
        <f t="shared" si="2"/>
        <v>100203,300</v>
      </c>
    </row>
    <row r="52" spans="2:8" ht="20.100000000000001" customHeight="1">
      <c r="B52" s="30">
        <v>15204002</v>
      </c>
      <c r="C52" s="31" t="s">
        <v>1638</v>
      </c>
      <c r="D52" s="31">
        <v>3</v>
      </c>
      <c r="E52" s="32" t="s">
        <v>28</v>
      </c>
      <c r="F52" s="32">
        <v>100603</v>
      </c>
      <c r="G52" s="1">
        <v>22</v>
      </c>
      <c r="H52" t="str">
        <f t="shared" si="2"/>
        <v>100603,22</v>
      </c>
    </row>
    <row r="53" spans="2:8" ht="20.100000000000001" customHeight="1">
      <c r="B53" s="30">
        <v>15204004</v>
      </c>
      <c r="C53" s="31" t="s">
        <v>1639</v>
      </c>
      <c r="D53" s="31">
        <v>3</v>
      </c>
      <c r="E53" s="32" t="s">
        <v>814</v>
      </c>
      <c r="F53" s="32">
        <v>119203</v>
      </c>
      <c r="G53" s="1">
        <v>16</v>
      </c>
      <c r="H53" t="str">
        <f t="shared" si="2"/>
        <v>119203,16</v>
      </c>
    </row>
    <row r="54" spans="2:8" ht="20.100000000000001" customHeight="1">
      <c r="B54" s="30">
        <v>15204006</v>
      </c>
      <c r="C54" s="31" t="s">
        <v>1640</v>
      </c>
      <c r="D54" s="31">
        <v>3</v>
      </c>
      <c r="E54" s="32" t="s">
        <v>807</v>
      </c>
      <c r="F54" s="32">
        <v>119303</v>
      </c>
      <c r="G54" s="1">
        <v>16</v>
      </c>
      <c r="H54" t="str">
        <f t="shared" si="2"/>
        <v>119303,16</v>
      </c>
    </row>
    <row r="55" spans="2:8" ht="20.100000000000001" customHeight="1">
      <c r="B55" s="30">
        <v>15205002</v>
      </c>
      <c r="C55" s="31" t="s">
        <v>1641</v>
      </c>
      <c r="D55" s="31">
        <v>3</v>
      </c>
      <c r="E55" s="32" t="s">
        <v>29</v>
      </c>
      <c r="F55" s="32">
        <v>100803</v>
      </c>
      <c r="G55" s="1">
        <v>22</v>
      </c>
      <c r="H55" t="str">
        <f t="shared" si="2"/>
        <v>100803,22</v>
      </c>
    </row>
    <row r="56" spans="2:8" ht="20.100000000000001" customHeight="1">
      <c r="B56" s="30">
        <v>15205004</v>
      </c>
      <c r="C56" s="31" t="s">
        <v>1642</v>
      </c>
      <c r="D56" s="31">
        <v>3</v>
      </c>
      <c r="E56" s="32" t="s">
        <v>811</v>
      </c>
      <c r="F56" s="32">
        <v>119403</v>
      </c>
      <c r="G56" s="1">
        <v>16</v>
      </c>
      <c r="H56" t="str">
        <f t="shared" si="2"/>
        <v>119403,16</v>
      </c>
    </row>
    <row r="57" spans="2:8" ht="20.100000000000001" customHeight="1">
      <c r="B57" s="30">
        <v>15205006</v>
      </c>
      <c r="C57" s="31" t="s">
        <v>1643</v>
      </c>
      <c r="D57" s="31">
        <v>3</v>
      </c>
      <c r="E57" s="32" t="s">
        <v>765</v>
      </c>
      <c r="F57" s="32">
        <v>100203</v>
      </c>
      <c r="G57" s="1">
        <v>300</v>
      </c>
      <c r="H57" t="str">
        <f t="shared" si="2"/>
        <v>100203,300</v>
      </c>
    </row>
    <row r="58" spans="2:8" ht="20.100000000000001" customHeight="1">
      <c r="B58" s="30">
        <v>15206002</v>
      </c>
      <c r="C58" s="31" t="s">
        <v>1644</v>
      </c>
      <c r="D58" s="31">
        <v>3</v>
      </c>
      <c r="E58" s="32" t="s">
        <v>3</v>
      </c>
      <c r="F58" s="32">
        <v>100403</v>
      </c>
      <c r="G58" s="1">
        <v>22</v>
      </c>
      <c r="H58" t="str">
        <f t="shared" si="2"/>
        <v>100403,22</v>
      </c>
    </row>
    <row r="59" spans="2:8" ht="20.100000000000001" customHeight="1">
      <c r="B59" s="30">
        <v>15207002</v>
      </c>
      <c r="C59" s="31" t="s">
        <v>1645</v>
      </c>
      <c r="D59" s="31">
        <v>3</v>
      </c>
      <c r="E59" s="32" t="s">
        <v>3</v>
      </c>
      <c r="F59" s="32">
        <v>100403</v>
      </c>
      <c r="G59" s="1">
        <v>22</v>
      </c>
      <c r="H59" t="str">
        <f t="shared" si="2"/>
        <v>100403,22</v>
      </c>
    </row>
    <row r="60" spans="2:8" ht="20.100000000000001" customHeight="1">
      <c r="B60" s="30">
        <v>15208002</v>
      </c>
      <c r="C60" s="31" t="s">
        <v>1646</v>
      </c>
      <c r="D60" s="31">
        <v>3</v>
      </c>
      <c r="E60" s="32" t="s">
        <v>807</v>
      </c>
      <c r="F60" s="32">
        <v>119303</v>
      </c>
      <c r="G60" s="1">
        <v>16</v>
      </c>
      <c r="H60" t="str">
        <f t="shared" si="2"/>
        <v>119303,16</v>
      </c>
    </row>
    <row r="61" spans="2:8" ht="20.100000000000001" customHeight="1">
      <c r="B61" s="30">
        <v>15209002</v>
      </c>
      <c r="C61" s="31" t="s">
        <v>1647</v>
      </c>
      <c r="D61" s="31">
        <v>3</v>
      </c>
      <c r="E61" s="32" t="s">
        <v>765</v>
      </c>
      <c r="F61" s="32">
        <v>100203</v>
      </c>
      <c r="G61" s="1">
        <v>300</v>
      </c>
      <c r="H61" t="str">
        <f t="shared" si="2"/>
        <v>100203,300</v>
      </c>
    </row>
    <row r="62" spans="2:8" ht="20.100000000000001" customHeight="1">
      <c r="B62" s="30">
        <v>15210002</v>
      </c>
      <c r="C62" s="31" t="s">
        <v>1648</v>
      </c>
      <c r="D62" s="31">
        <v>3</v>
      </c>
      <c r="E62" s="32" t="s">
        <v>1595</v>
      </c>
      <c r="F62" s="32">
        <v>101003</v>
      </c>
      <c r="G62" s="1">
        <v>22</v>
      </c>
      <c r="H62" t="str">
        <f t="shared" si="2"/>
        <v>101003,22</v>
      </c>
    </row>
    <row r="63" spans="2:8" ht="20.100000000000001" customHeight="1">
      <c r="B63" s="30">
        <v>15210004</v>
      </c>
      <c r="C63" s="31" t="s">
        <v>1649</v>
      </c>
      <c r="D63" s="31">
        <v>3</v>
      </c>
      <c r="E63" s="32" t="s">
        <v>1595</v>
      </c>
      <c r="F63" s="32">
        <v>101003</v>
      </c>
      <c r="G63" s="1">
        <v>22</v>
      </c>
      <c r="H63" t="str">
        <f t="shared" si="2"/>
        <v>101003,22</v>
      </c>
    </row>
    <row r="64" spans="2:8" ht="20.100000000000001" customHeight="1">
      <c r="B64" s="30">
        <v>15210102</v>
      </c>
      <c r="C64" s="31" t="s">
        <v>1650</v>
      </c>
      <c r="D64" s="31">
        <v>3</v>
      </c>
      <c r="E64" s="32" t="s">
        <v>3</v>
      </c>
      <c r="F64" s="32">
        <v>100403</v>
      </c>
      <c r="G64" s="1">
        <v>22</v>
      </c>
      <c r="H64" t="str">
        <f t="shared" si="2"/>
        <v>100403,22</v>
      </c>
    </row>
    <row r="65" spans="2:12" ht="20.100000000000001" customHeight="1">
      <c r="B65" s="30">
        <v>15210104</v>
      </c>
      <c r="C65" s="31" t="s">
        <v>1651</v>
      </c>
      <c r="D65" s="31">
        <v>3</v>
      </c>
      <c r="E65" s="32" t="s">
        <v>3</v>
      </c>
      <c r="F65" s="32">
        <v>100403</v>
      </c>
      <c r="G65" s="1">
        <v>22</v>
      </c>
      <c r="H65" t="str">
        <f t="shared" si="2"/>
        <v>100403,22</v>
      </c>
    </row>
    <row r="66" spans="2:12" ht="20.100000000000001" customHeight="1">
      <c r="B66" s="30">
        <v>15211002</v>
      </c>
      <c r="C66" s="31" t="s">
        <v>1652</v>
      </c>
      <c r="D66" s="31">
        <v>3</v>
      </c>
      <c r="E66" s="32" t="s">
        <v>804</v>
      </c>
      <c r="F66" s="32">
        <v>119103</v>
      </c>
      <c r="G66" s="1">
        <v>16</v>
      </c>
      <c r="H66" t="str">
        <f t="shared" si="2"/>
        <v>119103,16</v>
      </c>
    </row>
    <row r="67" spans="2:12" ht="20.100000000000001" customHeight="1">
      <c r="B67" s="30">
        <v>15211004</v>
      </c>
      <c r="C67" s="31" t="s">
        <v>1653</v>
      </c>
      <c r="D67" s="31">
        <v>3</v>
      </c>
      <c r="E67" s="32" t="s">
        <v>811</v>
      </c>
      <c r="F67" s="32">
        <v>119403</v>
      </c>
      <c r="G67" s="1">
        <v>16</v>
      </c>
      <c r="H67" t="str">
        <f t="shared" si="2"/>
        <v>119403,16</v>
      </c>
    </row>
    <row r="68" spans="2:12" ht="20.100000000000001" customHeight="1">
      <c r="B68" s="30">
        <v>15211006</v>
      </c>
      <c r="C68" s="31" t="s">
        <v>1654</v>
      </c>
      <c r="D68" s="31">
        <v>3</v>
      </c>
      <c r="E68" s="32" t="s">
        <v>765</v>
      </c>
      <c r="F68" s="32">
        <v>100203</v>
      </c>
      <c r="G68" s="1">
        <v>300</v>
      </c>
      <c r="H68" t="str">
        <f t="shared" si="2"/>
        <v>100203,300</v>
      </c>
    </row>
    <row r="69" spans="2:12" ht="20.100000000000001" customHeight="1">
      <c r="B69" s="33">
        <v>10022010</v>
      </c>
      <c r="C69" s="35" t="s">
        <v>1655</v>
      </c>
      <c r="D69" s="30">
        <v>300</v>
      </c>
      <c r="E69" s="32" t="s">
        <v>814</v>
      </c>
      <c r="F69" s="32">
        <v>119203</v>
      </c>
      <c r="G69" s="1">
        <v>16</v>
      </c>
      <c r="H69" t="str">
        <f t="shared" si="2"/>
        <v>119203,16</v>
      </c>
    </row>
    <row r="70" spans="2:12" ht="20.100000000000001" customHeight="1">
      <c r="B70" s="33">
        <v>10021010</v>
      </c>
      <c r="C70" s="30" t="s">
        <v>1626</v>
      </c>
      <c r="D70" s="30">
        <v>500</v>
      </c>
      <c r="E70" s="32" t="s">
        <v>765</v>
      </c>
      <c r="F70" s="32">
        <v>100203</v>
      </c>
      <c r="G70" s="1">
        <v>300</v>
      </c>
      <c r="H70" t="str">
        <f t="shared" si="2"/>
        <v>100203,300</v>
      </c>
    </row>
    <row r="71" spans="2:12" ht="20.100000000000001" customHeight="1">
      <c r="B71" s="33">
        <v>10021010</v>
      </c>
      <c r="C71" s="30" t="s">
        <v>1626</v>
      </c>
      <c r="D71" s="30">
        <v>1000</v>
      </c>
      <c r="E71" s="32" t="s">
        <v>1595</v>
      </c>
      <c r="F71" s="32">
        <v>101003</v>
      </c>
      <c r="G71" s="1">
        <v>22</v>
      </c>
      <c r="H71" t="str">
        <f t="shared" si="2"/>
        <v>101003,22</v>
      </c>
    </row>
    <row r="72" spans="2:12" ht="20.100000000000001" customHeight="1">
      <c r="B72" s="33">
        <v>10022008</v>
      </c>
      <c r="C72" s="30" t="s">
        <v>1656</v>
      </c>
      <c r="D72" s="30">
        <v>5</v>
      </c>
      <c r="E72" s="32" t="s">
        <v>765</v>
      </c>
      <c r="F72" s="32">
        <v>100203</v>
      </c>
      <c r="G72" s="1">
        <v>300</v>
      </c>
      <c r="H72" t="str">
        <f t="shared" si="2"/>
        <v>100203,300</v>
      </c>
      <c r="J72" s="1"/>
      <c r="K72" s="32"/>
      <c r="L72" s="1"/>
    </row>
    <row r="73" spans="2:12" ht="20.100000000000001" customHeight="1">
      <c r="B73" s="33">
        <v>10022008</v>
      </c>
      <c r="C73" s="30" t="s">
        <v>1656</v>
      </c>
      <c r="D73" s="30">
        <v>10</v>
      </c>
      <c r="E73" s="32" t="s">
        <v>3</v>
      </c>
      <c r="F73" s="32">
        <v>100403</v>
      </c>
      <c r="G73" s="1">
        <v>22</v>
      </c>
      <c r="H73" t="str">
        <f t="shared" si="2"/>
        <v>100403,22</v>
      </c>
    </row>
    <row r="74" spans="2:12" ht="20.100000000000001" customHeight="1">
      <c r="B74" s="33">
        <v>10022008</v>
      </c>
      <c r="C74" s="30" t="s">
        <v>1656</v>
      </c>
      <c r="D74" s="30">
        <v>20</v>
      </c>
      <c r="E74" s="32" t="s">
        <v>776</v>
      </c>
      <c r="F74" s="32">
        <v>110101</v>
      </c>
      <c r="G74" s="1">
        <v>30</v>
      </c>
      <c r="H74" t="str">
        <f t="shared" si="2"/>
        <v>110101,30</v>
      </c>
    </row>
    <row r="75" spans="2:12" ht="20.100000000000001" customHeight="1">
      <c r="B75" s="33">
        <v>10022009</v>
      </c>
      <c r="C75" s="30" t="s">
        <v>1657</v>
      </c>
      <c r="D75" s="30">
        <v>3</v>
      </c>
      <c r="E75" s="32" t="s">
        <v>765</v>
      </c>
      <c r="F75" s="32">
        <v>100203</v>
      </c>
      <c r="G75" s="1">
        <v>300</v>
      </c>
      <c r="H75" t="str">
        <f t="shared" si="2"/>
        <v>100203,300</v>
      </c>
    </row>
    <row r="76" spans="2:12" ht="20.100000000000001" customHeight="1">
      <c r="B76" s="33">
        <v>10022009</v>
      </c>
      <c r="C76" s="30" t="s">
        <v>1657</v>
      </c>
      <c r="D76" s="30">
        <v>5</v>
      </c>
      <c r="E76" s="32" t="s">
        <v>804</v>
      </c>
      <c r="F76" s="32">
        <v>119103</v>
      </c>
      <c r="G76" s="1">
        <v>16</v>
      </c>
      <c r="H76" t="str">
        <f t="shared" si="2"/>
        <v>119103,16</v>
      </c>
    </row>
    <row r="77" spans="2:12" ht="20.100000000000001" customHeight="1">
      <c r="B77" s="33">
        <v>10022009</v>
      </c>
      <c r="C77" s="30" t="s">
        <v>1657</v>
      </c>
      <c r="D77" s="30">
        <v>10</v>
      </c>
      <c r="E77" s="32" t="s">
        <v>776</v>
      </c>
      <c r="F77" s="32">
        <v>110101</v>
      </c>
      <c r="G77" s="1">
        <v>30</v>
      </c>
      <c r="H77" t="str">
        <f t="shared" si="2"/>
        <v>110101,30</v>
      </c>
    </row>
    <row r="78" spans="2:12" ht="20.100000000000001" customHeight="1"/>
    <row r="79" spans="2:12" ht="20.100000000000001" customHeight="1"/>
    <row r="80" spans="2:12" ht="20.100000000000001" customHeight="1">
      <c r="B80" t="s">
        <v>1593</v>
      </c>
    </row>
    <row r="81" spans="2:8" ht="20.100000000000001" customHeight="1"/>
    <row r="82" spans="2:8" ht="20.100000000000001" customHeight="1">
      <c r="B82" s="30">
        <v>15301002</v>
      </c>
      <c r="C82" s="31" t="s">
        <v>1658</v>
      </c>
      <c r="D82" s="31">
        <v>3</v>
      </c>
      <c r="E82" s="32" t="s">
        <v>28</v>
      </c>
      <c r="F82" s="32">
        <v>100603</v>
      </c>
      <c r="G82" s="1">
        <v>30</v>
      </c>
      <c r="H82" t="str">
        <f>F82&amp;","&amp;G82</f>
        <v>100603,30</v>
      </c>
    </row>
    <row r="83" spans="2:8" ht="20.100000000000001" customHeight="1">
      <c r="B83" s="30">
        <v>15301004</v>
      </c>
      <c r="C83" s="31" t="s">
        <v>1659</v>
      </c>
      <c r="D83" s="31">
        <v>3</v>
      </c>
      <c r="E83" s="32" t="s">
        <v>807</v>
      </c>
      <c r="F83" s="32">
        <v>119303</v>
      </c>
      <c r="G83" s="1">
        <v>20</v>
      </c>
      <c r="H83" t="str">
        <f t="shared" ref="H83:H116" si="3">F83&amp;","&amp;G83</f>
        <v>119303,20</v>
      </c>
    </row>
    <row r="84" spans="2:8" ht="20.100000000000001" customHeight="1">
      <c r="B84" s="30">
        <v>15301006</v>
      </c>
      <c r="C84" s="31" t="s">
        <v>1660</v>
      </c>
      <c r="D84" s="31">
        <v>3</v>
      </c>
      <c r="E84" s="32" t="s">
        <v>765</v>
      </c>
      <c r="F84" s="32">
        <v>100203</v>
      </c>
      <c r="G84" s="1">
        <v>400</v>
      </c>
      <c r="H84" t="str">
        <f t="shared" si="3"/>
        <v>100203,400</v>
      </c>
    </row>
    <row r="85" spans="2:8" ht="20.100000000000001" customHeight="1">
      <c r="B85" s="30">
        <v>15302002</v>
      </c>
      <c r="C85" s="31" t="s">
        <v>1661</v>
      </c>
      <c r="D85" s="31">
        <v>3</v>
      </c>
      <c r="E85" s="32" t="s">
        <v>811</v>
      </c>
      <c r="F85" s="32">
        <v>119403</v>
      </c>
      <c r="G85" s="1">
        <v>20</v>
      </c>
      <c r="H85" t="str">
        <f t="shared" si="3"/>
        <v>119403,20</v>
      </c>
    </row>
    <row r="86" spans="2:8" ht="20.100000000000001" customHeight="1">
      <c r="B86" s="30">
        <v>15302004</v>
      </c>
      <c r="C86" s="31" t="s">
        <v>1662</v>
      </c>
      <c r="D86" s="31">
        <v>3</v>
      </c>
      <c r="E86" s="32" t="s">
        <v>804</v>
      </c>
      <c r="F86" s="32">
        <v>119103</v>
      </c>
      <c r="G86" s="1">
        <v>20</v>
      </c>
      <c r="H86" t="str">
        <f t="shared" si="3"/>
        <v>119103,20</v>
      </c>
    </row>
    <row r="87" spans="2:8" ht="20.100000000000001" customHeight="1">
      <c r="B87" s="30">
        <v>15302006</v>
      </c>
      <c r="C87" s="31" t="s">
        <v>1663</v>
      </c>
      <c r="D87" s="31">
        <v>3</v>
      </c>
      <c r="E87" s="32" t="s">
        <v>1595</v>
      </c>
      <c r="F87" s="32">
        <v>101003</v>
      </c>
      <c r="G87" s="1">
        <v>30</v>
      </c>
      <c r="H87" t="str">
        <f t="shared" si="3"/>
        <v>101003,30</v>
      </c>
    </row>
    <row r="88" spans="2:8" ht="20.100000000000001" customHeight="1">
      <c r="B88" s="30">
        <v>15303002</v>
      </c>
      <c r="C88" s="31" t="s">
        <v>1664</v>
      </c>
      <c r="D88" s="31">
        <v>3</v>
      </c>
      <c r="E88" s="32" t="s">
        <v>29</v>
      </c>
      <c r="F88" s="32">
        <v>100803</v>
      </c>
      <c r="G88" s="1">
        <v>30</v>
      </c>
      <c r="H88" t="str">
        <f t="shared" si="3"/>
        <v>100803,30</v>
      </c>
    </row>
    <row r="89" spans="2:8" ht="20.100000000000001" customHeight="1">
      <c r="B89" s="30">
        <v>15303004</v>
      </c>
      <c r="C89" s="31" t="s">
        <v>1665</v>
      </c>
      <c r="D89" s="31">
        <v>3</v>
      </c>
      <c r="E89" s="32" t="s">
        <v>814</v>
      </c>
      <c r="F89" s="32">
        <v>119203</v>
      </c>
      <c r="G89" s="1">
        <v>20</v>
      </c>
      <c r="H89" t="str">
        <f t="shared" si="3"/>
        <v>119203,20</v>
      </c>
    </row>
    <row r="90" spans="2:8" ht="20.100000000000001" customHeight="1">
      <c r="B90" s="30">
        <v>15303006</v>
      </c>
      <c r="C90" s="31" t="s">
        <v>1666</v>
      </c>
      <c r="D90" s="31">
        <v>3</v>
      </c>
      <c r="E90" s="32" t="s">
        <v>765</v>
      </c>
      <c r="F90" s="32">
        <v>100203</v>
      </c>
      <c r="G90" s="1">
        <v>400</v>
      </c>
      <c r="H90" t="str">
        <f t="shared" si="3"/>
        <v>100203,400</v>
      </c>
    </row>
    <row r="91" spans="2:8" ht="20.100000000000001" customHeight="1">
      <c r="B91" s="30">
        <v>15304002</v>
      </c>
      <c r="C91" s="31" t="s">
        <v>1667</v>
      </c>
      <c r="D91" s="31">
        <v>3</v>
      </c>
      <c r="E91" s="32" t="s">
        <v>28</v>
      </c>
      <c r="F91" s="32">
        <v>100603</v>
      </c>
      <c r="G91" s="1">
        <v>30</v>
      </c>
      <c r="H91" t="str">
        <f t="shared" si="3"/>
        <v>100603,30</v>
      </c>
    </row>
    <row r="92" spans="2:8" ht="20.100000000000001" customHeight="1">
      <c r="B92" s="30">
        <v>15304004</v>
      </c>
      <c r="C92" s="31" t="s">
        <v>1668</v>
      </c>
      <c r="D92" s="31">
        <v>3</v>
      </c>
      <c r="E92" s="32" t="s">
        <v>814</v>
      </c>
      <c r="F92" s="32">
        <v>119203</v>
      </c>
      <c r="G92" s="1">
        <v>20</v>
      </c>
      <c r="H92" t="str">
        <f t="shared" si="3"/>
        <v>119203,20</v>
      </c>
    </row>
    <row r="93" spans="2:8" ht="20.100000000000001" customHeight="1">
      <c r="B93" s="30">
        <v>15304006</v>
      </c>
      <c r="C93" s="31" t="s">
        <v>1669</v>
      </c>
      <c r="D93" s="31">
        <v>3</v>
      </c>
      <c r="E93" s="32" t="s">
        <v>807</v>
      </c>
      <c r="F93" s="32">
        <v>119303</v>
      </c>
      <c r="G93" s="1">
        <v>20</v>
      </c>
      <c r="H93" t="str">
        <f t="shared" si="3"/>
        <v>119303,20</v>
      </c>
    </row>
    <row r="94" spans="2:8" ht="20.100000000000001" customHeight="1">
      <c r="B94" s="30">
        <v>15305002</v>
      </c>
      <c r="C94" s="31" t="s">
        <v>1670</v>
      </c>
      <c r="D94" s="31">
        <v>3</v>
      </c>
      <c r="E94" s="32" t="s">
        <v>29</v>
      </c>
      <c r="F94" s="32">
        <v>100803</v>
      </c>
      <c r="G94" s="1">
        <v>30</v>
      </c>
      <c r="H94" t="str">
        <f t="shared" si="3"/>
        <v>100803,30</v>
      </c>
    </row>
    <row r="95" spans="2:8" ht="20.100000000000001" customHeight="1">
      <c r="B95" s="30">
        <v>15305004</v>
      </c>
      <c r="C95" s="31" t="s">
        <v>1671</v>
      </c>
      <c r="D95" s="31">
        <v>3</v>
      </c>
      <c r="E95" s="32" t="s">
        <v>811</v>
      </c>
      <c r="F95" s="32">
        <v>119403</v>
      </c>
      <c r="G95" s="1">
        <v>20</v>
      </c>
      <c r="H95" t="str">
        <f t="shared" si="3"/>
        <v>119403,20</v>
      </c>
    </row>
    <row r="96" spans="2:8" ht="20.100000000000001" customHeight="1">
      <c r="B96" s="30">
        <v>15305006</v>
      </c>
      <c r="C96" s="31" t="s">
        <v>1672</v>
      </c>
      <c r="D96" s="31">
        <v>3</v>
      </c>
      <c r="E96" s="32" t="s">
        <v>765</v>
      </c>
      <c r="F96" s="32">
        <v>100203</v>
      </c>
      <c r="G96" s="1">
        <v>400</v>
      </c>
      <c r="H96" t="str">
        <f t="shared" si="3"/>
        <v>100203,400</v>
      </c>
    </row>
    <row r="97" spans="2:12" ht="20.100000000000001" customHeight="1">
      <c r="B97" s="30">
        <v>15306002</v>
      </c>
      <c r="C97" s="31" t="s">
        <v>1673</v>
      </c>
      <c r="D97" s="31">
        <v>3</v>
      </c>
      <c r="E97" s="32" t="s">
        <v>3</v>
      </c>
      <c r="F97" s="32">
        <v>100403</v>
      </c>
      <c r="G97" s="1">
        <v>30</v>
      </c>
      <c r="H97" t="str">
        <f t="shared" si="3"/>
        <v>100403,30</v>
      </c>
    </row>
    <row r="98" spans="2:12" ht="20.100000000000001" customHeight="1">
      <c r="B98" s="30">
        <v>15307002</v>
      </c>
      <c r="C98" s="31" t="s">
        <v>1674</v>
      </c>
      <c r="D98" s="31">
        <v>3</v>
      </c>
      <c r="E98" s="32" t="s">
        <v>3</v>
      </c>
      <c r="F98" s="32">
        <v>100403</v>
      </c>
      <c r="G98" s="1">
        <v>30</v>
      </c>
      <c r="H98" t="str">
        <f t="shared" si="3"/>
        <v>100403,30</v>
      </c>
    </row>
    <row r="99" spans="2:12" ht="20.100000000000001" customHeight="1">
      <c r="B99" s="30">
        <v>15308002</v>
      </c>
      <c r="C99" s="31" t="s">
        <v>1675</v>
      </c>
      <c r="D99" s="31">
        <v>3</v>
      </c>
      <c r="E99" s="32" t="s">
        <v>807</v>
      </c>
      <c r="F99" s="32">
        <v>119303</v>
      </c>
      <c r="G99" s="1">
        <v>20</v>
      </c>
      <c r="H99" t="str">
        <f t="shared" si="3"/>
        <v>119303,20</v>
      </c>
    </row>
    <row r="100" spans="2:12" ht="20.100000000000001" customHeight="1">
      <c r="B100" s="30">
        <v>15309002</v>
      </c>
      <c r="C100" s="31" t="s">
        <v>1676</v>
      </c>
      <c r="D100" s="31">
        <v>3</v>
      </c>
      <c r="E100" s="32" t="s">
        <v>765</v>
      </c>
      <c r="F100" s="32">
        <v>100203</v>
      </c>
      <c r="G100" s="1">
        <v>400</v>
      </c>
      <c r="H100" t="str">
        <f t="shared" si="3"/>
        <v>100203,400</v>
      </c>
    </row>
    <row r="101" spans="2:12" ht="20.100000000000001" customHeight="1">
      <c r="B101" s="30">
        <v>15310002</v>
      </c>
      <c r="C101" s="31" t="s">
        <v>1677</v>
      </c>
      <c r="D101" s="31">
        <v>3</v>
      </c>
      <c r="E101" s="32" t="s">
        <v>1595</v>
      </c>
      <c r="F101" s="32">
        <v>101003</v>
      </c>
      <c r="G101" s="1">
        <v>30</v>
      </c>
      <c r="H101" t="str">
        <f t="shared" si="3"/>
        <v>101003,30</v>
      </c>
    </row>
    <row r="102" spans="2:12" ht="20.100000000000001" customHeight="1">
      <c r="B102" s="30">
        <v>15310004</v>
      </c>
      <c r="C102" s="31" t="s">
        <v>1678</v>
      </c>
      <c r="D102" s="31">
        <v>3</v>
      </c>
      <c r="E102" s="32" t="s">
        <v>1595</v>
      </c>
      <c r="F102" s="32">
        <v>101003</v>
      </c>
      <c r="G102" s="1">
        <v>30</v>
      </c>
      <c r="H102" t="str">
        <f t="shared" si="3"/>
        <v>101003,30</v>
      </c>
    </row>
    <row r="103" spans="2:12" ht="20.100000000000001" customHeight="1">
      <c r="B103" s="30">
        <v>15310102</v>
      </c>
      <c r="C103" s="31" t="s">
        <v>1679</v>
      </c>
      <c r="D103" s="31">
        <v>3</v>
      </c>
      <c r="E103" s="32" t="s">
        <v>3</v>
      </c>
      <c r="F103" s="32">
        <v>100403</v>
      </c>
      <c r="G103" s="1">
        <v>30</v>
      </c>
      <c r="H103" t="str">
        <f t="shared" si="3"/>
        <v>100403,30</v>
      </c>
    </row>
    <row r="104" spans="2:12" ht="20.100000000000001" customHeight="1">
      <c r="B104" s="30">
        <v>15310104</v>
      </c>
      <c r="C104" s="31" t="s">
        <v>1680</v>
      </c>
      <c r="D104" s="31">
        <v>3</v>
      </c>
      <c r="E104" s="32" t="s">
        <v>3</v>
      </c>
      <c r="F104" s="32">
        <v>100403</v>
      </c>
      <c r="G104" s="1">
        <v>30</v>
      </c>
      <c r="H104" t="str">
        <f t="shared" si="3"/>
        <v>100403,30</v>
      </c>
    </row>
    <row r="105" spans="2:12" ht="20.100000000000001" customHeight="1">
      <c r="B105" s="30">
        <v>15311002</v>
      </c>
      <c r="C105" s="31" t="s">
        <v>1681</v>
      </c>
      <c r="D105" s="31">
        <v>3</v>
      </c>
      <c r="E105" s="32" t="s">
        <v>804</v>
      </c>
      <c r="F105" s="32">
        <v>119103</v>
      </c>
      <c r="G105" s="1">
        <v>20</v>
      </c>
      <c r="H105" t="str">
        <f t="shared" si="3"/>
        <v>119103,20</v>
      </c>
    </row>
    <row r="106" spans="2:12" ht="20.100000000000001" customHeight="1">
      <c r="B106" s="30">
        <v>15311004</v>
      </c>
      <c r="C106" s="31" t="s">
        <v>1682</v>
      </c>
      <c r="D106" s="31">
        <v>3</v>
      </c>
      <c r="E106" s="32" t="s">
        <v>811</v>
      </c>
      <c r="F106" s="32">
        <v>119403</v>
      </c>
      <c r="G106" s="1">
        <v>20</v>
      </c>
      <c r="H106" t="str">
        <f t="shared" si="3"/>
        <v>119403,20</v>
      </c>
    </row>
    <row r="107" spans="2:12" ht="20.100000000000001" customHeight="1">
      <c r="B107" s="30">
        <v>15311006</v>
      </c>
      <c r="C107" s="31" t="s">
        <v>1683</v>
      </c>
      <c r="D107" s="31">
        <v>3</v>
      </c>
      <c r="E107" s="32" t="s">
        <v>765</v>
      </c>
      <c r="F107" s="32">
        <v>100203</v>
      </c>
      <c r="G107" s="1">
        <v>400</v>
      </c>
      <c r="H107" t="str">
        <f t="shared" si="3"/>
        <v>100203,400</v>
      </c>
    </row>
    <row r="108" spans="2:12" ht="20.100000000000001" customHeight="1">
      <c r="B108" s="33">
        <v>10023010</v>
      </c>
      <c r="C108" s="35" t="s">
        <v>1684</v>
      </c>
      <c r="D108" s="30">
        <v>300</v>
      </c>
      <c r="E108" s="32" t="s">
        <v>814</v>
      </c>
      <c r="F108" s="32">
        <v>119203</v>
      </c>
      <c r="G108" s="1">
        <v>20</v>
      </c>
      <c r="H108" t="str">
        <f t="shared" si="3"/>
        <v>119203,20</v>
      </c>
    </row>
    <row r="109" spans="2:12" ht="20.100000000000001" customHeight="1">
      <c r="B109" s="33">
        <v>10023010</v>
      </c>
      <c r="C109" s="35" t="s">
        <v>1684</v>
      </c>
      <c r="D109" s="30">
        <v>500</v>
      </c>
      <c r="E109" s="32" t="s">
        <v>765</v>
      </c>
      <c r="F109" s="32">
        <v>100203</v>
      </c>
      <c r="G109" s="1">
        <v>400</v>
      </c>
      <c r="H109" t="str">
        <f t="shared" si="3"/>
        <v>100203,400</v>
      </c>
    </row>
    <row r="110" spans="2:12" ht="20.100000000000001" customHeight="1">
      <c r="B110" s="33">
        <v>10023010</v>
      </c>
      <c r="C110" s="35" t="s">
        <v>1684</v>
      </c>
      <c r="D110" s="30">
        <v>1000</v>
      </c>
      <c r="E110" s="32" t="s">
        <v>1595</v>
      </c>
      <c r="F110" s="32">
        <v>101003</v>
      </c>
      <c r="G110" s="1">
        <v>30</v>
      </c>
      <c r="H110" t="str">
        <f t="shared" si="3"/>
        <v>101003,30</v>
      </c>
    </row>
    <row r="111" spans="2:12" ht="20.100000000000001" customHeight="1">
      <c r="B111" s="33">
        <v>10023008</v>
      </c>
      <c r="C111" s="30" t="s">
        <v>1685</v>
      </c>
      <c r="D111" s="30">
        <v>5</v>
      </c>
      <c r="E111" s="32" t="s">
        <v>765</v>
      </c>
      <c r="F111" s="32">
        <v>100203</v>
      </c>
      <c r="G111" s="1">
        <v>400</v>
      </c>
      <c r="H111" t="str">
        <f t="shared" si="3"/>
        <v>100203,400</v>
      </c>
      <c r="J111" s="1"/>
      <c r="K111" s="32"/>
      <c r="L111" s="1"/>
    </row>
    <row r="112" spans="2:12" ht="20.100000000000001" customHeight="1">
      <c r="B112" s="33">
        <v>10023008</v>
      </c>
      <c r="C112" s="30" t="s">
        <v>1685</v>
      </c>
      <c r="D112" s="30">
        <v>10</v>
      </c>
      <c r="E112" s="32" t="s">
        <v>3</v>
      </c>
      <c r="F112" s="32">
        <v>100403</v>
      </c>
      <c r="G112" s="1">
        <v>30</v>
      </c>
      <c r="H112" t="str">
        <f t="shared" si="3"/>
        <v>100403,30</v>
      </c>
    </row>
    <row r="113" spans="2:8" ht="20.100000000000001" customHeight="1">
      <c r="B113" s="33">
        <v>10023008</v>
      </c>
      <c r="C113" s="30" t="s">
        <v>1685</v>
      </c>
      <c r="D113" s="30">
        <v>20</v>
      </c>
      <c r="E113" s="32" t="s">
        <v>776</v>
      </c>
      <c r="F113" s="32">
        <v>110101</v>
      </c>
      <c r="G113" s="1">
        <v>40</v>
      </c>
      <c r="H113" t="str">
        <f t="shared" si="3"/>
        <v>110101,40</v>
      </c>
    </row>
    <row r="114" spans="2:8" ht="20.100000000000001" customHeight="1">
      <c r="B114" s="33">
        <v>10023009</v>
      </c>
      <c r="C114" s="30" t="s">
        <v>1686</v>
      </c>
      <c r="D114" s="30">
        <v>3</v>
      </c>
      <c r="E114" s="32" t="s">
        <v>765</v>
      </c>
      <c r="F114" s="32">
        <v>100203</v>
      </c>
      <c r="G114" s="1">
        <v>400</v>
      </c>
      <c r="H114" t="str">
        <f t="shared" si="3"/>
        <v>100203,400</v>
      </c>
    </row>
    <row r="115" spans="2:8" ht="20.100000000000001" customHeight="1">
      <c r="B115" s="33">
        <v>10023009</v>
      </c>
      <c r="C115" s="30" t="s">
        <v>1686</v>
      </c>
      <c r="D115" s="30">
        <v>5</v>
      </c>
      <c r="E115" s="32" t="s">
        <v>804</v>
      </c>
      <c r="F115" s="32">
        <v>119103</v>
      </c>
      <c r="G115" s="1">
        <v>20</v>
      </c>
      <c r="H115" t="str">
        <f t="shared" si="3"/>
        <v>119103,20</v>
      </c>
    </row>
    <row r="116" spans="2:8" ht="20.100000000000001" customHeight="1">
      <c r="B116" s="33">
        <v>10023009</v>
      </c>
      <c r="C116" s="30" t="s">
        <v>1686</v>
      </c>
      <c r="D116" s="30">
        <v>10</v>
      </c>
      <c r="E116" s="32" t="s">
        <v>776</v>
      </c>
      <c r="F116" s="32">
        <v>110101</v>
      </c>
      <c r="G116" s="1">
        <v>40</v>
      </c>
      <c r="H116" t="str">
        <f t="shared" si="3"/>
        <v>110101,40</v>
      </c>
    </row>
    <row r="117" spans="2:8" ht="20.100000000000001" customHeight="1"/>
    <row r="118" spans="2:8" ht="20.100000000000001" customHeight="1">
      <c r="B118" t="s">
        <v>1687</v>
      </c>
    </row>
    <row r="119" spans="2:8" ht="20.100000000000001" customHeight="1"/>
    <row r="120" spans="2:8" ht="20.100000000000001" customHeight="1">
      <c r="B120" s="30">
        <v>15401002</v>
      </c>
      <c r="C120" s="31" t="s">
        <v>1688</v>
      </c>
      <c r="D120" s="31">
        <v>3</v>
      </c>
      <c r="E120" s="32" t="s">
        <v>28</v>
      </c>
      <c r="F120" s="32">
        <v>100603</v>
      </c>
      <c r="G120" s="1">
        <v>37</v>
      </c>
      <c r="H120" t="str">
        <f>F120&amp;","&amp;G120</f>
        <v>100603,37</v>
      </c>
    </row>
    <row r="121" spans="2:8" ht="20.100000000000001" customHeight="1">
      <c r="B121" s="30">
        <v>15401004</v>
      </c>
      <c r="C121" s="31" t="s">
        <v>1689</v>
      </c>
      <c r="D121" s="31">
        <v>3</v>
      </c>
      <c r="E121" s="32" t="s">
        <v>807</v>
      </c>
      <c r="F121" s="32">
        <v>119303</v>
      </c>
      <c r="G121" s="1">
        <v>25</v>
      </c>
      <c r="H121" t="str">
        <f t="shared" ref="H121:H154" si="4">F121&amp;","&amp;G121</f>
        <v>119303,25</v>
      </c>
    </row>
    <row r="122" spans="2:8" ht="20.100000000000001" customHeight="1">
      <c r="B122" s="30">
        <v>15401006</v>
      </c>
      <c r="C122" s="31" t="s">
        <v>1690</v>
      </c>
      <c r="D122" s="31">
        <v>3</v>
      </c>
      <c r="E122" s="32" t="s">
        <v>765</v>
      </c>
      <c r="F122" s="32">
        <v>100203</v>
      </c>
      <c r="G122" s="1">
        <v>500</v>
      </c>
      <c r="H122" t="str">
        <f t="shared" si="4"/>
        <v>100203,500</v>
      </c>
    </row>
    <row r="123" spans="2:8" ht="20.100000000000001" customHeight="1">
      <c r="B123" s="30">
        <v>15402002</v>
      </c>
      <c r="C123" s="31" t="s">
        <v>1691</v>
      </c>
      <c r="D123" s="31">
        <v>3</v>
      </c>
      <c r="E123" s="32" t="s">
        <v>811</v>
      </c>
      <c r="F123" s="32">
        <v>119403</v>
      </c>
      <c r="G123" s="1">
        <v>25</v>
      </c>
      <c r="H123" t="str">
        <f t="shared" si="4"/>
        <v>119403,25</v>
      </c>
    </row>
    <row r="124" spans="2:8" ht="20.100000000000001" customHeight="1">
      <c r="B124" s="30">
        <v>15402004</v>
      </c>
      <c r="C124" s="31" t="s">
        <v>1692</v>
      </c>
      <c r="D124" s="31">
        <v>3</v>
      </c>
      <c r="E124" s="32" t="s">
        <v>804</v>
      </c>
      <c r="F124" s="32">
        <v>119103</v>
      </c>
      <c r="G124" s="1">
        <v>25</v>
      </c>
      <c r="H124" t="str">
        <f t="shared" si="4"/>
        <v>119103,25</v>
      </c>
    </row>
    <row r="125" spans="2:8" ht="20.100000000000001" customHeight="1">
      <c r="B125" s="30">
        <v>15402006</v>
      </c>
      <c r="C125" s="31" t="s">
        <v>1693</v>
      </c>
      <c r="D125" s="31">
        <v>3</v>
      </c>
      <c r="E125" s="32" t="s">
        <v>1595</v>
      </c>
      <c r="F125" s="32">
        <v>101003</v>
      </c>
      <c r="G125" s="1">
        <v>37</v>
      </c>
      <c r="H125" t="str">
        <f t="shared" si="4"/>
        <v>101003,37</v>
      </c>
    </row>
    <row r="126" spans="2:8" ht="20.100000000000001" customHeight="1">
      <c r="B126" s="30">
        <v>15403002</v>
      </c>
      <c r="C126" s="31" t="s">
        <v>1694</v>
      </c>
      <c r="D126" s="31">
        <v>3</v>
      </c>
      <c r="E126" s="32" t="s">
        <v>29</v>
      </c>
      <c r="F126" s="32">
        <v>100803</v>
      </c>
      <c r="G126" s="1">
        <v>37</v>
      </c>
      <c r="H126" t="str">
        <f t="shared" si="4"/>
        <v>100803,37</v>
      </c>
    </row>
    <row r="127" spans="2:8" ht="20.100000000000001" customHeight="1">
      <c r="B127" s="30">
        <v>15403004</v>
      </c>
      <c r="C127" s="31" t="s">
        <v>1695</v>
      </c>
      <c r="D127" s="31">
        <v>3</v>
      </c>
      <c r="E127" s="32" t="s">
        <v>814</v>
      </c>
      <c r="F127" s="32">
        <v>119203</v>
      </c>
      <c r="G127" s="1">
        <v>25</v>
      </c>
      <c r="H127" t="str">
        <f t="shared" si="4"/>
        <v>119203,25</v>
      </c>
    </row>
    <row r="128" spans="2:8" ht="20.100000000000001" customHeight="1">
      <c r="B128" s="30">
        <v>15403006</v>
      </c>
      <c r="C128" s="31" t="s">
        <v>1696</v>
      </c>
      <c r="D128" s="31">
        <v>3</v>
      </c>
      <c r="E128" s="32" t="s">
        <v>765</v>
      </c>
      <c r="F128" s="32">
        <v>100203</v>
      </c>
      <c r="G128" s="1">
        <v>500</v>
      </c>
      <c r="H128" t="str">
        <f t="shared" si="4"/>
        <v>100203,500</v>
      </c>
    </row>
    <row r="129" spans="2:8" ht="20.100000000000001" customHeight="1">
      <c r="B129" s="30">
        <v>15404002</v>
      </c>
      <c r="C129" s="31" t="s">
        <v>1697</v>
      </c>
      <c r="D129" s="31">
        <v>3</v>
      </c>
      <c r="E129" s="32" t="s">
        <v>28</v>
      </c>
      <c r="F129" s="32">
        <v>100603</v>
      </c>
      <c r="G129" s="1">
        <v>37</v>
      </c>
      <c r="H129" t="str">
        <f t="shared" si="4"/>
        <v>100603,37</v>
      </c>
    </row>
    <row r="130" spans="2:8" ht="20.100000000000001" customHeight="1">
      <c r="B130" s="30">
        <v>15404004</v>
      </c>
      <c r="C130" s="31" t="s">
        <v>1698</v>
      </c>
      <c r="D130" s="31">
        <v>3</v>
      </c>
      <c r="E130" s="32" t="s">
        <v>814</v>
      </c>
      <c r="F130" s="32">
        <v>119203</v>
      </c>
      <c r="G130" s="1">
        <v>25</v>
      </c>
      <c r="H130" t="str">
        <f t="shared" si="4"/>
        <v>119203,25</v>
      </c>
    </row>
    <row r="131" spans="2:8" ht="20.100000000000001" customHeight="1">
      <c r="B131" s="30">
        <v>15404006</v>
      </c>
      <c r="C131" s="31" t="s">
        <v>1699</v>
      </c>
      <c r="D131" s="31">
        <v>3</v>
      </c>
      <c r="E131" s="32" t="s">
        <v>807</v>
      </c>
      <c r="F131" s="32">
        <v>119303</v>
      </c>
      <c r="G131" s="1">
        <v>25</v>
      </c>
      <c r="H131" t="str">
        <f t="shared" si="4"/>
        <v>119303,25</v>
      </c>
    </row>
    <row r="132" spans="2:8" ht="20.100000000000001" customHeight="1">
      <c r="B132" s="30">
        <v>15405002</v>
      </c>
      <c r="C132" s="31" t="s">
        <v>1700</v>
      </c>
      <c r="D132" s="31">
        <v>3</v>
      </c>
      <c r="E132" s="32" t="s">
        <v>29</v>
      </c>
      <c r="F132" s="32">
        <v>100803</v>
      </c>
      <c r="G132" s="1">
        <v>37</v>
      </c>
      <c r="H132" t="str">
        <f t="shared" si="4"/>
        <v>100803,37</v>
      </c>
    </row>
    <row r="133" spans="2:8" ht="20.100000000000001" customHeight="1">
      <c r="B133" s="30">
        <v>15405004</v>
      </c>
      <c r="C133" s="31" t="s">
        <v>1701</v>
      </c>
      <c r="D133" s="31">
        <v>3</v>
      </c>
      <c r="E133" s="32" t="s">
        <v>811</v>
      </c>
      <c r="F133" s="32">
        <v>119403</v>
      </c>
      <c r="G133" s="1">
        <v>25</v>
      </c>
      <c r="H133" t="str">
        <f t="shared" si="4"/>
        <v>119403,25</v>
      </c>
    </row>
    <row r="134" spans="2:8" ht="20.100000000000001" customHeight="1">
      <c r="B134" s="30">
        <v>15405006</v>
      </c>
      <c r="C134" s="31" t="s">
        <v>1702</v>
      </c>
      <c r="D134" s="31">
        <v>3</v>
      </c>
      <c r="E134" s="32" t="s">
        <v>765</v>
      </c>
      <c r="F134" s="32">
        <v>100203</v>
      </c>
      <c r="G134" s="1">
        <v>500</v>
      </c>
      <c r="H134" t="str">
        <f t="shared" si="4"/>
        <v>100203,500</v>
      </c>
    </row>
    <row r="135" spans="2:8" ht="20.100000000000001" customHeight="1">
      <c r="B135" s="30">
        <v>15406002</v>
      </c>
      <c r="C135" s="31" t="s">
        <v>1703</v>
      </c>
      <c r="D135" s="31">
        <v>3</v>
      </c>
      <c r="E135" s="32" t="s">
        <v>3</v>
      </c>
      <c r="F135" s="32">
        <v>100403</v>
      </c>
      <c r="G135" s="1">
        <v>37</v>
      </c>
      <c r="H135" t="str">
        <f t="shared" si="4"/>
        <v>100403,37</v>
      </c>
    </row>
    <row r="136" spans="2:8" ht="20.100000000000001" customHeight="1">
      <c r="B136" s="30">
        <v>15407002</v>
      </c>
      <c r="C136" s="31" t="s">
        <v>1704</v>
      </c>
      <c r="D136" s="31">
        <v>3</v>
      </c>
      <c r="E136" s="32" t="s">
        <v>3</v>
      </c>
      <c r="F136" s="32">
        <v>100403</v>
      </c>
      <c r="G136" s="1">
        <v>37</v>
      </c>
      <c r="H136" t="str">
        <f t="shared" si="4"/>
        <v>100403,37</v>
      </c>
    </row>
    <row r="137" spans="2:8" ht="20.100000000000001" customHeight="1">
      <c r="B137" s="30">
        <v>15408002</v>
      </c>
      <c r="C137" s="31" t="s">
        <v>1705</v>
      </c>
      <c r="D137" s="31">
        <v>3</v>
      </c>
      <c r="E137" s="32" t="s">
        <v>807</v>
      </c>
      <c r="F137" s="32">
        <v>119303</v>
      </c>
      <c r="G137" s="1">
        <v>25</v>
      </c>
      <c r="H137" t="str">
        <f t="shared" si="4"/>
        <v>119303,25</v>
      </c>
    </row>
    <row r="138" spans="2:8" ht="20.100000000000001" customHeight="1">
      <c r="B138" s="30">
        <v>15409002</v>
      </c>
      <c r="C138" s="31" t="s">
        <v>1706</v>
      </c>
      <c r="D138" s="31">
        <v>3</v>
      </c>
      <c r="E138" s="32" t="s">
        <v>765</v>
      </c>
      <c r="F138" s="32">
        <v>100203</v>
      </c>
      <c r="G138" s="1">
        <v>500</v>
      </c>
      <c r="H138" t="str">
        <f t="shared" si="4"/>
        <v>100203,500</v>
      </c>
    </row>
    <row r="139" spans="2:8" ht="20.100000000000001" customHeight="1">
      <c r="B139" s="30">
        <v>15410002</v>
      </c>
      <c r="C139" s="31" t="s">
        <v>1707</v>
      </c>
      <c r="D139" s="31">
        <v>3</v>
      </c>
      <c r="E139" s="32" t="s">
        <v>1595</v>
      </c>
      <c r="F139" s="32">
        <v>101003</v>
      </c>
      <c r="G139" s="1">
        <v>37</v>
      </c>
      <c r="H139" t="str">
        <f t="shared" si="4"/>
        <v>101003,37</v>
      </c>
    </row>
    <row r="140" spans="2:8" ht="20.100000000000001" customHeight="1">
      <c r="B140" s="30">
        <v>15410004</v>
      </c>
      <c r="C140" s="31" t="s">
        <v>1708</v>
      </c>
      <c r="D140" s="31">
        <v>3</v>
      </c>
      <c r="E140" s="32" t="s">
        <v>1595</v>
      </c>
      <c r="F140" s="32">
        <v>101003</v>
      </c>
      <c r="G140" s="1">
        <v>37</v>
      </c>
      <c r="H140" t="str">
        <f t="shared" si="4"/>
        <v>101003,37</v>
      </c>
    </row>
    <row r="141" spans="2:8" ht="20.100000000000001" customHeight="1">
      <c r="B141" s="30">
        <v>15410102</v>
      </c>
      <c r="C141" s="31" t="s">
        <v>1709</v>
      </c>
      <c r="D141" s="31">
        <v>3</v>
      </c>
      <c r="E141" s="32" t="s">
        <v>3</v>
      </c>
      <c r="F141" s="32">
        <v>100403</v>
      </c>
      <c r="G141" s="1">
        <v>37</v>
      </c>
      <c r="H141" t="str">
        <f t="shared" si="4"/>
        <v>100403,37</v>
      </c>
    </row>
    <row r="142" spans="2:8" ht="20.100000000000001" customHeight="1">
      <c r="B142" s="30">
        <v>15410104</v>
      </c>
      <c r="C142" s="31" t="s">
        <v>1710</v>
      </c>
      <c r="D142" s="31">
        <v>3</v>
      </c>
      <c r="E142" s="32" t="s">
        <v>3</v>
      </c>
      <c r="F142" s="32">
        <v>100403</v>
      </c>
      <c r="G142" s="1">
        <v>37</v>
      </c>
      <c r="H142" t="str">
        <f t="shared" si="4"/>
        <v>100403,37</v>
      </c>
    </row>
    <row r="143" spans="2:8" ht="20.100000000000001" customHeight="1">
      <c r="B143" s="30">
        <v>15411002</v>
      </c>
      <c r="C143" s="31" t="s">
        <v>1711</v>
      </c>
      <c r="D143" s="31">
        <v>3</v>
      </c>
      <c r="E143" s="32" t="s">
        <v>804</v>
      </c>
      <c r="F143" s="32">
        <v>119103</v>
      </c>
      <c r="G143" s="1">
        <v>25</v>
      </c>
      <c r="H143" t="str">
        <f t="shared" si="4"/>
        <v>119103,25</v>
      </c>
    </row>
    <row r="144" spans="2:8" ht="20.100000000000001" customHeight="1">
      <c r="B144" s="30">
        <v>15411004</v>
      </c>
      <c r="C144" s="31" t="s">
        <v>1712</v>
      </c>
      <c r="D144" s="31">
        <v>3</v>
      </c>
      <c r="E144" s="32" t="s">
        <v>811</v>
      </c>
      <c r="F144" s="32">
        <v>119403</v>
      </c>
      <c r="G144" s="1">
        <v>25</v>
      </c>
      <c r="H144" t="str">
        <f t="shared" si="4"/>
        <v>119403,25</v>
      </c>
    </row>
    <row r="145" spans="2:12" ht="20.100000000000001" customHeight="1">
      <c r="B145" s="30">
        <v>15411006</v>
      </c>
      <c r="C145" s="31" t="s">
        <v>1713</v>
      </c>
      <c r="D145" s="31">
        <v>3</v>
      </c>
      <c r="E145" s="32" t="s">
        <v>765</v>
      </c>
      <c r="F145" s="32">
        <v>100203</v>
      </c>
      <c r="G145" s="1">
        <v>500</v>
      </c>
      <c r="H145" t="str">
        <f t="shared" si="4"/>
        <v>100203,500</v>
      </c>
    </row>
    <row r="146" spans="2:12" ht="20.100000000000001" customHeight="1">
      <c r="B146" s="33">
        <v>10024010</v>
      </c>
      <c r="C146" s="35" t="s">
        <v>1714</v>
      </c>
      <c r="D146" s="30">
        <v>300</v>
      </c>
      <c r="E146" s="32" t="s">
        <v>814</v>
      </c>
      <c r="F146" s="32">
        <v>119203</v>
      </c>
      <c r="G146" s="1">
        <v>25</v>
      </c>
      <c r="H146" t="str">
        <f t="shared" si="4"/>
        <v>119203,25</v>
      </c>
    </row>
    <row r="147" spans="2:12" ht="20.100000000000001" customHeight="1">
      <c r="B147" s="33">
        <v>10024010</v>
      </c>
      <c r="C147" s="35" t="s">
        <v>1714</v>
      </c>
      <c r="D147" s="30">
        <v>500</v>
      </c>
      <c r="E147" s="32" t="s">
        <v>765</v>
      </c>
      <c r="F147" s="32">
        <v>100203</v>
      </c>
      <c r="G147" s="1">
        <v>500</v>
      </c>
      <c r="H147" t="str">
        <f t="shared" si="4"/>
        <v>100203,500</v>
      </c>
    </row>
    <row r="148" spans="2:12" ht="20.100000000000001" customHeight="1">
      <c r="B148" s="33">
        <v>10024010</v>
      </c>
      <c r="C148" s="35" t="s">
        <v>1714</v>
      </c>
      <c r="D148" s="30">
        <v>1000</v>
      </c>
      <c r="E148" s="32" t="s">
        <v>1595</v>
      </c>
      <c r="F148" s="32">
        <v>101003</v>
      </c>
      <c r="G148" s="1">
        <v>37</v>
      </c>
      <c r="H148" t="str">
        <f t="shared" si="4"/>
        <v>101003,37</v>
      </c>
    </row>
    <row r="149" spans="2:12" ht="20.100000000000001" customHeight="1">
      <c r="B149" s="33">
        <v>10024008</v>
      </c>
      <c r="C149" s="30" t="s">
        <v>1715</v>
      </c>
      <c r="D149" s="30">
        <v>5</v>
      </c>
      <c r="E149" s="32" t="s">
        <v>765</v>
      </c>
      <c r="F149" s="32">
        <v>100203</v>
      </c>
      <c r="G149" s="1">
        <v>500</v>
      </c>
      <c r="H149" t="str">
        <f t="shared" si="4"/>
        <v>100203,500</v>
      </c>
      <c r="J149" s="1"/>
      <c r="K149" s="32"/>
      <c r="L149" s="1"/>
    </row>
    <row r="150" spans="2:12" ht="20.100000000000001" customHeight="1">
      <c r="B150" s="33">
        <v>10024008</v>
      </c>
      <c r="C150" s="30" t="s">
        <v>1715</v>
      </c>
      <c r="D150" s="30">
        <v>10</v>
      </c>
      <c r="E150" s="32" t="s">
        <v>3</v>
      </c>
      <c r="F150" s="32">
        <v>100403</v>
      </c>
      <c r="G150" s="1">
        <v>37</v>
      </c>
      <c r="H150" t="str">
        <f t="shared" si="4"/>
        <v>100403,37</v>
      </c>
    </row>
    <row r="151" spans="2:12" ht="20.100000000000001" customHeight="1">
      <c r="B151" s="33">
        <v>10024008</v>
      </c>
      <c r="C151" s="30" t="s">
        <v>1715</v>
      </c>
      <c r="D151" s="30">
        <v>20</v>
      </c>
      <c r="E151" s="32" t="s">
        <v>776</v>
      </c>
      <c r="F151" s="32">
        <v>110101</v>
      </c>
      <c r="G151" s="1">
        <v>50</v>
      </c>
      <c r="H151" t="str">
        <f t="shared" si="4"/>
        <v>110101,50</v>
      </c>
    </row>
    <row r="152" spans="2:12" ht="20.100000000000001" customHeight="1">
      <c r="B152" s="33">
        <v>10024009</v>
      </c>
      <c r="C152" s="30" t="s">
        <v>1716</v>
      </c>
      <c r="D152" s="30">
        <v>3</v>
      </c>
      <c r="E152" s="32" t="s">
        <v>765</v>
      </c>
      <c r="F152" s="32">
        <v>100203</v>
      </c>
      <c r="G152" s="1">
        <v>500</v>
      </c>
      <c r="H152" t="str">
        <f t="shared" si="4"/>
        <v>100203,500</v>
      </c>
    </row>
    <row r="153" spans="2:12" ht="20.100000000000001" customHeight="1">
      <c r="B153" s="33">
        <v>10024009</v>
      </c>
      <c r="C153" s="30" t="s">
        <v>1716</v>
      </c>
      <c r="D153" s="30">
        <v>5</v>
      </c>
      <c r="E153" s="32" t="s">
        <v>804</v>
      </c>
      <c r="F153" s="32">
        <v>119103</v>
      </c>
      <c r="G153" s="1">
        <v>25</v>
      </c>
      <c r="H153" t="str">
        <f t="shared" si="4"/>
        <v>119103,25</v>
      </c>
    </row>
    <row r="154" spans="2:12" ht="20.100000000000001" customHeight="1">
      <c r="B154" s="33">
        <v>10024009</v>
      </c>
      <c r="C154" s="30" t="s">
        <v>1716</v>
      </c>
      <c r="D154" s="30">
        <v>10</v>
      </c>
      <c r="E154" s="32" t="s">
        <v>776</v>
      </c>
      <c r="F154" s="32">
        <v>110101</v>
      </c>
      <c r="G154" s="1">
        <v>50</v>
      </c>
      <c r="H154" t="str">
        <f t="shared" si="4"/>
        <v>110101,50</v>
      </c>
    </row>
    <row r="155" spans="2:12" ht="20.100000000000001" customHeight="1"/>
    <row r="156" spans="2:12" ht="20.100000000000001" customHeight="1">
      <c r="B156" t="s">
        <v>1717</v>
      </c>
    </row>
    <row r="157" spans="2:12" ht="20.100000000000001" customHeight="1"/>
    <row r="158" spans="2:12" ht="20.100000000000001" customHeight="1">
      <c r="B158" s="30">
        <v>15501002</v>
      </c>
      <c r="C158" s="31" t="s">
        <v>1718</v>
      </c>
      <c r="D158" s="31">
        <v>3</v>
      </c>
      <c r="E158" s="32" t="s">
        <v>28</v>
      </c>
      <c r="F158" s="32">
        <v>100603</v>
      </c>
      <c r="G158" s="1">
        <v>45</v>
      </c>
      <c r="H158" t="str">
        <f>F158&amp;","&amp;G158</f>
        <v>100603,45</v>
      </c>
    </row>
    <row r="159" spans="2:12" ht="20.100000000000001" customHeight="1">
      <c r="B159" s="30">
        <v>15501004</v>
      </c>
      <c r="C159" s="31" t="s">
        <v>1719</v>
      </c>
      <c r="D159" s="31">
        <v>3</v>
      </c>
      <c r="E159" s="32" t="s">
        <v>807</v>
      </c>
      <c r="F159" s="32">
        <v>119303</v>
      </c>
      <c r="G159" s="1">
        <v>30</v>
      </c>
      <c r="H159" t="str">
        <f t="shared" ref="H159:H192" si="5">F159&amp;","&amp;G159</f>
        <v>119303,30</v>
      </c>
    </row>
    <row r="160" spans="2:12" ht="20.100000000000001" customHeight="1">
      <c r="B160" s="30">
        <v>15501006</v>
      </c>
      <c r="C160" s="31" t="s">
        <v>1720</v>
      </c>
      <c r="D160" s="31">
        <v>3</v>
      </c>
      <c r="E160" s="32" t="s">
        <v>765</v>
      </c>
      <c r="F160" s="32">
        <v>100203</v>
      </c>
      <c r="G160" s="1">
        <v>600</v>
      </c>
      <c r="H160" t="str">
        <f t="shared" si="5"/>
        <v>100203,600</v>
      </c>
    </row>
    <row r="161" spans="2:8" ht="20.100000000000001" customHeight="1">
      <c r="B161" s="30">
        <v>15502002</v>
      </c>
      <c r="C161" s="31" t="s">
        <v>1721</v>
      </c>
      <c r="D161" s="31">
        <v>3</v>
      </c>
      <c r="E161" s="32" t="s">
        <v>811</v>
      </c>
      <c r="F161" s="32">
        <v>119403</v>
      </c>
      <c r="G161" s="1">
        <v>30</v>
      </c>
      <c r="H161" t="str">
        <f t="shared" si="5"/>
        <v>119403,30</v>
      </c>
    </row>
    <row r="162" spans="2:8" ht="20.100000000000001" customHeight="1">
      <c r="B162" s="30">
        <v>15502004</v>
      </c>
      <c r="C162" s="31" t="s">
        <v>1722</v>
      </c>
      <c r="D162" s="31">
        <v>3</v>
      </c>
      <c r="E162" s="32" t="s">
        <v>804</v>
      </c>
      <c r="F162" s="32">
        <v>119103</v>
      </c>
      <c r="G162" s="1">
        <v>30</v>
      </c>
      <c r="H162" t="str">
        <f t="shared" si="5"/>
        <v>119103,30</v>
      </c>
    </row>
    <row r="163" spans="2:8" ht="20.100000000000001" customHeight="1">
      <c r="B163" s="30">
        <v>15502006</v>
      </c>
      <c r="C163" s="31" t="s">
        <v>1723</v>
      </c>
      <c r="D163" s="31">
        <v>3</v>
      </c>
      <c r="E163" s="32" t="s">
        <v>1595</v>
      </c>
      <c r="F163" s="32">
        <v>101003</v>
      </c>
      <c r="G163" s="1">
        <v>45</v>
      </c>
      <c r="H163" t="str">
        <f t="shared" si="5"/>
        <v>101003,45</v>
      </c>
    </row>
    <row r="164" spans="2:8" ht="20.100000000000001" customHeight="1">
      <c r="B164" s="30">
        <v>15503002</v>
      </c>
      <c r="C164" s="31" t="s">
        <v>1724</v>
      </c>
      <c r="D164" s="31">
        <v>3</v>
      </c>
      <c r="E164" s="32" t="s">
        <v>29</v>
      </c>
      <c r="F164" s="32">
        <v>100803</v>
      </c>
      <c r="G164" s="1">
        <v>45</v>
      </c>
      <c r="H164" t="str">
        <f t="shared" si="5"/>
        <v>100803,45</v>
      </c>
    </row>
    <row r="165" spans="2:8" ht="20.100000000000001" customHeight="1">
      <c r="B165" s="30">
        <v>15503004</v>
      </c>
      <c r="C165" s="31" t="s">
        <v>1725</v>
      </c>
      <c r="D165" s="31">
        <v>3</v>
      </c>
      <c r="E165" s="32" t="s">
        <v>814</v>
      </c>
      <c r="F165" s="32">
        <v>119203</v>
      </c>
      <c r="G165" s="1">
        <v>30</v>
      </c>
      <c r="H165" t="str">
        <f t="shared" si="5"/>
        <v>119203,30</v>
      </c>
    </row>
    <row r="166" spans="2:8" ht="20.100000000000001" customHeight="1">
      <c r="B166" s="30">
        <v>15503006</v>
      </c>
      <c r="C166" s="31" t="s">
        <v>1726</v>
      </c>
      <c r="D166" s="31">
        <v>3</v>
      </c>
      <c r="E166" s="32" t="s">
        <v>765</v>
      </c>
      <c r="F166" s="32">
        <v>100203</v>
      </c>
      <c r="G166" s="1">
        <v>600</v>
      </c>
      <c r="H166" t="str">
        <f t="shared" si="5"/>
        <v>100203,600</v>
      </c>
    </row>
    <row r="167" spans="2:8" ht="20.100000000000001" customHeight="1">
      <c r="B167" s="30">
        <v>15504002</v>
      </c>
      <c r="C167" s="31" t="s">
        <v>1727</v>
      </c>
      <c r="D167" s="31">
        <v>3</v>
      </c>
      <c r="E167" s="32" t="s">
        <v>28</v>
      </c>
      <c r="F167" s="32">
        <v>100603</v>
      </c>
      <c r="G167" s="1">
        <v>45</v>
      </c>
      <c r="H167" t="str">
        <f t="shared" si="5"/>
        <v>100603,45</v>
      </c>
    </row>
    <row r="168" spans="2:8" ht="20.100000000000001" customHeight="1">
      <c r="B168" s="30">
        <v>15504004</v>
      </c>
      <c r="C168" s="31" t="s">
        <v>1728</v>
      </c>
      <c r="D168" s="31">
        <v>3</v>
      </c>
      <c r="E168" s="32" t="s">
        <v>814</v>
      </c>
      <c r="F168" s="32">
        <v>119203</v>
      </c>
      <c r="G168" s="1">
        <v>30</v>
      </c>
      <c r="H168" t="str">
        <f t="shared" si="5"/>
        <v>119203,30</v>
      </c>
    </row>
    <row r="169" spans="2:8" ht="20.100000000000001" customHeight="1">
      <c r="B169" s="30">
        <v>15504006</v>
      </c>
      <c r="C169" s="31" t="s">
        <v>1729</v>
      </c>
      <c r="D169" s="31">
        <v>3</v>
      </c>
      <c r="E169" s="32" t="s">
        <v>807</v>
      </c>
      <c r="F169" s="32">
        <v>119303</v>
      </c>
      <c r="G169" s="1">
        <v>30</v>
      </c>
      <c r="H169" t="str">
        <f t="shared" si="5"/>
        <v>119303,30</v>
      </c>
    </row>
    <row r="170" spans="2:8" ht="20.100000000000001" customHeight="1">
      <c r="B170" s="30">
        <v>15505002</v>
      </c>
      <c r="C170" s="31" t="s">
        <v>1730</v>
      </c>
      <c r="D170" s="31">
        <v>3</v>
      </c>
      <c r="E170" s="32" t="s">
        <v>29</v>
      </c>
      <c r="F170" s="32">
        <v>100803</v>
      </c>
      <c r="G170" s="1">
        <v>45</v>
      </c>
      <c r="H170" t="str">
        <f t="shared" si="5"/>
        <v>100803,45</v>
      </c>
    </row>
    <row r="171" spans="2:8" ht="20.100000000000001" customHeight="1">
      <c r="B171" s="30">
        <v>15505004</v>
      </c>
      <c r="C171" s="31" t="s">
        <v>1731</v>
      </c>
      <c r="D171" s="31">
        <v>3</v>
      </c>
      <c r="E171" s="32" t="s">
        <v>811</v>
      </c>
      <c r="F171" s="32">
        <v>119403</v>
      </c>
      <c r="G171" s="1">
        <v>30</v>
      </c>
      <c r="H171" t="str">
        <f t="shared" si="5"/>
        <v>119403,30</v>
      </c>
    </row>
    <row r="172" spans="2:8" ht="20.100000000000001" customHeight="1">
      <c r="B172" s="30">
        <v>15505006</v>
      </c>
      <c r="C172" s="31" t="s">
        <v>1732</v>
      </c>
      <c r="D172" s="31">
        <v>3</v>
      </c>
      <c r="E172" s="32" t="s">
        <v>765</v>
      </c>
      <c r="F172" s="32">
        <v>100203</v>
      </c>
      <c r="G172" s="1">
        <v>600</v>
      </c>
      <c r="H172" t="str">
        <f t="shared" si="5"/>
        <v>100203,600</v>
      </c>
    </row>
    <row r="173" spans="2:8" ht="20.100000000000001" customHeight="1">
      <c r="B173" s="30">
        <v>15506002</v>
      </c>
      <c r="C173" s="31" t="s">
        <v>1733</v>
      </c>
      <c r="D173" s="31">
        <v>3</v>
      </c>
      <c r="E173" s="32" t="s">
        <v>3</v>
      </c>
      <c r="F173" s="32">
        <v>100403</v>
      </c>
      <c r="G173" s="1">
        <v>45</v>
      </c>
      <c r="H173" t="str">
        <f t="shared" si="5"/>
        <v>100403,45</v>
      </c>
    </row>
    <row r="174" spans="2:8" ht="20.100000000000001" customHeight="1">
      <c r="B174" s="30">
        <v>15507002</v>
      </c>
      <c r="C174" s="31" t="s">
        <v>1734</v>
      </c>
      <c r="D174" s="31">
        <v>3</v>
      </c>
      <c r="E174" s="32" t="s">
        <v>3</v>
      </c>
      <c r="F174" s="32">
        <v>100403</v>
      </c>
      <c r="G174" s="1">
        <v>45</v>
      </c>
      <c r="H174" t="str">
        <f t="shared" si="5"/>
        <v>100403,45</v>
      </c>
    </row>
    <row r="175" spans="2:8" ht="20.100000000000001" customHeight="1">
      <c r="B175" s="30">
        <v>15508002</v>
      </c>
      <c r="C175" s="31" t="s">
        <v>1735</v>
      </c>
      <c r="D175" s="31">
        <v>3</v>
      </c>
      <c r="E175" s="32" t="s">
        <v>807</v>
      </c>
      <c r="F175" s="32">
        <v>119303</v>
      </c>
      <c r="G175" s="1">
        <v>30</v>
      </c>
      <c r="H175" t="str">
        <f t="shared" si="5"/>
        <v>119303,30</v>
      </c>
    </row>
    <row r="176" spans="2:8" ht="20.100000000000001" customHeight="1">
      <c r="B176" s="30">
        <v>15509002</v>
      </c>
      <c r="C176" s="31" t="s">
        <v>1736</v>
      </c>
      <c r="D176" s="31">
        <v>3</v>
      </c>
      <c r="E176" s="32" t="s">
        <v>765</v>
      </c>
      <c r="F176" s="32">
        <v>100203</v>
      </c>
      <c r="G176" s="1">
        <v>600</v>
      </c>
      <c r="H176" t="str">
        <f t="shared" si="5"/>
        <v>100203,600</v>
      </c>
    </row>
    <row r="177" spans="2:12" ht="20.100000000000001" customHeight="1">
      <c r="B177" s="30">
        <v>15510002</v>
      </c>
      <c r="C177" s="31" t="s">
        <v>1737</v>
      </c>
      <c r="D177" s="31">
        <v>3</v>
      </c>
      <c r="E177" s="32" t="s">
        <v>1595</v>
      </c>
      <c r="F177" s="32">
        <v>101003</v>
      </c>
      <c r="G177" s="1">
        <v>45</v>
      </c>
      <c r="H177" t="str">
        <f t="shared" si="5"/>
        <v>101003,45</v>
      </c>
    </row>
    <row r="178" spans="2:12" ht="20.100000000000001" customHeight="1">
      <c r="B178" s="30">
        <v>15510004</v>
      </c>
      <c r="C178" s="31" t="s">
        <v>1738</v>
      </c>
      <c r="D178" s="31">
        <v>3</v>
      </c>
      <c r="E178" s="32" t="s">
        <v>1595</v>
      </c>
      <c r="F178" s="32">
        <v>101003</v>
      </c>
      <c r="G178" s="1">
        <v>45</v>
      </c>
      <c r="H178" t="str">
        <f t="shared" si="5"/>
        <v>101003,45</v>
      </c>
    </row>
    <row r="179" spans="2:12" ht="20.100000000000001" customHeight="1">
      <c r="B179" s="30">
        <v>15510102</v>
      </c>
      <c r="C179" s="31" t="s">
        <v>1739</v>
      </c>
      <c r="D179" s="31">
        <v>3</v>
      </c>
      <c r="E179" s="32" t="s">
        <v>3</v>
      </c>
      <c r="F179" s="32">
        <v>100403</v>
      </c>
      <c r="G179" s="1">
        <v>45</v>
      </c>
      <c r="H179" t="str">
        <f t="shared" si="5"/>
        <v>100403,45</v>
      </c>
    </row>
    <row r="180" spans="2:12" ht="20.100000000000001" customHeight="1">
      <c r="B180" s="30">
        <v>15510104</v>
      </c>
      <c r="C180" s="31" t="s">
        <v>1740</v>
      </c>
      <c r="D180" s="31">
        <v>3</v>
      </c>
      <c r="E180" s="32" t="s">
        <v>3</v>
      </c>
      <c r="F180" s="32">
        <v>100403</v>
      </c>
      <c r="G180" s="1">
        <v>45</v>
      </c>
      <c r="H180" t="str">
        <f t="shared" si="5"/>
        <v>100403,45</v>
      </c>
    </row>
    <row r="181" spans="2:12" ht="20.100000000000001" customHeight="1">
      <c r="B181" s="30">
        <v>15511002</v>
      </c>
      <c r="C181" s="31" t="s">
        <v>1741</v>
      </c>
      <c r="D181" s="31">
        <v>3</v>
      </c>
      <c r="E181" s="32" t="s">
        <v>804</v>
      </c>
      <c r="F181" s="32">
        <v>119103</v>
      </c>
      <c r="G181" s="1">
        <v>30</v>
      </c>
      <c r="H181" t="str">
        <f t="shared" si="5"/>
        <v>119103,30</v>
      </c>
    </row>
    <row r="182" spans="2:12" ht="20.100000000000001" customHeight="1">
      <c r="B182" s="30">
        <v>15511004</v>
      </c>
      <c r="C182" s="31" t="s">
        <v>1742</v>
      </c>
      <c r="D182" s="31">
        <v>3</v>
      </c>
      <c r="E182" s="32" t="s">
        <v>811</v>
      </c>
      <c r="F182" s="32">
        <v>119403</v>
      </c>
      <c r="G182" s="1">
        <v>30</v>
      </c>
      <c r="H182" t="str">
        <f t="shared" si="5"/>
        <v>119403,30</v>
      </c>
    </row>
    <row r="183" spans="2:12" ht="20.100000000000001" customHeight="1">
      <c r="B183" s="30">
        <v>15511006</v>
      </c>
      <c r="C183" s="31" t="s">
        <v>1743</v>
      </c>
      <c r="D183" s="31">
        <v>3</v>
      </c>
      <c r="E183" s="32" t="s">
        <v>765</v>
      </c>
      <c r="F183" s="32">
        <v>100203</v>
      </c>
      <c r="G183" s="1">
        <v>600</v>
      </c>
      <c r="H183" t="str">
        <f t="shared" si="5"/>
        <v>100203,600</v>
      </c>
    </row>
    <row r="184" spans="2:12" ht="20.100000000000001" customHeight="1">
      <c r="B184" s="33">
        <v>10025010</v>
      </c>
      <c r="C184" s="30" t="s">
        <v>1744</v>
      </c>
      <c r="D184" s="30">
        <v>300</v>
      </c>
      <c r="E184" s="32" t="s">
        <v>814</v>
      </c>
      <c r="F184" s="32">
        <v>119203</v>
      </c>
      <c r="G184" s="1">
        <v>30</v>
      </c>
      <c r="H184" t="str">
        <f t="shared" si="5"/>
        <v>119203,30</v>
      </c>
    </row>
    <row r="185" spans="2:12" ht="20.100000000000001" customHeight="1">
      <c r="B185" s="33">
        <v>10025010</v>
      </c>
      <c r="C185" s="30" t="s">
        <v>1744</v>
      </c>
      <c r="D185" s="30">
        <v>500</v>
      </c>
      <c r="E185" s="32" t="s">
        <v>765</v>
      </c>
      <c r="F185" s="32">
        <v>100203</v>
      </c>
      <c r="G185" s="1">
        <v>600</v>
      </c>
      <c r="H185" t="str">
        <f t="shared" si="5"/>
        <v>100203,600</v>
      </c>
    </row>
    <row r="186" spans="2:12" ht="20.100000000000001" customHeight="1">
      <c r="B186" s="33">
        <v>10025010</v>
      </c>
      <c r="C186" s="30" t="s">
        <v>1744</v>
      </c>
      <c r="D186" s="30">
        <v>1000</v>
      </c>
      <c r="E186" s="32" t="s">
        <v>1595</v>
      </c>
      <c r="F186" s="32">
        <v>101003</v>
      </c>
      <c r="G186" s="1">
        <v>45</v>
      </c>
      <c r="H186" t="str">
        <f t="shared" si="5"/>
        <v>101003,45</v>
      </c>
    </row>
    <row r="187" spans="2:12" ht="20.100000000000001" customHeight="1">
      <c r="B187" s="33">
        <v>10025008</v>
      </c>
      <c r="C187" s="30" t="s">
        <v>1745</v>
      </c>
      <c r="D187" s="30">
        <v>5</v>
      </c>
      <c r="E187" s="32" t="s">
        <v>765</v>
      </c>
      <c r="F187" s="32">
        <v>100203</v>
      </c>
      <c r="G187" s="1">
        <v>600</v>
      </c>
      <c r="H187" t="str">
        <f t="shared" si="5"/>
        <v>100203,600</v>
      </c>
      <c r="J187" s="1"/>
      <c r="K187" s="32"/>
      <c r="L187" s="1"/>
    </row>
    <row r="188" spans="2:12" ht="20.100000000000001" customHeight="1">
      <c r="B188" s="33">
        <v>10025008</v>
      </c>
      <c r="C188" s="30" t="s">
        <v>1745</v>
      </c>
      <c r="D188" s="30">
        <v>10</v>
      </c>
      <c r="E188" s="32" t="s">
        <v>3</v>
      </c>
      <c r="F188" s="32">
        <v>100403</v>
      </c>
      <c r="G188" s="1">
        <v>45</v>
      </c>
      <c r="H188" t="str">
        <f t="shared" si="5"/>
        <v>100403,45</v>
      </c>
    </row>
    <row r="189" spans="2:12" ht="20.100000000000001" customHeight="1">
      <c r="B189" s="33">
        <v>10025008</v>
      </c>
      <c r="C189" s="30" t="s">
        <v>1745</v>
      </c>
      <c r="D189" s="30">
        <v>20</v>
      </c>
      <c r="E189" s="32" t="s">
        <v>776</v>
      </c>
      <c r="F189" s="32">
        <v>110101</v>
      </c>
      <c r="G189" s="1">
        <v>60</v>
      </c>
      <c r="H189" t="str">
        <f t="shared" si="5"/>
        <v>110101,60</v>
      </c>
    </row>
    <row r="190" spans="2:12" ht="20.100000000000001" customHeight="1">
      <c r="B190" s="33">
        <v>10025009</v>
      </c>
      <c r="C190" s="30" t="s">
        <v>1746</v>
      </c>
      <c r="D190" s="30">
        <v>3</v>
      </c>
      <c r="E190" s="32" t="s">
        <v>765</v>
      </c>
      <c r="F190" s="32">
        <v>100203</v>
      </c>
      <c r="G190" s="1">
        <v>600</v>
      </c>
      <c r="H190" t="str">
        <f t="shared" si="5"/>
        <v>100203,600</v>
      </c>
    </row>
    <row r="191" spans="2:12" ht="20.100000000000001" customHeight="1">
      <c r="B191" s="33">
        <v>10025009</v>
      </c>
      <c r="C191" s="30" t="s">
        <v>1746</v>
      </c>
      <c r="D191" s="30">
        <v>5</v>
      </c>
      <c r="E191" s="32" t="s">
        <v>804</v>
      </c>
      <c r="F191" s="32">
        <v>119103</v>
      </c>
      <c r="G191" s="1">
        <v>30</v>
      </c>
      <c r="H191" t="str">
        <f t="shared" si="5"/>
        <v>119103,30</v>
      </c>
    </row>
    <row r="192" spans="2:12" ht="20.100000000000001" customHeight="1">
      <c r="B192" s="33">
        <v>10025009</v>
      </c>
      <c r="C192" s="30" t="s">
        <v>1746</v>
      </c>
      <c r="D192" s="30">
        <v>10</v>
      </c>
      <c r="E192" s="32" t="s">
        <v>776</v>
      </c>
      <c r="F192" s="32">
        <v>110101</v>
      </c>
      <c r="G192" s="1">
        <v>60</v>
      </c>
      <c r="H192" t="str">
        <f t="shared" si="5"/>
        <v>110101,60</v>
      </c>
    </row>
  </sheetData>
  <phoneticPr fontId="35" type="noConversion"/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U50"/>
  <sheetViews>
    <sheetView topLeftCell="A7" workbookViewId="0">
      <selection activeCell="K31" sqref="K31"/>
    </sheetView>
  </sheetViews>
  <sheetFormatPr defaultColWidth="9" defaultRowHeight="14.25"/>
  <cols>
    <col min="3" max="3" width="14.875" customWidth="1"/>
    <col min="4" max="4" width="18.75" customWidth="1"/>
  </cols>
  <sheetData>
    <row r="1" spans="2:21" s="3" customFormat="1" ht="20.100000000000001" customHeight="1"/>
    <row r="2" spans="2:21" s="3" customFormat="1" ht="20.100000000000001" customHeight="1">
      <c r="B2" s="3" t="s">
        <v>1747</v>
      </c>
    </row>
    <row r="3" spans="2:21" s="3" customFormat="1" ht="20.100000000000001" customHeight="1">
      <c r="B3" s="3" t="s">
        <v>1748</v>
      </c>
    </row>
    <row r="4" spans="2:21" s="3" customFormat="1" ht="20.100000000000001" customHeight="1">
      <c r="B4" s="3" t="s">
        <v>1749</v>
      </c>
    </row>
    <row r="5" spans="2:21" s="3" customFormat="1" ht="20.100000000000001" customHeight="1">
      <c r="B5" s="3" t="s">
        <v>1750</v>
      </c>
    </row>
    <row r="6" spans="2:21" s="3" customFormat="1" ht="20.100000000000001" customHeight="1">
      <c r="B6" s="3" t="s">
        <v>1751</v>
      </c>
    </row>
    <row r="7" spans="2:21" s="3" customFormat="1" ht="20.100000000000001" customHeight="1">
      <c r="B7" s="3" t="s">
        <v>1752</v>
      </c>
    </row>
    <row r="8" spans="2:21" s="3" customFormat="1" ht="20.100000000000001" customHeight="1"/>
    <row r="9" spans="2:21" s="3" customFormat="1" ht="20.100000000000001" customHeight="1">
      <c r="F9" s="1" t="s">
        <v>1753</v>
      </c>
      <c r="G9" s="1"/>
    </row>
    <row r="10" spans="2:21" s="3" customFormat="1" ht="20.100000000000001" customHeight="1">
      <c r="C10" s="3" t="s">
        <v>1754</v>
      </c>
      <c r="E10" s="1" t="s">
        <v>1755</v>
      </c>
      <c r="F10" s="1"/>
      <c r="G10" s="1"/>
      <c r="H10" s="1" t="s">
        <v>1756</v>
      </c>
      <c r="I10" s="1" t="s">
        <v>1757</v>
      </c>
    </row>
    <row r="11" spans="2:21" s="3" customFormat="1" ht="20.100000000000001" customHeight="1">
      <c r="E11" s="1" t="s">
        <v>1758</v>
      </c>
      <c r="F11" s="1">
        <f>H11*100</f>
        <v>300</v>
      </c>
      <c r="G11" s="1">
        <f t="shared" ref="G11:G15" si="0">0.05*H11</f>
        <v>0.15000000000000002</v>
      </c>
      <c r="H11" s="1">
        <v>3</v>
      </c>
      <c r="I11" s="1" t="s">
        <v>1759</v>
      </c>
      <c r="J11" s="1">
        <v>10001</v>
      </c>
      <c r="K11" s="1" t="s">
        <v>1760</v>
      </c>
      <c r="L11" s="3" t="s">
        <v>1761</v>
      </c>
    </row>
    <row r="12" spans="2:21" s="3" customFormat="1" ht="20.100000000000001" customHeight="1">
      <c r="F12" s="1">
        <f t="shared" ref="F12:F23" si="1">H12*100</f>
        <v>200</v>
      </c>
      <c r="G12" s="1">
        <f t="shared" si="0"/>
        <v>0.1</v>
      </c>
      <c r="H12" s="1">
        <v>2</v>
      </c>
      <c r="I12" s="1" t="s">
        <v>1759</v>
      </c>
      <c r="J12" s="1">
        <v>10002</v>
      </c>
      <c r="K12" s="1" t="s">
        <v>1762</v>
      </c>
      <c r="L12" s="3" t="s">
        <v>1763</v>
      </c>
    </row>
    <row r="13" spans="2:21" s="3" customFormat="1" ht="20.100000000000001" customHeight="1">
      <c r="F13" s="1"/>
      <c r="G13" s="1"/>
      <c r="H13" s="1"/>
      <c r="I13" s="1" t="s">
        <v>1764</v>
      </c>
      <c r="J13" s="1">
        <v>10003</v>
      </c>
      <c r="K13" s="1" t="s">
        <v>1765</v>
      </c>
      <c r="L13" s="3" t="s">
        <v>1766</v>
      </c>
      <c r="U13" s="3" t="s">
        <v>1767</v>
      </c>
    </row>
    <row r="14" spans="2:21" s="3" customFormat="1" ht="20.100000000000001" customHeight="1">
      <c r="F14" s="1">
        <f t="shared" si="1"/>
        <v>100</v>
      </c>
      <c r="G14" s="1">
        <f t="shared" si="0"/>
        <v>0.05</v>
      </c>
      <c r="H14" s="1">
        <v>1</v>
      </c>
      <c r="I14" s="1" t="s">
        <v>1759</v>
      </c>
      <c r="J14" s="1">
        <v>10004</v>
      </c>
      <c r="K14" s="1" t="s">
        <v>1768</v>
      </c>
      <c r="L14" s="3" t="s">
        <v>1769</v>
      </c>
      <c r="U14" s="3" t="s">
        <v>1770</v>
      </c>
    </row>
    <row r="15" spans="2:21" s="3" customFormat="1" ht="20.100000000000001" customHeight="1">
      <c r="D15" s="3" t="s">
        <v>1759</v>
      </c>
      <c r="F15" s="1">
        <f t="shared" si="1"/>
        <v>100</v>
      </c>
      <c r="G15" s="1">
        <f t="shared" si="0"/>
        <v>0.05</v>
      </c>
      <c r="H15" s="1">
        <v>1</v>
      </c>
      <c r="I15" s="1" t="s">
        <v>1759</v>
      </c>
      <c r="J15" s="1">
        <v>10005</v>
      </c>
      <c r="K15" s="1" t="s">
        <v>1771</v>
      </c>
      <c r="L15" s="3" t="s">
        <v>1772</v>
      </c>
    </row>
    <row r="16" spans="2:21" s="3" customFormat="1" ht="20.100000000000001" customHeight="1">
      <c r="D16" s="3" t="s">
        <v>1773</v>
      </c>
      <c r="F16" s="1"/>
      <c r="G16" s="1"/>
      <c r="H16" s="1"/>
      <c r="I16" s="1" t="s">
        <v>1774</v>
      </c>
      <c r="J16" s="1">
        <v>10006</v>
      </c>
      <c r="K16" s="1" t="s">
        <v>1775</v>
      </c>
      <c r="L16" s="3" t="s">
        <v>1776</v>
      </c>
      <c r="U16" s="3" t="s">
        <v>1777</v>
      </c>
    </row>
    <row r="17" spans="3:21" s="3" customFormat="1" ht="20.100000000000001" customHeight="1">
      <c r="D17" s="3" t="s">
        <v>1778</v>
      </c>
      <c r="F17" s="1">
        <f t="shared" si="1"/>
        <v>100</v>
      </c>
      <c r="G17" s="1">
        <f t="shared" ref="G17:G23" si="2">0.05*H17</f>
        <v>0.05</v>
      </c>
      <c r="H17" s="1">
        <v>1</v>
      </c>
      <c r="I17" s="1" t="s">
        <v>1759</v>
      </c>
      <c r="J17" s="1">
        <v>10007</v>
      </c>
      <c r="K17" s="1" t="s">
        <v>1779</v>
      </c>
      <c r="L17" s="3" t="s">
        <v>1780</v>
      </c>
      <c r="U17" s="3" t="s">
        <v>1781</v>
      </c>
    </row>
    <row r="18" spans="3:21" s="3" customFormat="1" ht="20.100000000000001" customHeight="1">
      <c r="D18" s="3" t="s">
        <v>1782</v>
      </c>
      <c r="F18" s="1">
        <f t="shared" si="1"/>
        <v>75</v>
      </c>
      <c r="G18" s="1">
        <f t="shared" si="2"/>
        <v>3.7500000000000006E-2</v>
      </c>
      <c r="H18" s="1">
        <v>0.75</v>
      </c>
      <c r="I18" s="1" t="s">
        <v>1759</v>
      </c>
      <c r="J18" s="1">
        <v>10008</v>
      </c>
      <c r="K18" s="1" t="s">
        <v>1783</v>
      </c>
      <c r="L18" s="3" t="s">
        <v>1784</v>
      </c>
    </row>
    <row r="19" spans="3:21" s="3" customFormat="1" ht="20.100000000000001" customHeight="1">
      <c r="D19" s="3" t="s">
        <v>1785</v>
      </c>
      <c r="F19" s="1"/>
      <c r="G19" s="1"/>
      <c r="H19" s="1"/>
      <c r="I19" s="1" t="s">
        <v>1786</v>
      </c>
      <c r="J19" s="1">
        <v>10009</v>
      </c>
      <c r="K19" s="1" t="s">
        <v>1787</v>
      </c>
      <c r="L19" s="3" t="s">
        <v>1788</v>
      </c>
    </row>
    <row r="20" spans="3:21" s="3" customFormat="1" ht="20.100000000000001" customHeight="1">
      <c r="C20" s="1"/>
      <c r="D20" s="1"/>
      <c r="F20" s="1">
        <f t="shared" si="1"/>
        <v>50</v>
      </c>
      <c r="G20" s="1">
        <f t="shared" si="2"/>
        <v>2.5000000000000001E-2</v>
      </c>
      <c r="H20" s="1">
        <v>0.5</v>
      </c>
      <c r="I20" s="1" t="s">
        <v>1759</v>
      </c>
      <c r="J20" s="1">
        <v>10010</v>
      </c>
      <c r="K20" s="1" t="s">
        <v>1789</v>
      </c>
      <c r="L20" s="3" t="s">
        <v>1790</v>
      </c>
    </row>
    <row r="21" spans="3:21" s="3" customFormat="1" ht="20.100000000000001" customHeight="1">
      <c r="C21" s="1" t="s">
        <v>1791</v>
      </c>
      <c r="D21" s="1">
        <v>10</v>
      </c>
      <c r="F21" s="1">
        <f t="shared" si="1"/>
        <v>75</v>
      </c>
      <c r="G21" s="1">
        <f t="shared" si="2"/>
        <v>3.7500000000000006E-2</v>
      </c>
      <c r="H21" s="1">
        <v>0.75</v>
      </c>
      <c r="I21" s="1" t="s">
        <v>1759</v>
      </c>
      <c r="J21" s="1">
        <v>10011</v>
      </c>
      <c r="K21" s="1" t="s">
        <v>1792</v>
      </c>
      <c r="L21" s="3" t="s">
        <v>1793</v>
      </c>
    </row>
    <row r="22" spans="3:21" s="3" customFormat="1" ht="20.100000000000001" customHeight="1">
      <c r="C22" s="1" t="s">
        <v>1794</v>
      </c>
      <c r="D22" s="1" t="s">
        <v>1795</v>
      </c>
      <c r="F22" s="1">
        <f t="shared" si="1"/>
        <v>150</v>
      </c>
      <c r="G22" s="1">
        <f t="shared" si="2"/>
        <v>7.5000000000000011E-2</v>
      </c>
      <c r="H22" s="1">
        <v>1.5</v>
      </c>
      <c r="I22" s="1" t="s">
        <v>1759</v>
      </c>
      <c r="J22" s="1">
        <v>10012</v>
      </c>
      <c r="K22" s="1" t="s">
        <v>1796</v>
      </c>
      <c r="L22" s="3" t="s">
        <v>1797</v>
      </c>
    </row>
    <row r="23" spans="3:21" s="3" customFormat="1" ht="20.100000000000001" customHeight="1">
      <c r="C23" s="1" t="s">
        <v>1798</v>
      </c>
      <c r="F23" s="1">
        <f t="shared" si="1"/>
        <v>50</v>
      </c>
      <c r="G23" s="1">
        <f t="shared" si="2"/>
        <v>2.5000000000000001E-2</v>
      </c>
      <c r="H23" s="1">
        <v>0.5</v>
      </c>
      <c r="I23" s="1" t="s">
        <v>1759</v>
      </c>
      <c r="J23" s="1">
        <v>10013</v>
      </c>
      <c r="K23" s="1" t="s">
        <v>1799</v>
      </c>
      <c r="L23" s="3" t="s">
        <v>1770</v>
      </c>
    </row>
    <row r="24" spans="3:21" s="3" customFormat="1" ht="20.100000000000001" customHeight="1">
      <c r="C24" s="1" t="s">
        <v>1800</v>
      </c>
      <c r="D24" s="1"/>
      <c r="F24" s="1"/>
      <c r="G24" s="1"/>
      <c r="H24" s="1"/>
      <c r="I24" s="1" t="s">
        <v>1786</v>
      </c>
      <c r="J24" s="1">
        <v>10014</v>
      </c>
      <c r="K24" s="1" t="s">
        <v>1801</v>
      </c>
      <c r="L24" s="3" t="s">
        <v>1802</v>
      </c>
    </row>
    <row r="25" spans="3:21" s="3" customFormat="1" ht="20.100000000000001" customHeight="1">
      <c r="C25" s="1" t="s">
        <v>1803</v>
      </c>
      <c r="D25" s="1">
        <v>0.05</v>
      </c>
      <c r="F25" s="1"/>
      <c r="G25" s="1"/>
      <c r="H25" s="1"/>
      <c r="I25" s="1" t="s">
        <v>1764</v>
      </c>
      <c r="J25" s="1">
        <v>10015</v>
      </c>
      <c r="K25" s="1" t="s">
        <v>1804</v>
      </c>
      <c r="L25" s="3" t="s">
        <v>1767</v>
      </c>
    </row>
    <row r="26" spans="3:21" s="3" customFormat="1" ht="20.100000000000001" customHeight="1">
      <c r="C26" s="1">
        <v>1.5</v>
      </c>
      <c r="D26" s="1">
        <f>C26*D25</f>
        <v>7.5000000000000011E-2</v>
      </c>
    </row>
    <row r="27" spans="3:21" s="3" customFormat="1" ht="20.100000000000001" customHeight="1">
      <c r="C27" s="1"/>
      <c r="D27" s="1">
        <f>1/D26</f>
        <v>13.333333333333332</v>
      </c>
    </row>
    <row r="28" spans="3:21" s="3" customFormat="1" ht="20.100000000000001" customHeight="1">
      <c r="I28" s="1">
        <v>0.05</v>
      </c>
    </row>
    <row r="29" spans="3:21" s="3" customFormat="1" ht="20.100000000000001" customHeight="1">
      <c r="C29" s="1" t="s">
        <v>1805</v>
      </c>
      <c r="D29" s="1">
        <f>C26*1.5</f>
        <v>2.25</v>
      </c>
    </row>
    <row r="30" spans="3:21" s="3" customFormat="1" ht="20.100000000000001" customHeight="1">
      <c r="C30" s="1" t="s">
        <v>1806</v>
      </c>
      <c r="D30" s="1">
        <f>100/D29</f>
        <v>44.444444444444443</v>
      </c>
      <c r="G30" s="1">
        <v>0.15</v>
      </c>
      <c r="H30" s="1">
        <f>G30*10000</f>
        <v>1500</v>
      </c>
    </row>
    <row r="31" spans="3:21" ht="20.100000000000001" customHeight="1">
      <c r="C31" s="5"/>
      <c r="G31" s="1">
        <v>0.1</v>
      </c>
      <c r="H31" s="1">
        <f t="shared" ref="H31:H39" si="3">G31*10000</f>
        <v>1000</v>
      </c>
    </row>
    <row r="32" spans="3:21" ht="20.100000000000001" customHeight="1">
      <c r="C32" s="1" t="s">
        <v>1807</v>
      </c>
      <c r="D32" s="5"/>
      <c r="G32" s="1">
        <v>0.05</v>
      </c>
      <c r="H32" s="1">
        <f t="shared" si="3"/>
        <v>500</v>
      </c>
    </row>
    <row r="33" spans="3:8" ht="20.100000000000001" customHeight="1">
      <c r="C33" s="29"/>
      <c r="D33" s="1">
        <v>0.01</v>
      </c>
      <c r="G33" s="1">
        <v>0.05</v>
      </c>
      <c r="H33" s="1">
        <f t="shared" si="3"/>
        <v>500</v>
      </c>
    </row>
    <row r="34" spans="3:8" ht="20.100000000000001" customHeight="1">
      <c r="C34" s="1">
        <v>1</v>
      </c>
      <c r="D34" s="1">
        <v>0.02</v>
      </c>
      <c r="E34" s="1">
        <f>0.1+0.05</f>
        <v>0.15000000000000002</v>
      </c>
      <c r="F34" s="1">
        <f>1.5/E34</f>
        <v>9.9999999999999982</v>
      </c>
      <c r="G34" s="1">
        <v>0.05</v>
      </c>
      <c r="H34" s="1">
        <f t="shared" si="3"/>
        <v>500</v>
      </c>
    </row>
    <row r="35" spans="3:8" ht="20.100000000000001" customHeight="1">
      <c r="C35" s="1">
        <v>2</v>
      </c>
      <c r="D35" s="1">
        <v>0.05</v>
      </c>
      <c r="E35" s="1"/>
      <c r="G35" s="1">
        <v>3.7499999999999999E-2</v>
      </c>
      <c r="H35" s="1">
        <f t="shared" si="3"/>
        <v>375</v>
      </c>
    </row>
    <row r="36" spans="3:8" ht="20.100000000000001" customHeight="1">
      <c r="C36" s="1">
        <v>3</v>
      </c>
      <c r="D36" s="1">
        <v>0.1</v>
      </c>
      <c r="E36" s="1"/>
      <c r="G36" s="1">
        <v>2.5000000000000001E-2</v>
      </c>
      <c r="H36" s="1">
        <f t="shared" si="3"/>
        <v>250</v>
      </c>
    </row>
    <row r="37" spans="3:8" ht="20.100000000000001" customHeight="1">
      <c r="C37" s="5"/>
      <c r="D37" s="5"/>
      <c r="G37" s="1">
        <v>3.7499999999999999E-2</v>
      </c>
      <c r="H37" s="1">
        <f t="shared" si="3"/>
        <v>375</v>
      </c>
    </row>
    <row r="38" spans="3:8" ht="20.100000000000001" customHeight="1">
      <c r="C38" s="1" t="s">
        <v>1808</v>
      </c>
      <c r="D38" s="5"/>
      <c r="G38" s="1">
        <v>7.4999999999999997E-2</v>
      </c>
      <c r="H38" s="1">
        <f t="shared" si="3"/>
        <v>750</v>
      </c>
    </row>
    <row r="39" spans="3:8" ht="20.100000000000001" customHeight="1">
      <c r="C39" s="1" t="s">
        <v>1809</v>
      </c>
      <c r="D39" s="1">
        <v>1.5</v>
      </c>
      <c r="G39" s="1">
        <v>2.5000000000000001E-2</v>
      </c>
      <c r="H39" s="1">
        <f t="shared" si="3"/>
        <v>250</v>
      </c>
    </row>
    <row r="40" spans="3:8" ht="20.100000000000001" customHeight="1">
      <c r="C40" s="1" t="s">
        <v>1810</v>
      </c>
      <c r="D40" s="1">
        <v>0.25</v>
      </c>
    </row>
    <row r="41" spans="3:8" ht="20.100000000000001" customHeight="1">
      <c r="C41" s="1" t="s">
        <v>1811</v>
      </c>
      <c r="D41" s="1">
        <f>D39/D40</f>
        <v>6</v>
      </c>
    </row>
    <row r="42" spans="3:8" ht="20.100000000000001" customHeight="1">
      <c r="C42" s="5"/>
      <c r="D42" s="5"/>
    </row>
    <row r="43" spans="3:8" ht="20.100000000000001" customHeight="1">
      <c r="C43" s="1" t="s">
        <v>1807</v>
      </c>
      <c r="D43" s="5"/>
    </row>
    <row r="44" spans="3:8" ht="20.100000000000001" customHeight="1">
      <c r="C44" s="29"/>
      <c r="D44" s="1">
        <v>5.0000000000000001E-3</v>
      </c>
    </row>
    <row r="45" spans="3:8" ht="20.100000000000001" customHeight="1">
      <c r="C45" s="1">
        <v>1</v>
      </c>
      <c r="D45" s="1">
        <v>0.1</v>
      </c>
    </row>
    <row r="46" spans="3:8" ht="20.100000000000001" customHeight="1">
      <c r="C46" s="1">
        <v>2</v>
      </c>
      <c r="D46" s="1">
        <v>0.25</v>
      </c>
    </row>
    <row r="47" spans="3:8" ht="20.100000000000001" customHeight="1">
      <c r="C47" s="1">
        <v>3</v>
      </c>
      <c r="D47" s="1">
        <v>0.5</v>
      </c>
    </row>
    <row r="48" spans="3:8" ht="20.100000000000001" customHeight="1"/>
    <row r="49" ht="20.100000000000001" customHeight="1"/>
    <row r="5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60"/>
  <sheetViews>
    <sheetView workbookViewId="0">
      <selection activeCell="J15" sqref="J15"/>
    </sheetView>
  </sheetViews>
  <sheetFormatPr defaultColWidth="9" defaultRowHeight="14.25"/>
  <cols>
    <col min="1" max="2" width="9" style="1"/>
    <col min="3" max="3" width="10.375" style="1" customWidth="1"/>
    <col min="4" max="4" width="10.625" style="1" customWidth="1"/>
    <col min="5" max="5" width="13.125" style="1" customWidth="1"/>
    <col min="6" max="6" width="16.125" style="1" customWidth="1"/>
    <col min="7" max="7" width="11.125" style="1" customWidth="1"/>
    <col min="8" max="8" width="9" style="1"/>
    <col min="9" max="9" width="14.5" style="1" customWidth="1"/>
    <col min="10" max="10" width="8.5" customWidth="1"/>
  </cols>
  <sheetData>
    <row r="1" spans="2:16" ht="20.100000000000001" customHeight="1"/>
    <row r="2" spans="2:16" ht="20.100000000000001" customHeight="1"/>
    <row r="3" spans="2:16" ht="20.100000000000001" customHeight="1">
      <c r="C3" s="1" t="s">
        <v>1</v>
      </c>
    </row>
    <row r="4" spans="2:16" ht="20.100000000000001" customHeight="1">
      <c r="D4" s="1" t="s">
        <v>3</v>
      </c>
    </row>
    <row r="5" spans="2:16" ht="20.100000000000001" customHeight="1">
      <c r="D5" s="1" t="s">
        <v>28</v>
      </c>
    </row>
    <row r="6" spans="2:16" ht="20.100000000000001" customHeight="1">
      <c r="D6" s="1" t="s">
        <v>29</v>
      </c>
    </row>
    <row r="7" spans="2:16" ht="20.100000000000001" customHeight="1">
      <c r="D7" s="1" t="s">
        <v>765</v>
      </c>
    </row>
    <row r="8" spans="2:16" ht="20.100000000000001" customHeight="1"/>
    <row r="9" spans="2:16" ht="20.100000000000001" customHeight="1">
      <c r="D9" s="14"/>
      <c r="E9" s="14" t="s">
        <v>740</v>
      </c>
      <c r="F9" s="14"/>
      <c r="G9" s="26"/>
      <c r="H9" s="26"/>
      <c r="I9" s="26"/>
      <c r="J9" s="27"/>
    </row>
    <row r="10" spans="2:16" ht="20.100000000000001" customHeight="1">
      <c r="B10" s="1">
        <v>40</v>
      </c>
      <c r="C10" s="1">
        <v>100</v>
      </c>
      <c r="D10" s="14" t="s">
        <v>750</v>
      </c>
      <c r="E10" s="14" t="s">
        <v>2</v>
      </c>
      <c r="F10" s="14" t="s">
        <v>1812</v>
      </c>
      <c r="G10" s="27"/>
      <c r="I10" s="14" t="s">
        <v>1813</v>
      </c>
      <c r="N10" s="14" t="s">
        <v>1814</v>
      </c>
      <c r="O10" s="26"/>
      <c r="P10" s="14" t="s">
        <v>807</v>
      </c>
    </row>
    <row r="11" spans="2:16" ht="20.100000000000001" customHeight="1">
      <c r="B11" s="1">
        <v>6</v>
      </c>
      <c r="C11" s="1">
        <v>10</v>
      </c>
      <c r="D11" s="14" t="s">
        <v>747</v>
      </c>
      <c r="E11" s="14" t="s">
        <v>3</v>
      </c>
      <c r="F11" s="14" t="s">
        <v>1815</v>
      </c>
      <c r="I11" s="14" t="s">
        <v>1816</v>
      </c>
      <c r="N11" s="14" t="s">
        <v>1817</v>
      </c>
      <c r="O11" s="26"/>
      <c r="P11" s="14" t="s">
        <v>811</v>
      </c>
    </row>
    <row r="12" spans="2:16" ht="20.100000000000001" customHeight="1">
      <c r="B12" s="1" t="s">
        <v>1818</v>
      </c>
      <c r="C12" s="1" t="s">
        <v>1819</v>
      </c>
      <c r="D12" s="14" t="s">
        <v>742</v>
      </c>
      <c r="E12" s="14" t="s">
        <v>1820</v>
      </c>
      <c r="F12" s="14" t="s">
        <v>839</v>
      </c>
      <c r="G12" s="27"/>
      <c r="I12" s="14" t="s">
        <v>1821</v>
      </c>
      <c r="N12" s="14" t="s">
        <v>839</v>
      </c>
      <c r="O12" s="26"/>
      <c r="P12" s="14" t="s">
        <v>804</v>
      </c>
    </row>
    <row r="13" spans="2:16" ht="20.100000000000001" customHeight="1">
      <c r="B13" s="1" t="s">
        <v>1822</v>
      </c>
      <c r="C13" s="1" t="s">
        <v>1823</v>
      </c>
      <c r="D13" s="14" t="s">
        <v>744</v>
      </c>
      <c r="E13" s="14" t="s">
        <v>1824</v>
      </c>
      <c r="F13" s="14" t="s">
        <v>1825</v>
      </c>
      <c r="G13" s="27"/>
      <c r="N13" s="14" t="s">
        <v>1238</v>
      </c>
      <c r="O13" s="26"/>
      <c r="P13" s="14" t="s">
        <v>814</v>
      </c>
    </row>
    <row r="14" spans="2:16" ht="20.100000000000001" customHeight="1">
      <c r="B14" s="1" t="s">
        <v>1826</v>
      </c>
      <c r="C14" s="1" t="s">
        <v>1819</v>
      </c>
      <c r="D14" s="14" t="s">
        <v>748</v>
      </c>
      <c r="E14" s="14" t="s">
        <v>1827</v>
      </c>
      <c r="F14" s="1" t="s">
        <v>842</v>
      </c>
      <c r="G14" s="26"/>
      <c r="H14" s="26"/>
      <c r="I14" s="14" t="s">
        <v>1828</v>
      </c>
      <c r="J14" s="27"/>
    </row>
    <row r="15" spans="2:16" ht="20.100000000000001" customHeight="1"/>
    <row r="16" spans="2:16" ht="20.100000000000001" customHeight="1">
      <c r="D16" s="14"/>
      <c r="F16" s="14"/>
    </row>
    <row r="17" spans="3:15" ht="20.100000000000001" customHeight="1">
      <c r="D17" s="14"/>
      <c r="F17" s="14"/>
    </row>
    <row r="18" spans="3:15" ht="20.100000000000001" customHeight="1">
      <c r="D18" s="14"/>
      <c r="F18" s="14"/>
    </row>
    <row r="19" spans="3:15" ht="20.100000000000001" customHeight="1">
      <c r="D19" s="14"/>
      <c r="E19" s="14"/>
      <c r="F19" s="14"/>
    </row>
    <row r="20" spans="3:15" ht="20.100000000000001" customHeight="1"/>
    <row r="21" spans="3:15" ht="20.100000000000001" customHeight="1">
      <c r="O21" s="27"/>
    </row>
    <row r="22" spans="3:15" ht="20.100000000000001" customHeight="1">
      <c r="I22"/>
      <c r="O22" s="27"/>
    </row>
    <row r="23" spans="3:15" ht="20.100000000000001" customHeight="1">
      <c r="C23" s="1" t="s">
        <v>1829</v>
      </c>
      <c r="F23" s="1" t="s">
        <v>1830</v>
      </c>
      <c r="G23"/>
      <c r="H23"/>
      <c r="I23"/>
      <c r="K23" s="1" t="s">
        <v>1831</v>
      </c>
      <c r="L23" s="1" t="s">
        <v>1010</v>
      </c>
      <c r="O23" s="27"/>
    </row>
    <row r="24" spans="3:15" ht="20.100000000000001" customHeight="1">
      <c r="D24" s="1" t="s">
        <v>818</v>
      </c>
      <c r="G24"/>
      <c r="H24"/>
      <c r="I24"/>
      <c r="K24" s="1"/>
      <c r="L24" s="1" t="s">
        <v>997</v>
      </c>
      <c r="O24" s="27"/>
    </row>
    <row r="25" spans="3:15" ht="20.100000000000001" customHeight="1">
      <c r="D25" s="1" t="s">
        <v>1832</v>
      </c>
      <c r="G25"/>
      <c r="H25"/>
      <c r="I25"/>
      <c r="K25" s="1"/>
      <c r="L25" s="1" t="s">
        <v>1004</v>
      </c>
      <c r="O25" s="27"/>
    </row>
    <row r="26" spans="3:15" ht="20.100000000000001" customHeight="1">
      <c r="D26" s="1" t="s">
        <v>821</v>
      </c>
      <c r="G26"/>
      <c r="H26"/>
      <c r="I26"/>
      <c r="L26" s="1" t="s">
        <v>1833</v>
      </c>
      <c r="O26" s="27"/>
    </row>
    <row r="27" spans="3:15" ht="20.100000000000001" customHeight="1">
      <c r="D27" s="1" t="s">
        <v>822</v>
      </c>
      <c r="G27"/>
      <c r="H27"/>
      <c r="I27"/>
      <c r="L27" s="1" t="s">
        <v>1016</v>
      </c>
      <c r="M27" s="1" t="s">
        <v>1019</v>
      </c>
    </row>
    <row r="28" spans="3:15" ht="20.100000000000001" customHeight="1">
      <c r="D28" s="1" t="s">
        <v>839</v>
      </c>
      <c r="G28"/>
      <c r="H28"/>
      <c r="I28"/>
    </row>
    <row r="29" spans="3:15" ht="20.100000000000001" customHeight="1">
      <c r="D29" s="1" t="s">
        <v>1834</v>
      </c>
      <c r="G29"/>
      <c r="H29"/>
      <c r="I29"/>
    </row>
    <row r="30" spans="3:15" ht="20.100000000000001" customHeight="1">
      <c r="D30" s="1" t="s">
        <v>800</v>
      </c>
      <c r="G30"/>
      <c r="H30"/>
      <c r="I30"/>
    </row>
    <row r="31" spans="3:15" ht="20.100000000000001" customHeight="1">
      <c r="D31" s="1" t="s">
        <v>561</v>
      </c>
      <c r="G31"/>
      <c r="H31"/>
      <c r="I31"/>
    </row>
    <row r="32" spans="3:15" ht="20.100000000000001" customHeight="1">
      <c r="D32" s="1" t="s">
        <v>1835</v>
      </c>
      <c r="G32"/>
      <c r="H32"/>
      <c r="I32"/>
    </row>
    <row r="33" spans="4:10" ht="20.100000000000001" customHeight="1">
      <c r="D33" s="14"/>
      <c r="E33" s="14"/>
      <c r="F33" s="14"/>
      <c r="G33" s="27"/>
      <c r="H33" s="14"/>
      <c r="I33" s="26"/>
      <c r="J33" s="14"/>
    </row>
    <row r="34" spans="4:10" ht="20.100000000000001" customHeight="1">
      <c r="D34" s="14"/>
      <c r="E34" s="14"/>
      <c r="F34" s="14"/>
      <c r="G34" s="26"/>
      <c r="H34" s="26"/>
      <c r="I34" s="26"/>
      <c r="J34" s="27"/>
    </row>
    <row r="35" spans="4:10" ht="20.100000000000001" customHeight="1">
      <c r="F35"/>
      <c r="G35"/>
      <c r="H35"/>
      <c r="I35"/>
    </row>
    <row r="36" spans="4:10" ht="20.100000000000001" customHeight="1"/>
    <row r="37" spans="4:10" ht="20.100000000000001" customHeight="1"/>
    <row r="38" spans="4:10" ht="20.100000000000001" customHeight="1"/>
    <row r="39" spans="4:10" ht="20.100000000000001" customHeight="1"/>
    <row r="40" spans="4:10" ht="20.100000000000001" customHeight="1"/>
    <row r="41" spans="4:10" ht="20.100000000000001" customHeight="1"/>
    <row r="42" spans="4:10" ht="20.100000000000001" customHeight="1">
      <c r="D42" s="14"/>
    </row>
    <row r="43" spans="4:10" ht="20.100000000000001" customHeight="1"/>
    <row r="44" spans="4:10" ht="20.100000000000001" customHeight="1"/>
    <row r="45" spans="4:10" ht="20.100000000000001" customHeight="1"/>
    <row r="46" spans="4:10" ht="20.100000000000001" customHeight="1"/>
    <row r="47" spans="4:10" ht="20.100000000000001" customHeight="1"/>
    <row r="48" spans="4:1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X100"/>
  <sheetViews>
    <sheetView topLeftCell="A4" workbookViewId="0">
      <selection activeCell="X15" sqref="X15"/>
    </sheetView>
  </sheetViews>
  <sheetFormatPr defaultColWidth="9" defaultRowHeight="14.25"/>
  <cols>
    <col min="1" max="6" width="12.625" customWidth="1"/>
    <col min="7" max="8" width="18.625" customWidth="1"/>
    <col min="9" max="11" width="15.625" style="1" customWidth="1"/>
    <col min="13" max="13" width="11.375" customWidth="1"/>
    <col min="14" max="15" width="12.625" customWidth="1"/>
    <col min="16" max="16" width="13.125" customWidth="1"/>
    <col min="17" max="18" width="12.625" customWidth="1"/>
    <col min="19" max="19" width="11.375" customWidth="1"/>
    <col min="21" max="21" width="11.375" customWidth="1"/>
    <col min="22" max="22" width="30" customWidth="1"/>
    <col min="23" max="23" width="20.5" customWidth="1"/>
    <col min="24" max="24" width="13.25" customWidth="1"/>
    <col min="25" max="25" width="25.625" customWidth="1"/>
    <col min="27" max="27" width="11.375" customWidth="1"/>
    <col min="30" max="30" width="15.125" style="1" customWidth="1"/>
    <col min="31" max="31" width="54.5" style="7" customWidth="1"/>
    <col min="32" max="32" width="21.375" customWidth="1"/>
    <col min="35" max="35" width="11.375" customWidth="1"/>
    <col min="37" max="37" width="11.75" customWidth="1"/>
  </cols>
  <sheetData>
    <row r="1" spans="1:50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12</v>
      </c>
      <c r="G1" s="4" t="s">
        <v>1836</v>
      </c>
      <c r="H1" s="4" t="s">
        <v>1837</v>
      </c>
      <c r="I1" s="4" t="s">
        <v>1838</v>
      </c>
      <c r="J1" s="4" t="s">
        <v>1839</v>
      </c>
      <c r="K1" s="4" t="s">
        <v>1840</v>
      </c>
    </row>
    <row r="2" spans="1:50" ht="20.100000000000001" customHeight="1">
      <c r="A2" s="1">
        <v>1</v>
      </c>
      <c r="B2" s="1">
        <v>5.5</v>
      </c>
      <c r="C2" s="1">
        <v>5.5</v>
      </c>
      <c r="D2" s="1">
        <f>B2*总表!$D$4</f>
        <v>5775</v>
      </c>
      <c r="E2" s="1">
        <f>C2*总表!$E$4</f>
        <v>550</v>
      </c>
      <c r="F2" s="1">
        <f>C2*总表!$F$4</f>
        <v>165</v>
      </c>
      <c r="G2" s="1">
        <v>1</v>
      </c>
      <c r="H2" s="1">
        <v>0.5</v>
      </c>
      <c r="I2" s="1">
        <f t="shared" ref="I2:K2" si="0">ROUND(D2/$G2/$Q$2*$H2,0)</f>
        <v>222</v>
      </c>
      <c r="J2" s="1">
        <f t="shared" si="0"/>
        <v>21</v>
      </c>
      <c r="K2" s="1">
        <f t="shared" si="0"/>
        <v>6</v>
      </c>
      <c r="P2" s="4" t="s">
        <v>1841</v>
      </c>
      <c r="Q2" s="1">
        <v>13</v>
      </c>
      <c r="R2" s="1"/>
      <c r="T2" s="4" t="s">
        <v>1842</v>
      </c>
      <c r="U2" s="1" t="s">
        <v>1843</v>
      </c>
      <c r="AF2" s="5"/>
      <c r="AG2" s="5"/>
      <c r="AH2" s="5"/>
      <c r="AI2" s="5"/>
      <c r="AJ2" s="5"/>
      <c r="AK2" s="5"/>
    </row>
    <row r="3" spans="1:50" ht="20.100000000000001" customHeight="1">
      <c r="A3" s="1">
        <v>2</v>
      </c>
      <c r="B3" s="1">
        <v>6</v>
      </c>
      <c r="C3" s="1">
        <v>6</v>
      </c>
      <c r="D3" s="1">
        <f>B3*总表!$D$4</f>
        <v>6300</v>
      </c>
      <c r="E3" s="1">
        <f>C3*总表!$E$4</f>
        <v>600</v>
      </c>
      <c r="F3" s="1">
        <f>C3*总表!$F$4</f>
        <v>180</v>
      </c>
      <c r="G3" s="1">
        <v>1</v>
      </c>
      <c r="H3" s="1">
        <v>0.5</v>
      </c>
      <c r="I3" s="1">
        <f t="shared" ref="I3:I61" si="1">ROUND(D3/$G3/$Q$2*$H3,0)</f>
        <v>242</v>
      </c>
      <c r="J3" s="1">
        <f t="shared" ref="J3:J61" si="2">ROUND(E3/$G3/$Q$2*$H3,0)</f>
        <v>23</v>
      </c>
      <c r="K3" s="1">
        <f t="shared" ref="K3:K61" si="3">ROUND(F3/$G3/$Q$2*$H3,0)</f>
        <v>7</v>
      </c>
      <c r="P3" s="4" t="s">
        <v>1844</v>
      </c>
      <c r="Q3" s="1">
        <v>3</v>
      </c>
      <c r="R3" s="1"/>
      <c r="S3">
        <v>101</v>
      </c>
      <c r="T3" s="1" t="s">
        <v>1845</v>
      </c>
      <c r="U3" s="1" t="s">
        <v>1333</v>
      </c>
      <c r="V3" s="1" t="s">
        <v>1846</v>
      </c>
      <c r="AD3" s="1" t="s">
        <v>1847</v>
      </c>
      <c r="AE3" s="7" t="s">
        <v>1848</v>
      </c>
      <c r="AF3" s="1" t="s">
        <v>1849</v>
      </c>
      <c r="AG3" s="5"/>
      <c r="AH3" s="1" t="s">
        <v>1850</v>
      </c>
      <c r="AI3" s="1" t="s">
        <v>1851</v>
      </c>
      <c r="AJ3" s="1" t="s">
        <v>3</v>
      </c>
      <c r="AK3" s="5"/>
      <c r="AN3" t="s">
        <v>744</v>
      </c>
      <c r="AR3" s="14"/>
      <c r="AS3" s="14" t="s">
        <v>740</v>
      </c>
      <c r="AT3" s="14"/>
      <c r="AU3" s="26"/>
      <c r="AV3" s="26"/>
      <c r="AW3" s="26"/>
      <c r="AX3" s="27"/>
    </row>
    <row r="4" spans="1:50" ht="20.100000000000001" customHeight="1">
      <c r="A4" s="1">
        <v>3</v>
      </c>
      <c r="B4" s="1">
        <v>6.5</v>
      </c>
      <c r="C4" s="1">
        <v>6.5</v>
      </c>
      <c r="D4" s="1">
        <f>B4*总表!$D$4</f>
        <v>6825</v>
      </c>
      <c r="E4" s="1">
        <f>C4*总表!$E$4</f>
        <v>650</v>
      </c>
      <c r="F4" s="1">
        <f>C4*总表!$F$4</f>
        <v>195</v>
      </c>
      <c r="G4" s="1">
        <v>1</v>
      </c>
      <c r="H4" s="1">
        <v>0.5</v>
      </c>
      <c r="I4" s="1">
        <f t="shared" si="1"/>
        <v>263</v>
      </c>
      <c r="J4" s="1">
        <f t="shared" si="2"/>
        <v>25</v>
      </c>
      <c r="K4" s="1">
        <f t="shared" si="3"/>
        <v>8</v>
      </c>
      <c r="P4" s="4" t="s">
        <v>1852</v>
      </c>
      <c r="Q4" s="1">
        <f>Q3*总表!K7</f>
        <v>30</v>
      </c>
      <c r="R4" s="1"/>
      <c r="S4">
        <v>102</v>
      </c>
      <c r="T4" s="1" t="s">
        <v>1853</v>
      </c>
      <c r="U4" s="1" t="s">
        <v>1338</v>
      </c>
      <c r="V4" s="1" t="s">
        <v>1854</v>
      </c>
      <c r="X4" s="5"/>
      <c r="Z4" s="5"/>
      <c r="AD4" s="1" t="s">
        <v>1855</v>
      </c>
      <c r="AE4" s="7" t="s">
        <v>1856</v>
      </c>
      <c r="AF4" s="1" t="s">
        <v>1857</v>
      </c>
      <c r="AG4" s="5"/>
      <c r="AH4" s="1" t="s">
        <v>1858</v>
      </c>
      <c r="AI4" s="1" t="s">
        <v>1859</v>
      </c>
      <c r="AJ4" s="1" t="s">
        <v>12</v>
      </c>
      <c r="AK4" s="5"/>
      <c r="AN4" t="s">
        <v>742</v>
      </c>
      <c r="AR4" s="14" t="s">
        <v>750</v>
      </c>
      <c r="AS4" s="14" t="s">
        <v>2</v>
      </c>
      <c r="AT4" s="14" t="s">
        <v>1813</v>
      </c>
      <c r="AU4" s="27"/>
      <c r="AV4" s="14" t="s">
        <v>1814</v>
      </c>
      <c r="AW4" s="26"/>
      <c r="AX4" s="14" t="s">
        <v>807</v>
      </c>
    </row>
    <row r="5" spans="1:50" ht="20.100000000000001" customHeight="1">
      <c r="A5" s="1">
        <v>4</v>
      </c>
      <c r="B5" s="1">
        <v>7</v>
      </c>
      <c r="C5" s="1">
        <v>7</v>
      </c>
      <c r="D5" s="1">
        <f>B5*总表!$D$4</f>
        <v>7350</v>
      </c>
      <c r="E5" s="1">
        <f>C5*总表!$E$4</f>
        <v>700</v>
      </c>
      <c r="F5" s="1">
        <f>C5*总表!$F$4</f>
        <v>210</v>
      </c>
      <c r="G5" s="1">
        <v>1</v>
      </c>
      <c r="H5" s="1">
        <v>0.5</v>
      </c>
      <c r="I5" s="1">
        <f t="shared" si="1"/>
        <v>283</v>
      </c>
      <c r="J5" s="1">
        <f t="shared" si="2"/>
        <v>27</v>
      </c>
      <c r="K5" s="1">
        <f t="shared" si="3"/>
        <v>8</v>
      </c>
      <c r="S5">
        <v>103</v>
      </c>
      <c r="T5" s="1" t="s">
        <v>1860</v>
      </c>
      <c r="U5" s="1" t="s">
        <v>1342</v>
      </c>
      <c r="V5" s="1" t="s">
        <v>1861</v>
      </c>
      <c r="X5" s="5"/>
      <c r="Z5" s="5"/>
      <c r="AD5" s="1" t="s">
        <v>1862</v>
      </c>
      <c r="AE5" s="7" t="s">
        <v>1863</v>
      </c>
      <c r="AF5" s="1" t="s">
        <v>1864</v>
      </c>
      <c r="AG5" s="5"/>
      <c r="AH5" s="1" t="s">
        <v>1865</v>
      </c>
      <c r="AI5" s="1" t="s">
        <v>1866</v>
      </c>
      <c r="AJ5" s="1" t="s">
        <v>29</v>
      </c>
      <c r="AK5" s="5"/>
      <c r="AN5" t="s">
        <v>748</v>
      </c>
      <c r="AR5" s="14" t="s">
        <v>747</v>
      </c>
      <c r="AS5" s="14" t="s">
        <v>3</v>
      </c>
      <c r="AT5" s="14" t="s">
        <v>1821</v>
      </c>
      <c r="AU5" s="27"/>
      <c r="AV5" s="14" t="s">
        <v>1817</v>
      </c>
      <c r="AW5" s="26"/>
      <c r="AX5" s="14" t="s">
        <v>811</v>
      </c>
    </row>
    <row r="6" spans="1:50" ht="20.100000000000001" customHeight="1">
      <c r="A6" s="1">
        <v>5</v>
      </c>
      <c r="B6" s="1">
        <v>7.5</v>
      </c>
      <c r="C6" s="1">
        <v>7.5</v>
      </c>
      <c r="D6" s="1">
        <f>B6*总表!$D$4</f>
        <v>7875</v>
      </c>
      <c r="E6" s="1">
        <f>C6*总表!$E$4</f>
        <v>750</v>
      </c>
      <c r="F6" s="1">
        <f>C6*总表!$F$4</f>
        <v>225</v>
      </c>
      <c r="G6" s="1">
        <v>1</v>
      </c>
      <c r="H6" s="1">
        <v>0.5</v>
      </c>
      <c r="I6" s="1">
        <f t="shared" si="1"/>
        <v>303</v>
      </c>
      <c r="J6" s="1">
        <f t="shared" si="2"/>
        <v>29</v>
      </c>
      <c r="K6" s="1">
        <f t="shared" si="3"/>
        <v>9</v>
      </c>
      <c r="N6" s="1" t="s">
        <v>1867</v>
      </c>
      <c r="O6" s="4" t="s">
        <v>2</v>
      </c>
      <c r="P6" s="4" t="s">
        <v>3</v>
      </c>
      <c r="Q6" s="4" t="s">
        <v>12</v>
      </c>
      <c r="R6" s="4"/>
      <c r="S6">
        <v>104</v>
      </c>
      <c r="T6" s="1" t="s">
        <v>1868</v>
      </c>
      <c r="U6" s="1" t="s">
        <v>1347</v>
      </c>
      <c r="V6" s="1" t="s">
        <v>1869</v>
      </c>
      <c r="X6" s="5"/>
      <c r="Z6" s="5"/>
      <c r="AD6" s="1" t="s">
        <v>1870</v>
      </c>
      <c r="AE6" s="7" t="s">
        <v>1871</v>
      </c>
      <c r="AF6" s="5"/>
      <c r="AG6" s="5"/>
      <c r="AH6" s="1" t="s">
        <v>1872</v>
      </c>
      <c r="AI6" s="1" t="s">
        <v>1873</v>
      </c>
      <c r="AJ6" s="1" t="s">
        <v>2</v>
      </c>
      <c r="AK6" s="5"/>
      <c r="AN6" t="s">
        <v>1874</v>
      </c>
      <c r="AR6" s="14" t="s">
        <v>742</v>
      </c>
      <c r="AS6" s="14" t="s">
        <v>1820</v>
      </c>
      <c r="AT6" s="14" t="s">
        <v>1816</v>
      </c>
      <c r="AU6" s="27"/>
      <c r="AV6" s="14" t="s">
        <v>839</v>
      </c>
      <c r="AW6" s="26"/>
      <c r="AX6" s="14" t="s">
        <v>804</v>
      </c>
    </row>
    <row r="7" spans="1:50" ht="20.100000000000001" customHeight="1">
      <c r="A7" s="1">
        <v>6</v>
      </c>
      <c r="B7" s="1">
        <v>8</v>
      </c>
      <c r="C7" s="1">
        <v>8</v>
      </c>
      <c r="D7" s="1">
        <f>B7*总表!$D$4</f>
        <v>8400</v>
      </c>
      <c r="E7" s="1">
        <f>C7*总表!$E$4</f>
        <v>800</v>
      </c>
      <c r="F7" s="1">
        <f>C7*总表!$F$4</f>
        <v>240</v>
      </c>
      <c r="G7" s="1">
        <v>1</v>
      </c>
      <c r="H7" s="1">
        <v>0.5</v>
      </c>
      <c r="I7" s="1">
        <f t="shared" si="1"/>
        <v>323</v>
      </c>
      <c r="J7" s="1">
        <f t="shared" si="2"/>
        <v>31</v>
      </c>
      <c r="K7" s="1">
        <f t="shared" si="3"/>
        <v>9</v>
      </c>
      <c r="N7" s="1">
        <v>20</v>
      </c>
      <c r="O7" s="1">
        <f t="shared" ref="O7:Q10" si="4">LOOKUP($N7,$A$2:$A$61,I$2:I$61)</f>
        <v>303</v>
      </c>
      <c r="P7" s="1">
        <f t="shared" si="4"/>
        <v>29</v>
      </c>
      <c r="Q7" s="1">
        <f t="shared" si="4"/>
        <v>9</v>
      </c>
      <c r="R7" s="1"/>
      <c r="X7" s="5"/>
      <c r="Z7" s="5"/>
      <c r="AD7" s="1" t="s">
        <v>1875</v>
      </c>
      <c r="AE7" s="7" t="s">
        <v>1876</v>
      </c>
      <c r="AF7" s="5"/>
      <c r="AG7" s="5"/>
      <c r="AH7" s="5"/>
      <c r="AI7" s="1" t="s">
        <v>1877</v>
      </c>
      <c r="AJ7" s="1" t="s">
        <v>804</v>
      </c>
      <c r="AK7" s="5"/>
      <c r="AR7" s="14" t="s">
        <v>744</v>
      </c>
      <c r="AS7" s="28" t="s">
        <v>1824</v>
      </c>
      <c r="AT7" s="14"/>
      <c r="AU7" s="27"/>
      <c r="AV7" s="14" t="s">
        <v>1238</v>
      </c>
      <c r="AW7" s="26"/>
      <c r="AX7" s="14" t="s">
        <v>814</v>
      </c>
    </row>
    <row r="8" spans="1:50" ht="20.100000000000001" customHeight="1">
      <c r="A8" s="1">
        <v>7</v>
      </c>
      <c r="B8" s="1">
        <v>8.5</v>
      </c>
      <c r="C8" s="1">
        <v>8.5</v>
      </c>
      <c r="D8" s="1">
        <f>B8*总表!$D$4</f>
        <v>8925</v>
      </c>
      <c r="E8" s="1">
        <f>C8*总表!$E$4</f>
        <v>850</v>
      </c>
      <c r="F8" s="1">
        <f>C8*总表!$F$4</f>
        <v>255</v>
      </c>
      <c r="G8" s="1">
        <v>1</v>
      </c>
      <c r="H8" s="1">
        <v>0.5</v>
      </c>
      <c r="I8" s="1">
        <f t="shared" si="1"/>
        <v>343</v>
      </c>
      <c r="J8" s="1">
        <f t="shared" si="2"/>
        <v>33</v>
      </c>
      <c r="K8" s="1">
        <f t="shared" si="3"/>
        <v>10</v>
      </c>
      <c r="N8" s="1">
        <v>30</v>
      </c>
      <c r="O8" s="1">
        <f t="shared" si="4"/>
        <v>404</v>
      </c>
      <c r="P8" s="1">
        <f t="shared" si="4"/>
        <v>38</v>
      </c>
      <c r="Q8" s="1">
        <f t="shared" si="4"/>
        <v>12</v>
      </c>
      <c r="R8" s="1"/>
      <c r="S8" s="5"/>
      <c r="T8" s="1" t="s">
        <v>1878</v>
      </c>
      <c r="U8" s="4" t="s">
        <v>1879</v>
      </c>
      <c r="V8" s="5"/>
      <c r="W8" s="24"/>
      <c r="X8" s="1" t="s">
        <v>1880</v>
      </c>
      <c r="Y8" s="1" t="s">
        <v>1881</v>
      </c>
      <c r="Z8" s="5"/>
      <c r="AD8" s="1" t="s">
        <v>1882</v>
      </c>
      <c r="AE8" s="7" t="s">
        <v>1883</v>
      </c>
      <c r="AF8" s="5"/>
      <c r="AG8" s="5"/>
      <c r="AH8" s="5"/>
      <c r="AI8" s="1" t="s">
        <v>1884</v>
      </c>
      <c r="AJ8" s="1" t="s">
        <v>807</v>
      </c>
      <c r="AK8" s="5"/>
      <c r="AR8" s="14" t="s">
        <v>748</v>
      </c>
      <c r="AS8" s="14" t="s">
        <v>1827</v>
      </c>
      <c r="AT8" s="14" t="s">
        <v>1828</v>
      </c>
      <c r="AU8" s="26"/>
      <c r="AV8" s="26"/>
      <c r="AW8" s="26"/>
      <c r="AX8" s="27"/>
    </row>
    <row r="9" spans="1:50" ht="20.100000000000001" customHeight="1">
      <c r="A9" s="1">
        <v>8</v>
      </c>
      <c r="B9" s="1">
        <v>9</v>
      </c>
      <c r="C9" s="1">
        <v>9</v>
      </c>
      <c r="D9" s="1">
        <f>B9*总表!$D$4</f>
        <v>9450</v>
      </c>
      <c r="E9" s="1">
        <f>C9*总表!$E$4</f>
        <v>900</v>
      </c>
      <c r="F9" s="1">
        <f>C9*总表!$F$4</f>
        <v>270</v>
      </c>
      <c r="G9" s="1">
        <v>1</v>
      </c>
      <c r="H9" s="1">
        <v>0.5</v>
      </c>
      <c r="I9" s="1">
        <f t="shared" si="1"/>
        <v>363</v>
      </c>
      <c r="J9" s="1">
        <f t="shared" si="2"/>
        <v>35</v>
      </c>
      <c r="K9" s="1">
        <f t="shared" si="3"/>
        <v>10</v>
      </c>
      <c r="N9" s="1">
        <v>40</v>
      </c>
      <c r="O9" s="1">
        <f t="shared" si="4"/>
        <v>505</v>
      </c>
      <c r="P9" s="1">
        <f t="shared" si="4"/>
        <v>48</v>
      </c>
      <c r="Q9" s="1">
        <f t="shared" si="4"/>
        <v>14</v>
      </c>
      <c r="R9" s="1">
        <v>102</v>
      </c>
      <c r="S9" s="1" t="s">
        <v>1333</v>
      </c>
      <c r="T9" s="1" t="s">
        <v>1853</v>
      </c>
      <c r="U9" s="1" t="s">
        <v>1885</v>
      </c>
      <c r="V9" s="7" t="s">
        <v>1886</v>
      </c>
      <c r="X9" s="1" t="s">
        <v>1887</v>
      </c>
      <c r="Y9" s="1">
        <v>1</v>
      </c>
      <c r="Z9" s="1">
        <f>Y9*50000</f>
        <v>50000</v>
      </c>
      <c r="AD9" s="1" t="s">
        <v>1888</v>
      </c>
      <c r="AE9" s="7" t="s">
        <v>1889</v>
      </c>
      <c r="AF9" s="5"/>
      <c r="AG9" s="5"/>
      <c r="AH9" s="5"/>
      <c r="AI9" s="1" t="s">
        <v>1890</v>
      </c>
      <c r="AJ9" s="1" t="s">
        <v>811</v>
      </c>
      <c r="AK9" s="5"/>
    </row>
    <row r="10" spans="1:50" ht="20.100000000000001" customHeight="1">
      <c r="A10" s="1">
        <v>9</v>
      </c>
      <c r="B10" s="1">
        <v>9.5</v>
      </c>
      <c r="C10" s="1">
        <v>9.5</v>
      </c>
      <c r="D10" s="1">
        <f>B10*总表!$D$4</f>
        <v>9975</v>
      </c>
      <c r="E10" s="1">
        <f>C10*总表!$E$4</f>
        <v>950</v>
      </c>
      <c r="F10" s="1">
        <f>C10*总表!$F$4</f>
        <v>285</v>
      </c>
      <c r="G10" s="1">
        <v>1</v>
      </c>
      <c r="H10" s="1">
        <v>0.5</v>
      </c>
      <c r="I10" s="1">
        <f t="shared" si="1"/>
        <v>384</v>
      </c>
      <c r="J10" s="1">
        <f t="shared" si="2"/>
        <v>37</v>
      </c>
      <c r="K10" s="1">
        <f t="shared" si="3"/>
        <v>11</v>
      </c>
      <c r="N10" s="1">
        <v>50</v>
      </c>
      <c r="O10" s="1">
        <f t="shared" si="4"/>
        <v>606</v>
      </c>
      <c r="P10" s="1">
        <f t="shared" si="4"/>
        <v>58</v>
      </c>
      <c r="Q10" s="1">
        <f t="shared" si="4"/>
        <v>17</v>
      </c>
      <c r="R10" s="1">
        <v>101</v>
      </c>
      <c r="S10" s="5"/>
      <c r="T10" s="1" t="s">
        <v>1845</v>
      </c>
      <c r="U10" s="1" t="s">
        <v>1846</v>
      </c>
      <c r="V10" s="7" t="s">
        <v>1891</v>
      </c>
      <c r="X10" s="1" t="s">
        <v>1892</v>
      </c>
      <c r="Y10" s="1">
        <v>2</v>
      </c>
      <c r="Z10" s="1">
        <f t="shared" ref="Z10:Z18" si="5">Y10*50000</f>
        <v>100000</v>
      </c>
      <c r="AD10" s="1" t="s">
        <v>1893</v>
      </c>
      <c r="AE10" s="7" t="s">
        <v>1894</v>
      </c>
      <c r="AF10" s="5"/>
      <c r="AG10" s="5"/>
      <c r="AH10" s="5"/>
      <c r="AI10" s="1" t="s">
        <v>1895</v>
      </c>
      <c r="AJ10" s="1" t="s">
        <v>814</v>
      </c>
      <c r="AK10" s="5"/>
    </row>
    <row r="11" spans="1:50" ht="20.100000000000001" customHeight="1">
      <c r="A11" s="1">
        <v>10</v>
      </c>
      <c r="B11" s="1">
        <v>10</v>
      </c>
      <c r="C11" s="1">
        <v>10</v>
      </c>
      <c r="D11" s="1">
        <f>B11*总表!$D$4</f>
        <v>10500</v>
      </c>
      <c r="E11" s="1">
        <f>C11*总表!$E$4</f>
        <v>1000</v>
      </c>
      <c r="F11" s="1">
        <f>C11*总表!$F$4</f>
        <v>300</v>
      </c>
      <c r="G11" s="1">
        <v>1</v>
      </c>
      <c r="H11" s="1">
        <v>0.5</v>
      </c>
      <c r="I11" s="1">
        <f t="shared" si="1"/>
        <v>404</v>
      </c>
      <c r="J11" s="1">
        <f t="shared" si="2"/>
        <v>38</v>
      </c>
      <c r="K11" s="1">
        <f t="shared" si="3"/>
        <v>12</v>
      </c>
      <c r="R11" s="13">
        <v>104</v>
      </c>
      <c r="T11" s="1" t="s">
        <v>1868</v>
      </c>
      <c r="U11" s="1" t="s">
        <v>1896</v>
      </c>
      <c r="V11" s="3" t="s">
        <v>1897</v>
      </c>
      <c r="X11" s="1" t="s">
        <v>1898</v>
      </c>
      <c r="Y11" s="1">
        <f>Y10*2</f>
        <v>4</v>
      </c>
      <c r="Z11" s="1">
        <f t="shared" si="5"/>
        <v>200000</v>
      </c>
      <c r="AD11" s="1" t="s">
        <v>1899</v>
      </c>
      <c r="AE11" s="7" t="s">
        <v>1900</v>
      </c>
      <c r="AF11" s="5"/>
      <c r="AG11" s="5"/>
      <c r="AH11" s="5"/>
      <c r="AI11" s="1"/>
      <c r="AJ11" s="7"/>
      <c r="AK11" s="5"/>
    </row>
    <row r="12" spans="1:50" ht="20.100000000000001" customHeight="1">
      <c r="A12" s="1">
        <v>11</v>
      </c>
      <c r="B12" s="1">
        <v>10.5</v>
      </c>
      <c r="C12" s="1">
        <v>10.5</v>
      </c>
      <c r="D12" s="1">
        <f>B12*总表!$D$4</f>
        <v>11025</v>
      </c>
      <c r="E12" s="1">
        <f>C12*总表!$E$4</f>
        <v>1050</v>
      </c>
      <c r="F12" s="1">
        <f>C12*总表!$F$4</f>
        <v>315</v>
      </c>
      <c r="G12" s="1">
        <v>1</v>
      </c>
      <c r="H12" s="1">
        <v>0.5</v>
      </c>
      <c r="I12" s="1">
        <f t="shared" si="1"/>
        <v>424</v>
      </c>
      <c r="J12" s="1">
        <f t="shared" si="2"/>
        <v>40</v>
      </c>
      <c r="K12" s="1">
        <f t="shared" si="3"/>
        <v>12</v>
      </c>
      <c r="R12" s="1">
        <v>103</v>
      </c>
      <c r="T12" s="1" t="s">
        <v>1860</v>
      </c>
      <c r="U12" s="1" t="s">
        <v>1901</v>
      </c>
      <c r="V12" s="3" t="s">
        <v>1902</v>
      </c>
      <c r="X12" s="1" t="s">
        <v>1903</v>
      </c>
      <c r="Y12" s="1">
        <f t="shared" ref="Y12:Y18" si="6">Y11*2</f>
        <v>8</v>
      </c>
      <c r="Z12" s="1">
        <f t="shared" si="5"/>
        <v>400000</v>
      </c>
      <c r="AD12" s="1" t="s">
        <v>1904</v>
      </c>
      <c r="AE12" s="7" t="s">
        <v>1905</v>
      </c>
      <c r="AI12" s="1"/>
      <c r="AJ12" s="7"/>
    </row>
    <row r="13" spans="1:50" ht="20.100000000000001" customHeight="1">
      <c r="A13" s="1">
        <v>12</v>
      </c>
      <c r="B13" s="1">
        <v>11</v>
      </c>
      <c r="C13" s="1">
        <v>11</v>
      </c>
      <c r="D13" s="1">
        <f>B13*总表!$D$4</f>
        <v>11550</v>
      </c>
      <c r="E13" s="1">
        <f>C13*总表!$E$4</f>
        <v>1100</v>
      </c>
      <c r="F13" s="1">
        <f>C13*总表!$F$4</f>
        <v>330</v>
      </c>
      <c r="G13" s="1">
        <v>1</v>
      </c>
      <c r="H13" s="1">
        <v>0.5</v>
      </c>
      <c r="I13" s="1">
        <f t="shared" si="1"/>
        <v>444</v>
      </c>
      <c r="J13" s="1">
        <f t="shared" si="2"/>
        <v>42</v>
      </c>
      <c r="K13" s="1">
        <f t="shared" si="3"/>
        <v>13</v>
      </c>
      <c r="N13" s="4" t="s">
        <v>1906</v>
      </c>
      <c r="R13" s="1">
        <v>102</v>
      </c>
      <c r="T13" s="1" t="s">
        <v>1853</v>
      </c>
      <c r="U13" s="1" t="s">
        <v>1907</v>
      </c>
      <c r="V13" s="3" t="s">
        <v>1908</v>
      </c>
      <c r="X13" s="1" t="s">
        <v>1909</v>
      </c>
      <c r="Y13" s="1">
        <f t="shared" si="6"/>
        <v>16</v>
      </c>
      <c r="Z13" s="1">
        <f t="shared" si="5"/>
        <v>800000</v>
      </c>
      <c r="AD13" s="1" t="s">
        <v>1910</v>
      </c>
      <c r="AE13" s="7" t="s">
        <v>1911</v>
      </c>
      <c r="AF13" s="3"/>
      <c r="AG13" s="3"/>
      <c r="AH13" s="3"/>
      <c r="AI13" s="1"/>
      <c r="AJ13" s="7"/>
      <c r="AK13" s="5"/>
    </row>
    <row r="14" spans="1:50" ht="20.100000000000001" customHeight="1">
      <c r="A14" s="1">
        <v>13</v>
      </c>
      <c r="B14" s="1">
        <v>11.5</v>
      </c>
      <c r="C14" s="1">
        <v>11.5</v>
      </c>
      <c r="D14" s="1">
        <f>B14*总表!$D$4</f>
        <v>12075</v>
      </c>
      <c r="E14" s="1">
        <f>C14*总表!$E$4</f>
        <v>1150</v>
      </c>
      <c r="F14" s="1">
        <f>C14*总表!$F$4</f>
        <v>345</v>
      </c>
      <c r="G14" s="1">
        <v>1</v>
      </c>
      <c r="H14" s="1">
        <v>0.5</v>
      </c>
      <c r="I14" s="1">
        <f t="shared" si="1"/>
        <v>464</v>
      </c>
      <c r="J14" s="1">
        <f t="shared" si="2"/>
        <v>44</v>
      </c>
      <c r="K14" s="1">
        <f t="shared" si="3"/>
        <v>13</v>
      </c>
      <c r="N14" s="1" t="s">
        <v>1867</v>
      </c>
      <c r="O14" s="4" t="s">
        <v>2</v>
      </c>
      <c r="P14" s="4" t="s">
        <v>3</v>
      </c>
      <c r="Q14" s="4" t="s">
        <v>12</v>
      </c>
      <c r="R14" s="4">
        <v>104</v>
      </c>
      <c r="T14" s="1" t="s">
        <v>1868</v>
      </c>
      <c r="U14" s="1" t="s">
        <v>1912</v>
      </c>
      <c r="V14" s="3" t="s">
        <v>1913</v>
      </c>
      <c r="X14" s="1" t="s">
        <v>1914</v>
      </c>
      <c r="Y14" s="1">
        <f t="shared" si="6"/>
        <v>32</v>
      </c>
      <c r="Z14" s="1">
        <f t="shared" si="5"/>
        <v>1600000</v>
      </c>
      <c r="AD14" s="1" t="s">
        <v>1915</v>
      </c>
      <c r="AE14" s="7" t="s">
        <v>1916</v>
      </c>
      <c r="AF14" s="1" t="s">
        <v>1917</v>
      </c>
      <c r="AG14" s="4" t="s">
        <v>15</v>
      </c>
      <c r="AH14" s="1" t="s">
        <v>1918</v>
      </c>
      <c r="AI14" s="5"/>
      <c r="AJ14" s="1" t="s">
        <v>1919</v>
      </c>
      <c r="AK14" s="5"/>
      <c r="AN14" s="1" t="s">
        <v>3</v>
      </c>
      <c r="AO14" s="22"/>
    </row>
    <row r="15" spans="1:50" ht="20.100000000000001" customHeight="1">
      <c r="A15" s="1">
        <v>14</v>
      </c>
      <c r="B15" s="1">
        <v>12</v>
      </c>
      <c r="C15" s="1">
        <v>12</v>
      </c>
      <c r="D15" s="1">
        <f>B15*总表!$D$4</f>
        <v>12600</v>
      </c>
      <c r="E15" s="1">
        <f>C15*总表!$E$4</f>
        <v>1200</v>
      </c>
      <c r="F15" s="1">
        <f>C15*总表!$F$4</f>
        <v>360</v>
      </c>
      <c r="G15" s="1">
        <v>1</v>
      </c>
      <c r="H15" s="1">
        <v>0.5</v>
      </c>
      <c r="I15" s="1">
        <f t="shared" si="1"/>
        <v>485</v>
      </c>
      <c r="J15" s="1">
        <f t="shared" si="2"/>
        <v>46</v>
      </c>
      <c r="K15" s="1">
        <f t="shared" si="3"/>
        <v>14</v>
      </c>
      <c r="N15" s="1">
        <v>20</v>
      </c>
      <c r="O15" s="1">
        <f t="shared" ref="O15:P18" si="7">ROUND(O7,-1)</f>
        <v>300</v>
      </c>
      <c r="P15" s="1">
        <f t="shared" si="7"/>
        <v>30</v>
      </c>
      <c r="Q15" s="1">
        <f>ROUND(Q7,0)</f>
        <v>9</v>
      </c>
      <c r="R15" s="1">
        <v>101</v>
      </c>
      <c r="T15" s="1" t="s">
        <v>1845</v>
      </c>
      <c r="U15" s="1" t="s">
        <v>1920</v>
      </c>
      <c r="V15" s="3" t="s">
        <v>1921</v>
      </c>
      <c r="X15" s="1" t="s">
        <v>1922</v>
      </c>
      <c r="Y15" s="1">
        <f t="shared" si="6"/>
        <v>64</v>
      </c>
      <c r="Z15" s="1">
        <f t="shared" si="5"/>
        <v>3200000</v>
      </c>
      <c r="AD15" s="1" t="s">
        <v>1923</v>
      </c>
      <c r="AE15" s="7" t="s">
        <v>1924</v>
      </c>
      <c r="AF15" s="5"/>
      <c r="AG15" s="4">
        <v>0</v>
      </c>
      <c r="AH15" s="1">
        <v>0.5</v>
      </c>
      <c r="AI15" s="1">
        <v>0.75</v>
      </c>
      <c r="AJ15" s="1">
        <v>0</v>
      </c>
      <c r="AK15" s="5"/>
      <c r="AN15" s="1" t="s">
        <v>3</v>
      </c>
      <c r="AO15" s="1" t="s">
        <v>12</v>
      </c>
    </row>
    <row r="16" spans="1:50" ht="20.100000000000001" customHeight="1">
      <c r="A16" s="1">
        <v>15</v>
      </c>
      <c r="B16" s="1">
        <v>12.5</v>
      </c>
      <c r="C16" s="1">
        <v>12.5</v>
      </c>
      <c r="D16" s="1">
        <f>B16*总表!$D$4</f>
        <v>13125</v>
      </c>
      <c r="E16" s="1">
        <f>C16*总表!$E$4</f>
        <v>1250</v>
      </c>
      <c r="F16" s="1">
        <f>C16*总表!$F$4</f>
        <v>375</v>
      </c>
      <c r="G16" s="1">
        <v>1</v>
      </c>
      <c r="H16" s="1">
        <v>0.5</v>
      </c>
      <c r="I16" s="1">
        <f t="shared" si="1"/>
        <v>505</v>
      </c>
      <c r="J16" s="1">
        <f t="shared" si="2"/>
        <v>48</v>
      </c>
      <c r="K16" s="1">
        <f t="shared" si="3"/>
        <v>14</v>
      </c>
      <c r="N16" s="1">
        <v>30</v>
      </c>
      <c r="O16" s="1">
        <f t="shared" si="7"/>
        <v>400</v>
      </c>
      <c r="P16" s="1">
        <f t="shared" si="7"/>
        <v>40</v>
      </c>
      <c r="Q16" s="1">
        <f t="shared" ref="Q16:Q18" si="8">ROUND(Q8,0)</f>
        <v>12</v>
      </c>
      <c r="R16" s="1">
        <v>103</v>
      </c>
      <c r="T16" s="1" t="s">
        <v>1860</v>
      </c>
      <c r="U16" s="1" t="s">
        <v>1925</v>
      </c>
      <c r="V16" s="3" t="s">
        <v>1926</v>
      </c>
      <c r="X16" s="1" t="s">
        <v>1927</v>
      </c>
      <c r="Y16" s="1">
        <f t="shared" si="6"/>
        <v>128</v>
      </c>
      <c r="Z16" s="1">
        <f t="shared" si="5"/>
        <v>6400000</v>
      </c>
      <c r="AD16" s="1" t="s">
        <v>1928</v>
      </c>
      <c r="AE16" s="7" t="s">
        <v>1929</v>
      </c>
      <c r="AF16" s="5"/>
      <c r="AG16" s="4">
        <v>1</v>
      </c>
      <c r="AH16" s="1">
        <v>0.2</v>
      </c>
      <c r="AI16" s="1">
        <v>0.1</v>
      </c>
      <c r="AJ16" s="1">
        <v>1</v>
      </c>
      <c r="AK16" s="5"/>
      <c r="AN16" s="1" t="s">
        <v>3</v>
      </c>
      <c r="AO16" s="1" t="s">
        <v>29</v>
      </c>
    </row>
    <row r="17" spans="1:41" ht="20.100000000000001" customHeight="1">
      <c r="A17" s="1">
        <v>16</v>
      </c>
      <c r="B17" s="1">
        <v>13</v>
      </c>
      <c r="C17" s="1">
        <v>13</v>
      </c>
      <c r="D17" s="1">
        <f>B17*总表!$D$4</f>
        <v>13650</v>
      </c>
      <c r="E17" s="1">
        <f>C17*总表!$E$4</f>
        <v>1300</v>
      </c>
      <c r="F17" s="1">
        <f>C17*总表!$F$4</f>
        <v>390</v>
      </c>
      <c r="G17" s="1">
        <v>1</v>
      </c>
      <c r="H17" s="1">
        <v>0.5</v>
      </c>
      <c r="I17" s="1">
        <f t="shared" si="1"/>
        <v>525</v>
      </c>
      <c r="J17" s="1">
        <f t="shared" si="2"/>
        <v>50</v>
      </c>
      <c r="K17" s="1">
        <f t="shared" si="3"/>
        <v>15</v>
      </c>
      <c r="N17" s="1">
        <v>40</v>
      </c>
      <c r="O17" s="1">
        <f t="shared" si="7"/>
        <v>510</v>
      </c>
      <c r="P17" s="1">
        <f t="shared" si="7"/>
        <v>50</v>
      </c>
      <c r="Q17" s="1">
        <f t="shared" si="8"/>
        <v>14</v>
      </c>
      <c r="R17" s="1">
        <v>102</v>
      </c>
      <c r="T17" s="1" t="s">
        <v>1853</v>
      </c>
      <c r="U17" s="1" t="s">
        <v>1930</v>
      </c>
      <c r="V17" s="3" t="s">
        <v>1931</v>
      </c>
      <c r="W17" s="24"/>
      <c r="X17" s="1" t="s">
        <v>1932</v>
      </c>
      <c r="Y17" s="1">
        <f t="shared" si="6"/>
        <v>256</v>
      </c>
      <c r="Z17" s="1">
        <f t="shared" si="5"/>
        <v>12800000</v>
      </c>
      <c r="AD17" s="1" t="s">
        <v>1933</v>
      </c>
      <c r="AE17" s="7" t="s">
        <v>1934</v>
      </c>
      <c r="AF17" s="5"/>
      <c r="AG17" s="4">
        <v>2</v>
      </c>
      <c r="AH17" s="1">
        <v>0.15</v>
      </c>
      <c r="AI17" s="1">
        <v>7.4999999999999997E-2</v>
      </c>
      <c r="AJ17" s="1">
        <v>2</v>
      </c>
      <c r="AK17" s="5"/>
      <c r="AN17" s="1" t="s">
        <v>12</v>
      </c>
      <c r="AO17" s="1" t="s">
        <v>29</v>
      </c>
    </row>
    <row r="18" spans="1:41" ht="20.100000000000001" customHeight="1">
      <c r="A18" s="1">
        <v>17</v>
      </c>
      <c r="B18" s="1">
        <v>13.5</v>
      </c>
      <c r="C18" s="1">
        <v>13.5</v>
      </c>
      <c r="D18" s="1">
        <f>B18*总表!$D$4</f>
        <v>14175</v>
      </c>
      <c r="E18" s="1">
        <f>C18*总表!$E$4</f>
        <v>1350</v>
      </c>
      <c r="F18" s="1">
        <f>C18*总表!$F$4</f>
        <v>405</v>
      </c>
      <c r="G18" s="1">
        <v>1</v>
      </c>
      <c r="H18" s="1">
        <v>0.5</v>
      </c>
      <c r="I18" s="1">
        <f t="shared" si="1"/>
        <v>545</v>
      </c>
      <c r="J18" s="1">
        <f t="shared" si="2"/>
        <v>52</v>
      </c>
      <c r="K18" s="1">
        <f t="shared" si="3"/>
        <v>16</v>
      </c>
      <c r="N18" s="1">
        <v>50</v>
      </c>
      <c r="O18" s="1">
        <f t="shared" si="7"/>
        <v>610</v>
      </c>
      <c r="P18" s="1">
        <f t="shared" si="7"/>
        <v>60</v>
      </c>
      <c r="Q18" s="1">
        <f t="shared" si="8"/>
        <v>17</v>
      </c>
      <c r="R18" s="1">
        <v>101</v>
      </c>
      <c r="S18" s="1"/>
      <c r="T18" s="1" t="s">
        <v>1845</v>
      </c>
      <c r="U18" s="1" t="s">
        <v>1935</v>
      </c>
      <c r="V18" s="7" t="s">
        <v>1936</v>
      </c>
      <c r="X18" s="1" t="s">
        <v>1937</v>
      </c>
      <c r="Y18" s="1">
        <f t="shared" si="6"/>
        <v>512</v>
      </c>
      <c r="Z18" s="1">
        <f t="shared" si="5"/>
        <v>25600000</v>
      </c>
      <c r="AD18" s="1" t="s">
        <v>1938</v>
      </c>
      <c r="AE18" s="7" t="s">
        <v>1939</v>
      </c>
      <c r="AF18" s="5"/>
      <c r="AG18" s="4">
        <v>3</v>
      </c>
      <c r="AH18" s="1">
        <v>0.1</v>
      </c>
      <c r="AI18" s="1">
        <v>0.05</v>
      </c>
      <c r="AJ18" s="1">
        <v>3</v>
      </c>
      <c r="AK18" s="5"/>
      <c r="AN18" s="1" t="s">
        <v>12</v>
      </c>
      <c r="AO18" s="1" t="s">
        <v>2</v>
      </c>
    </row>
    <row r="19" spans="1:41" ht="20.100000000000001" customHeight="1">
      <c r="A19" s="1">
        <v>18</v>
      </c>
      <c r="B19" s="1">
        <v>14</v>
      </c>
      <c r="C19" s="1">
        <v>14</v>
      </c>
      <c r="D19" s="1">
        <f>B19*总表!$D$4</f>
        <v>14700</v>
      </c>
      <c r="E19" s="1">
        <f>C19*总表!$E$4</f>
        <v>1400</v>
      </c>
      <c r="F19" s="1">
        <f>C19*总表!$F$4</f>
        <v>420</v>
      </c>
      <c r="G19" s="1">
        <v>1</v>
      </c>
      <c r="H19" s="1">
        <v>0.5</v>
      </c>
      <c r="I19" s="1">
        <f t="shared" si="1"/>
        <v>565</v>
      </c>
      <c r="J19" s="1">
        <f t="shared" si="2"/>
        <v>54</v>
      </c>
      <c r="K19" s="1">
        <f t="shared" si="3"/>
        <v>16</v>
      </c>
      <c r="R19" s="1">
        <v>104</v>
      </c>
      <c r="S19" s="5"/>
      <c r="T19" s="1" t="s">
        <v>1868</v>
      </c>
      <c r="U19" s="1" t="s">
        <v>1940</v>
      </c>
      <c r="V19" s="3" t="s">
        <v>1941</v>
      </c>
      <c r="AF19" s="5"/>
      <c r="AG19" s="4">
        <v>4</v>
      </c>
      <c r="AH19" s="1">
        <v>0.05</v>
      </c>
      <c r="AI19" s="1">
        <v>2.5000000000000001E-2</v>
      </c>
      <c r="AJ19" s="1">
        <v>4</v>
      </c>
      <c r="AK19" s="5"/>
      <c r="AN19" s="1" t="s">
        <v>29</v>
      </c>
      <c r="AO19" s="1" t="s">
        <v>2</v>
      </c>
    </row>
    <row r="20" spans="1:41" ht="20.100000000000001" customHeight="1">
      <c r="A20" s="1">
        <v>19</v>
      </c>
      <c r="B20" s="1">
        <v>14.5</v>
      </c>
      <c r="C20" s="1">
        <v>14.5</v>
      </c>
      <c r="D20" s="1">
        <f>B20*总表!$D$4</f>
        <v>15225</v>
      </c>
      <c r="E20" s="1">
        <f>C20*总表!$E$4</f>
        <v>1450</v>
      </c>
      <c r="F20" s="1">
        <f>C20*总表!$F$4</f>
        <v>435</v>
      </c>
      <c r="G20" s="1">
        <v>1</v>
      </c>
      <c r="H20" s="1">
        <v>0.5</v>
      </c>
      <c r="I20" s="1">
        <f t="shared" si="1"/>
        <v>586</v>
      </c>
      <c r="J20" s="1">
        <f t="shared" si="2"/>
        <v>56</v>
      </c>
      <c r="K20" s="1">
        <f t="shared" si="3"/>
        <v>17</v>
      </c>
      <c r="N20" s="23" t="s">
        <v>1942</v>
      </c>
      <c r="O20" s="5"/>
      <c r="P20" s="5"/>
      <c r="Q20" s="5"/>
      <c r="R20" s="5">
        <v>103</v>
      </c>
      <c r="T20" s="1" t="s">
        <v>1860</v>
      </c>
      <c r="U20" s="1" t="s">
        <v>1943</v>
      </c>
      <c r="V20" s="7" t="s">
        <v>1944</v>
      </c>
      <c r="W20" s="1" t="str">
        <f>"100403;"&amp;AB20</f>
        <v>100403;15</v>
      </c>
      <c r="X20" s="4" t="s">
        <v>1945</v>
      </c>
      <c r="Y20" s="1" t="str">
        <f>"攻击+"&amp;AB20</f>
        <v>攻击+15</v>
      </c>
      <c r="Z20" s="1">
        <v>10</v>
      </c>
      <c r="AA20" s="1">
        <f>ROUND(Z20*1.5,0)</f>
        <v>15</v>
      </c>
      <c r="AB20" s="1">
        <v>15</v>
      </c>
      <c r="AC20" s="1"/>
      <c r="AD20" s="1" t="s">
        <v>1946</v>
      </c>
      <c r="AE20" s="7" t="s">
        <v>1947</v>
      </c>
      <c r="AF20" s="5"/>
      <c r="AG20" s="3"/>
      <c r="AH20" s="1"/>
      <c r="AI20" s="5"/>
      <c r="AJ20" s="5"/>
      <c r="AK20" s="5"/>
    </row>
    <row r="21" spans="1:41" ht="20.100000000000001" customHeight="1">
      <c r="A21" s="1">
        <v>20</v>
      </c>
      <c r="B21" s="1">
        <v>15</v>
      </c>
      <c r="C21" s="1">
        <v>15</v>
      </c>
      <c r="D21" s="1">
        <f>B21*总表!$D$4</f>
        <v>15750</v>
      </c>
      <c r="E21" s="1">
        <f>C21*总表!$E$4</f>
        <v>1500</v>
      </c>
      <c r="F21" s="1">
        <f>C21*总表!$F$4</f>
        <v>450</v>
      </c>
      <c r="G21" s="1">
        <v>2</v>
      </c>
      <c r="H21" s="1">
        <v>0.5</v>
      </c>
      <c r="I21" s="1">
        <f t="shared" si="1"/>
        <v>303</v>
      </c>
      <c r="J21" s="1">
        <f t="shared" si="2"/>
        <v>29</v>
      </c>
      <c r="K21" s="1">
        <f t="shared" si="3"/>
        <v>9</v>
      </c>
      <c r="N21" s="1">
        <v>1</v>
      </c>
      <c r="O21" s="1">
        <v>150</v>
      </c>
      <c r="P21" s="1">
        <v>20</v>
      </c>
      <c r="Q21" s="1">
        <f>P21/2</f>
        <v>10</v>
      </c>
      <c r="R21" s="1"/>
      <c r="T21" s="1"/>
      <c r="U21" s="1"/>
      <c r="V21" s="3"/>
      <c r="W21" s="1" t="str">
        <f t="shared" ref="W21:W29" si="9">"100403;"&amp;AB21</f>
        <v>100403;21</v>
      </c>
      <c r="X21" s="4" t="s">
        <v>1948</v>
      </c>
      <c r="Y21" s="1" t="str">
        <f t="shared" ref="Y21:Y29" si="10">"攻击+"&amp;AB21</f>
        <v>攻击+21</v>
      </c>
      <c r="Z21" s="1">
        <v>15</v>
      </c>
      <c r="AA21" s="1">
        <f t="shared" ref="AA21:AA29" si="11">ROUND(Z21*1.5,0)</f>
        <v>23</v>
      </c>
      <c r="AB21" s="1">
        <v>21</v>
      </c>
      <c r="AC21" s="1">
        <f>AB21-AB20</f>
        <v>6</v>
      </c>
      <c r="AD21" s="1" t="s">
        <v>1949</v>
      </c>
      <c r="AE21" s="7" t="s">
        <v>1950</v>
      </c>
      <c r="AF21" s="5"/>
      <c r="AG21" s="3"/>
      <c r="AH21" s="1">
        <f>SUM(AI15:AI19)</f>
        <v>1</v>
      </c>
      <c r="AI21" s="1">
        <f>SUM(AH15:AH19)</f>
        <v>1</v>
      </c>
      <c r="AJ21" s="7"/>
      <c r="AK21" s="7"/>
    </row>
    <row r="22" spans="1:41" ht="20.100000000000001" customHeight="1">
      <c r="A22" s="1">
        <v>21</v>
      </c>
      <c r="B22" s="1">
        <v>15.5</v>
      </c>
      <c r="C22" s="1">
        <v>15.5</v>
      </c>
      <c r="D22" s="1">
        <f>B22*总表!$D$4</f>
        <v>16275</v>
      </c>
      <c r="E22" s="1">
        <f>C22*总表!$E$4</f>
        <v>1550</v>
      </c>
      <c r="F22" s="1">
        <f>C22*总表!$F$4</f>
        <v>465</v>
      </c>
      <c r="G22" s="1">
        <v>2.1</v>
      </c>
      <c r="H22" s="1">
        <v>0.52500000000000002</v>
      </c>
      <c r="I22" s="1">
        <f t="shared" si="1"/>
        <v>313</v>
      </c>
      <c r="J22" s="1">
        <f t="shared" si="2"/>
        <v>30</v>
      </c>
      <c r="K22" s="1">
        <f t="shared" si="3"/>
        <v>9</v>
      </c>
      <c r="N22" s="1">
        <v>2</v>
      </c>
      <c r="O22" s="1">
        <v>300</v>
      </c>
      <c r="P22" s="1">
        <v>30</v>
      </c>
      <c r="Q22" s="1">
        <f t="shared" ref="Q22:Q24" si="12">P22/2</f>
        <v>15</v>
      </c>
      <c r="R22" s="1"/>
      <c r="T22" s="1"/>
      <c r="U22" s="1"/>
      <c r="V22" s="3"/>
      <c r="W22" s="1" t="str">
        <f t="shared" si="9"/>
        <v>100403;28</v>
      </c>
      <c r="X22" s="4" t="s">
        <v>1951</v>
      </c>
      <c r="Y22" s="1" t="str">
        <f t="shared" si="10"/>
        <v>攻击+28</v>
      </c>
      <c r="Z22" s="1">
        <v>20</v>
      </c>
      <c r="AA22" s="1">
        <f t="shared" si="11"/>
        <v>30</v>
      </c>
      <c r="AB22" s="1">
        <v>28</v>
      </c>
      <c r="AC22" s="1">
        <f>AB22-AB21</f>
        <v>7</v>
      </c>
      <c r="AD22" s="1" t="s">
        <v>1952</v>
      </c>
      <c r="AE22" s="7" t="s">
        <v>1953</v>
      </c>
      <c r="AF22" s="3"/>
      <c r="AG22" s="3"/>
      <c r="AH22" s="3"/>
    </row>
    <row r="23" spans="1:41" ht="20.100000000000001" customHeight="1">
      <c r="A23" s="1">
        <v>22</v>
      </c>
      <c r="B23" s="1">
        <v>16</v>
      </c>
      <c r="C23" s="1">
        <v>16</v>
      </c>
      <c r="D23" s="1">
        <f>B23*总表!$D$4</f>
        <v>16800</v>
      </c>
      <c r="E23" s="1">
        <f>C23*总表!$E$4</f>
        <v>1600</v>
      </c>
      <c r="F23" s="1">
        <f>C23*总表!$F$4</f>
        <v>480</v>
      </c>
      <c r="G23" s="1">
        <v>2.2000000000000002</v>
      </c>
      <c r="H23" s="1">
        <v>0.55000000000000004</v>
      </c>
      <c r="I23" s="1">
        <f t="shared" si="1"/>
        <v>323</v>
      </c>
      <c r="J23" s="1">
        <f t="shared" si="2"/>
        <v>31</v>
      </c>
      <c r="K23" s="1">
        <f t="shared" si="3"/>
        <v>9</v>
      </c>
      <c r="N23" s="1">
        <v>3</v>
      </c>
      <c r="O23" s="1">
        <v>450</v>
      </c>
      <c r="P23" s="1">
        <v>40</v>
      </c>
      <c r="Q23" s="1">
        <f t="shared" si="12"/>
        <v>20</v>
      </c>
      <c r="R23" s="1"/>
      <c r="S23" s="5"/>
      <c r="T23" s="1" t="s">
        <v>1878</v>
      </c>
      <c r="U23" s="4" t="s">
        <v>1879</v>
      </c>
      <c r="V23" s="5"/>
      <c r="W23" s="1" t="str">
        <f t="shared" si="9"/>
        <v>100403;36</v>
      </c>
      <c r="X23" s="4" t="s">
        <v>1954</v>
      </c>
      <c r="Y23" s="1" t="str">
        <f t="shared" si="10"/>
        <v>攻击+36</v>
      </c>
      <c r="Z23" s="1">
        <v>25</v>
      </c>
      <c r="AA23" s="1">
        <f t="shared" si="11"/>
        <v>38</v>
      </c>
      <c r="AB23" s="1">
        <v>36</v>
      </c>
      <c r="AC23" s="1">
        <f t="shared" ref="AC23:AC28" si="13">AB23-AB22</f>
        <v>8</v>
      </c>
      <c r="AD23" s="1" t="s">
        <v>1955</v>
      </c>
      <c r="AE23" s="7" t="s">
        <v>1956</v>
      </c>
    </row>
    <row r="24" spans="1:41" ht="20.100000000000001" customHeight="1">
      <c r="A24" s="1">
        <v>23</v>
      </c>
      <c r="B24" s="1">
        <v>16.5</v>
      </c>
      <c r="C24" s="1">
        <v>16.5</v>
      </c>
      <c r="D24" s="1">
        <f>B24*总表!$D$4</f>
        <v>17325</v>
      </c>
      <c r="E24" s="1">
        <f>C24*总表!$E$4</f>
        <v>1650</v>
      </c>
      <c r="F24" s="1">
        <f>C24*总表!$F$4</f>
        <v>495</v>
      </c>
      <c r="G24" s="1">
        <v>2.2999999999999998</v>
      </c>
      <c r="H24" s="1">
        <v>0.57499999999999996</v>
      </c>
      <c r="I24" s="1">
        <f t="shared" si="1"/>
        <v>333</v>
      </c>
      <c r="J24" s="1">
        <f t="shared" si="2"/>
        <v>32</v>
      </c>
      <c r="K24" s="1">
        <f t="shared" si="3"/>
        <v>10</v>
      </c>
      <c r="N24" s="1">
        <v>4</v>
      </c>
      <c r="O24" s="1">
        <v>600</v>
      </c>
      <c r="P24" s="1">
        <v>50</v>
      </c>
      <c r="Q24" s="1">
        <f t="shared" si="12"/>
        <v>25</v>
      </c>
      <c r="R24" s="1"/>
      <c r="S24" s="1" t="s">
        <v>1338</v>
      </c>
      <c r="T24" s="1" t="s">
        <v>1853</v>
      </c>
      <c r="U24" s="1" t="s">
        <v>1957</v>
      </c>
      <c r="V24" s="7" t="s">
        <v>1958</v>
      </c>
      <c r="W24" s="1" t="str">
        <f t="shared" si="9"/>
        <v>100403;45</v>
      </c>
      <c r="X24" s="4" t="s">
        <v>1959</v>
      </c>
      <c r="Y24" s="1" t="str">
        <f t="shared" si="10"/>
        <v>攻击+45</v>
      </c>
      <c r="Z24" s="1">
        <v>30</v>
      </c>
      <c r="AA24" s="1">
        <f t="shared" si="11"/>
        <v>45</v>
      </c>
      <c r="AB24" s="1">
        <v>45</v>
      </c>
      <c r="AC24" s="1">
        <f t="shared" si="13"/>
        <v>9</v>
      </c>
      <c r="AD24" s="1" t="s">
        <v>1960</v>
      </c>
      <c r="AE24" s="7" t="s">
        <v>1961</v>
      </c>
    </row>
    <row r="25" spans="1:41" ht="20.100000000000001" customHeight="1">
      <c r="A25" s="1">
        <v>24</v>
      </c>
      <c r="B25" s="1">
        <v>17</v>
      </c>
      <c r="C25" s="1">
        <v>17</v>
      </c>
      <c r="D25" s="1">
        <f>B25*总表!$D$4</f>
        <v>17850</v>
      </c>
      <c r="E25" s="1">
        <f>C25*总表!$E$4</f>
        <v>1700</v>
      </c>
      <c r="F25" s="1">
        <f>C25*总表!$F$4</f>
        <v>510</v>
      </c>
      <c r="G25" s="1">
        <v>2.4</v>
      </c>
      <c r="H25" s="1">
        <v>0.6</v>
      </c>
      <c r="I25" s="1">
        <f t="shared" si="1"/>
        <v>343</v>
      </c>
      <c r="J25" s="1">
        <f t="shared" si="2"/>
        <v>33</v>
      </c>
      <c r="K25" s="1">
        <f t="shared" si="3"/>
        <v>10</v>
      </c>
      <c r="O25" s="1"/>
      <c r="P25" s="1"/>
      <c r="Q25" s="1"/>
      <c r="R25" s="1"/>
      <c r="S25" s="5"/>
      <c r="T25" s="1" t="s">
        <v>1845</v>
      </c>
      <c r="U25" s="1" t="s">
        <v>1854</v>
      </c>
      <c r="V25" s="7" t="s">
        <v>1962</v>
      </c>
      <c r="W25" s="1" t="str">
        <f t="shared" si="9"/>
        <v>100403;60</v>
      </c>
      <c r="X25" s="4" t="s">
        <v>1963</v>
      </c>
      <c r="Y25" s="1" t="str">
        <f t="shared" si="10"/>
        <v>攻击+60</v>
      </c>
      <c r="Z25" s="1">
        <v>40</v>
      </c>
      <c r="AA25" s="1">
        <f t="shared" si="11"/>
        <v>60</v>
      </c>
      <c r="AB25" s="1">
        <v>60</v>
      </c>
      <c r="AC25" s="1">
        <f t="shared" si="13"/>
        <v>15</v>
      </c>
      <c r="AD25" s="1" t="s">
        <v>1964</v>
      </c>
      <c r="AE25" s="7" t="s">
        <v>1965</v>
      </c>
      <c r="AF25" s="1"/>
      <c r="AG25" s="1"/>
      <c r="AH25" s="1"/>
      <c r="AI25" s="1"/>
      <c r="AJ25" s="1"/>
    </row>
    <row r="26" spans="1:41" ht="20.100000000000001" customHeight="1">
      <c r="A26" s="1">
        <v>25</v>
      </c>
      <c r="B26" s="1">
        <v>17.5</v>
      </c>
      <c r="C26" s="1">
        <v>17.5</v>
      </c>
      <c r="D26" s="1">
        <f>B26*总表!$D$4</f>
        <v>18375</v>
      </c>
      <c r="E26" s="1">
        <f>C26*总表!$E$4</f>
        <v>1750</v>
      </c>
      <c r="F26" s="1">
        <f>C26*总表!$F$4</f>
        <v>525</v>
      </c>
      <c r="G26" s="1">
        <v>2.5</v>
      </c>
      <c r="H26" s="1">
        <v>0.625</v>
      </c>
      <c r="I26" s="1">
        <f t="shared" si="1"/>
        <v>353</v>
      </c>
      <c r="J26" s="1">
        <f t="shared" si="2"/>
        <v>34</v>
      </c>
      <c r="K26" s="1">
        <f t="shared" si="3"/>
        <v>10</v>
      </c>
      <c r="O26" s="1"/>
      <c r="P26" s="1"/>
      <c r="Q26" s="1"/>
      <c r="R26" s="1"/>
      <c r="T26" s="1" t="s">
        <v>1868</v>
      </c>
      <c r="U26" s="1" t="s">
        <v>1966</v>
      </c>
      <c r="V26" s="3" t="s">
        <v>1967</v>
      </c>
      <c r="W26" s="1" t="str">
        <f t="shared" si="9"/>
        <v>100403;75</v>
      </c>
      <c r="X26" s="4" t="s">
        <v>1968</v>
      </c>
      <c r="Y26" s="1" t="str">
        <f t="shared" si="10"/>
        <v>攻击+75</v>
      </c>
      <c r="Z26" s="1">
        <v>50</v>
      </c>
      <c r="AA26" s="1">
        <f t="shared" si="11"/>
        <v>75</v>
      </c>
      <c r="AB26" s="1">
        <v>75</v>
      </c>
      <c r="AC26" s="1">
        <f t="shared" si="13"/>
        <v>15</v>
      </c>
      <c r="AD26" s="1" t="s">
        <v>1969</v>
      </c>
      <c r="AE26" s="7" t="s">
        <v>1970</v>
      </c>
      <c r="AF26" s="1" t="s">
        <v>1971</v>
      </c>
      <c r="AG26" s="7" t="s">
        <v>1972</v>
      </c>
      <c r="AH26" s="1"/>
      <c r="AI26" s="1"/>
      <c r="AJ26" s="1" t="s">
        <v>1973</v>
      </c>
    </row>
    <row r="27" spans="1:41" ht="20.100000000000001" customHeight="1">
      <c r="A27" s="1">
        <v>26</v>
      </c>
      <c r="B27" s="1">
        <v>18</v>
      </c>
      <c r="C27" s="1">
        <v>18</v>
      </c>
      <c r="D27" s="1">
        <f>B27*总表!$D$4</f>
        <v>18900</v>
      </c>
      <c r="E27" s="1">
        <f>C27*总表!$E$4</f>
        <v>1800</v>
      </c>
      <c r="F27" s="1">
        <f>C27*总表!$F$4</f>
        <v>540</v>
      </c>
      <c r="G27" s="1">
        <v>2.6</v>
      </c>
      <c r="H27" s="1">
        <v>0.65</v>
      </c>
      <c r="I27" s="1">
        <f t="shared" si="1"/>
        <v>363</v>
      </c>
      <c r="J27" s="1">
        <f t="shared" si="2"/>
        <v>35</v>
      </c>
      <c r="K27" s="1">
        <f t="shared" si="3"/>
        <v>10</v>
      </c>
      <c r="N27" s="1" t="s">
        <v>1974</v>
      </c>
      <c r="O27" s="4" t="s">
        <v>2</v>
      </c>
      <c r="P27" s="4" t="s">
        <v>3</v>
      </c>
      <c r="Q27" s="4" t="s">
        <v>12</v>
      </c>
      <c r="R27" s="4"/>
      <c r="T27" s="1" t="s">
        <v>1860</v>
      </c>
      <c r="U27" s="1" t="s">
        <v>1975</v>
      </c>
      <c r="V27" s="3" t="s">
        <v>1976</v>
      </c>
      <c r="W27" s="1" t="str">
        <f t="shared" si="9"/>
        <v>100403;90</v>
      </c>
      <c r="X27" s="4" t="s">
        <v>1977</v>
      </c>
      <c r="Y27" s="1" t="str">
        <f t="shared" si="10"/>
        <v>攻击+90</v>
      </c>
      <c r="Z27" s="1">
        <v>60</v>
      </c>
      <c r="AA27" s="1">
        <f t="shared" si="11"/>
        <v>90</v>
      </c>
      <c r="AB27" s="1">
        <v>90</v>
      </c>
      <c r="AC27" s="1">
        <f t="shared" si="13"/>
        <v>15</v>
      </c>
      <c r="AD27" s="1" t="s">
        <v>1978</v>
      </c>
      <c r="AE27" s="7" t="s">
        <v>1979</v>
      </c>
      <c r="AF27" s="3" t="s">
        <v>1980</v>
      </c>
      <c r="AG27" s="1"/>
      <c r="AH27" s="1"/>
      <c r="AI27" s="1"/>
      <c r="AJ27" s="1"/>
    </row>
    <row r="28" spans="1:41" ht="20.100000000000001" customHeight="1">
      <c r="A28" s="1">
        <v>27</v>
      </c>
      <c r="B28" s="1">
        <v>18.5</v>
      </c>
      <c r="C28" s="1">
        <v>18.5</v>
      </c>
      <c r="D28" s="1">
        <f>B28*总表!$D$4</f>
        <v>19425</v>
      </c>
      <c r="E28" s="1">
        <f>C28*总表!$E$4</f>
        <v>1850</v>
      </c>
      <c r="F28" s="1">
        <f>C28*总表!$F$4</f>
        <v>555</v>
      </c>
      <c r="G28" s="1">
        <v>2.7</v>
      </c>
      <c r="H28" s="1">
        <v>0.67500000000000004</v>
      </c>
      <c r="I28" s="1">
        <f t="shared" si="1"/>
        <v>374</v>
      </c>
      <c r="J28" s="1">
        <f t="shared" si="2"/>
        <v>36</v>
      </c>
      <c r="K28" s="1">
        <f t="shared" si="3"/>
        <v>11</v>
      </c>
      <c r="N28" s="1" t="s">
        <v>1981</v>
      </c>
      <c r="O28" s="1">
        <v>0</v>
      </c>
      <c r="P28" s="1">
        <v>1</v>
      </c>
      <c r="Q28" s="1">
        <v>0</v>
      </c>
      <c r="R28" s="1"/>
      <c r="T28" s="1" t="s">
        <v>1853</v>
      </c>
      <c r="U28" s="1" t="s">
        <v>1982</v>
      </c>
      <c r="V28" s="3" t="s">
        <v>1983</v>
      </c>
      <c r="W28" s="1" t="str">
        <f t="shared" si="9"/>
        <v>100403;105</v>
      </c>
      <c r="X28" s="4" t="s">
        <v>1984</v>
      </c>
      <c r="Y28" s="1" t="str">
        <f t="shared" si="10"/>
        <v>攻击+105</v>
      </c>
      <c r="Z28" s="1">
        <v>70</v>
      </c>
      <c r="AA28" s="1">
        <f t="shared" si="11"/>
        <v>105</v>
      </c>
      <c r="AB28" s="1">
        <v>105</v>
      </c>
      <c r="AC28" s="1">
        <f t="shared" si="13"/>
        <v>15</v>
      </c>
      <c r="AD28" s="1" t="s">
        <v>1985</v>
      </c>
      <c r="AE28" s="7" t="s">
        <v>1986</v>
      </c>
      <c r="AF28" s="7" t="s">
        <v>1987</v>
      </c>
      <c r="AG28" s="1"/>
      <c r="AH28" s="1"/>
      <c r="AI28" s="1"/>
      <c r="AJ28" s="1"/>
    </row>
    <row r="29" spans="1:41" ht="20.100000000000001" customHeight="1">
      <c r="A29" s="1">
        <v>28</v>
      </c>
      <c r="B29" s="1">
        <v>19</v>
      </c>
      <c r="C29" s="1">
        <v>19</v>
      </c>
      <c r="D29" s="1">
        <f>B29*总表!$D$4</f>
        <v>19950</v>
      </c>
      <c r="E29" s="1">
        <f>C29*总表!$E$4</f>
        <v>1900</v>
      </c>
      <c r="F29" s="1">
        <f>C29*总表!$F$4</f>
        <v>570</v>
      </c>
      <c r="G29" s="1">
        <v>2.8</v>
      </c>
      <c r="H29" s="1">
        <v>0.7</v>
      </c>
      <c r="I29" s="1">
        <f t="shared" si="1"/>
        <v>384</v>
      </c>
      <c r="J29" s="1">
        <f t="shared" si="2"/>
        <v>37</v>
      </c>
      <c r="K29" s="1">
        <f t="shared" si="3"/>
        <v>11</v>
      </c>
      <c r="N29" s="1" t="s">
        <v>1988</v>
      </c>
      <c r="O29" s="1">
        <v>0.25</v>
      </c>
      <c r="P29" s="1">
        <v>0</v>
      </c>
      <c r="Q29" s="1">
        <v>1</v>
      </c>
      <c r="R29" s="1"/>
      <c r="T29" s="1" t="s">
        <v>1868</v>
      </c>
      <c r="U29" s="1" t="s">
        <v>1989</v>
      </c>
      <c r="V29" s="3" t="s">
        <v>1990</v>
      </c>
      <c r="W29" s="1" t="str">
        <f t="shared" si="9"/>
        <v>100403;120</v>
      </c>
      <c r="X29" s="4" t="s">
        <v>1991</v>
      </c>
      <c r="Y29" s="1" t="str">
        <f t="shared" si="10"/>
        <v>攻击+120</v>
      </c>
      <c r="Z29" s="1">
        <v>80</v>
      </c>
      <c r="AA29" s="1">
        <f t="shared" si="11"/>
        <v>120</v>
      </c>
      <c r="AB29" s="1">
        <v>120</v>
      </c>
      <c r="AC29" s="1"/>
      <c r="AD29" s="1" t="s">
        <v>1992</v>
      </c>
      <c r="AE29" s="7" t="s">
        <v>1993</v>
      </c>
      <c r="AF29" s="7" t="s">
        <v>1994</v>
      </c>
      <c r="AG29" s="1"/>
      <c r="AH29" s="1"/>
      <c r="AI29" s="1"/>
      <c r="AJ29" s="1"/>
    </row>
    <row r="30" spans="1:41" ht="20.100000000000001" customHeight="1">
      <c r="A30" s="1">
        <v>29</v>
      </c>
      <c r="B30" s="1">
        <v>19.5</v>
      </c>
      <c r="C30" s="1">
        <v>19.5</v>
      </c>
      <c r="D30" s="1">
        <f>B30*总表!$D$4</f>
        <v>20475</v>
      </c>
      <c r="E30" s="1">
        <f>C30*总表!$E$4</f>
        <v>1950</v>
      </c>
      <c r="F30" s="1">
        <f>C30*总表!$F$4</f>
        <v>585</v>
      </c>
      <c r="G30" s="1">
        <v>2.9</v>
      </c>
      <c r="H30" s="1">
        <v>0.72499999999999998</v>
      </c>
      <c r="I30" s="1">
        <f t="shared" si="1"/>
        <v>394</v>
      </c>
      <c r="J30" s="1">
        <f t="shared" si="2"/>
        <v>38</v>
      </c>
      <c r="K30" s="1">
        <f t="shared" si="3"/>
        <v>11</v>
      </c>
      <c r="N30" s="1" t="s">
        <v>1995</v>
      </c>
      <c r="O30" s="1">
        <v>0.75</v>
      </c>
      <c r="P30" s="1">
        <v>0</v>
      </c>
      <c r="Q30" s="1">
        <v>0</v>
      </c>
      <c r="R30" s="1"/>
      <c r="T30" s="1" t="s">
        <v>1845</v>
      </c>
      <c r="U30" s="1" t="s">
        <v>1996</v>
      </c>
      <c r="V30" s="3" t="s">
        <v>1997</v>
      </c>
      <c r="AD30" s="1" t="s">
        <v>1998</v>
      </c>
      <c r="AE30" s="7" t="s">
        <v>1999</v>
      </c>
      <c r="AF30" s="7" t="s">
        <v>2000</v>
      </c>
      <c r="AG30" s="1"/>
      <c r="AH30" s="1"/>
      <c r="AI30" s="1"/>
      <c r="AJ30" s="1"/>
    </row>
    <row r="31" spans="1:41" ht="20.100000000000001" customHeight="1">
      <c r="A31" s="1">
        <v>30</v>
      </c>
      <c r="B31" s="1">
        <v>20</v>
      </c>
      <c r="C31" s="1">
        <v>20</v>
      </c>
      <c r="D31" s="1">
        <f>B31*总表!$D$4</f>
        <v>21000</v>
      </c>
      <c r="E31" s="1">
        <f>C31*总表!$E$4</f>
        <v>2000</v>
      </c>
      <c r="F31" s="1">
        <f>C31*总表!$F$4</f>
        <v>600</v>
      </c>
      <c r="G31" s="1">
        <v>3</v>
      </c>
      <c r="H31" s="1">
        <v>0.75</v>
      </c>
      <c r="I31" s="1">
        <f t="shared" si="1"/>
        <v>404</v>
      </c>
      <c r="J31" s="1">
        <f t="shared" si="2"/>
        <v>38</v>
      </c>
      <c r="K31" s="1">
        <f t="shared" si="3"/>
        <v>12</v>
      </c>
      <c r="N31" s="13"/>
      <c r="T31" s="1" t="s">
        <v>1860</v>
      </c>
      <c r="U31" s="1" t="s">
        <v>2001</v>
      </c>
      <c r="V31" s="3" t="s">
        <v>2002</v>
      </c>
      <c r="AD31" s="1" t="s">
        <v>2003</v>
      </c>
      <c r="AE31" s="7" t="s">
        <v>2004</v>
      </c>
    </row>
    <row r="32" spans="1:41" ht="20.100000000000001" customHeight="1">
      <c r="A32" s="1">
        <v>31</v>
      </c>
      <c r="B32" s="1">
        <v>20.5</v>
      </c>
      <c r="C32" s="1">
        <v>20.5</v>
      </c>
      <c r="D32" s="1">
        <f>B32*总表!$D$4</f>
        <v>21525</v>
      </c>
      <c r="E32" s="1">
        <f>C32*总表!$E$4</f>
        <v>2050</v>
      </c>
      <c r="F32" s="1">
        <f>C32*总表!$F$4</f>
        <v>615</v>
      </c>
      <c r="G32" s="1">
        <v>3.1</v>
      </c>
      <c r="H32" s="1">
        <v>0.77500000000000002</v>
      </c>
      <c r="I32" s="1">
        <f t="shared" si="1"/>
        <v>414</v>
      </c>
      <c r="J32" s="1">
        <f t="shared" si="2"/>
        <v>39</v>
      </c>
      <c r="K32" s="1">
        <f t="shared" si="3"/>
        <v>12</v>
      </c>
      <c r="M32" s="4" t="s">
        <v>2005</v>
      </c>
      <c r="N32" s="1" t="s">
        <v>1981</v>
      </c>
      <c r="O32" s="1">
        <f>ROUND(O28*O$21,-1)</f>
        <v>0</v>
      </c>
      <c r="P32" s="1">
        <f t="shared" ref="P32:Q32" si="14">P28*P$21</f>
        <v>20</v>
      </c>
      <c r="Q32" s="1">
        <f t="shared" si="14"/>
        <v>0</v>
      </c>
      <c r="R32" s="1"/>
      <c r="T32" s="1" t="s">
        <v>1853</v>
      </c>
      <c r="U32" s="1" t="s">
        <v>2006</v>
      </c>
      <c r="V32" s="3" t="s">
        <v>2007</v>
      </c>
      <c r="W32" s="1" t="str">
        <f>"100203;"&amp;AB32</f>
        <v>100203;150</v>
      </c>
      <c r="X32" s="4" t="s">
        <v>2008</v>
      </c>
      <c r="Y32" s="1" t="str">
        <f>"生命+"&amp;AB32</f>
        <v>生命+150</v>
      </c>
      <c r="Z32" s="1">
        <v>100</v>
      </c>
      <c r="AA32" s="1">
        <f>Z32*1.5</f>
        <v>150</v>
      </c>
      <c r="AB32" s="1">
        <v>150</v>
      </c>
      <c r="AC32" s="1"/>
      <c r="AD32" s="1" t="s">
        <v>2009</v>
      </c>
      <c r="AE32" s="7" t="s">
        <v>2010</v>
      </c>
      <c r="AF32" s="3"/>
      <c r="AG32" s="3"/>
      <c r="AH32" s="3"/>
      <c r="AI32" s="3"/>
    </row>
    <row r="33" spans="1:39" ht="20.100000000000001" customHeight="1">
      <c r="A33" s="1">
        <v>32</v>
      </c>
      <c r="B33" s="1">
        <v>21</v>
      </c>
      <c r="C33" s="1">
        <v>21</v>
      </c>
      <c r="D33" s="1">
        <f>B33*总表!$D$4</f>
        <v>22050</v>
      </c>
      <c r="E33" s="1">
        <f>C33*总表!$E$4</f>
        <v>2100</v>
      </c>
      <c r="F33" s="1">
        <f>C33*总表!$F$4</f>
        <v>630</v>
      </c>
      <c r="G33" s="1">
        <v>3.2</v>
      </c>
      <c r="H33" s="1">
        <v>0.8</v>
      </c>
      <c r="I33" s="1">
        <f t="shared" si="1"/>
        <v>424</v>
      </c>
      <c r="J33" s="1">
        <f t="shared" si="2"/>
        <v>40</v>
      </c>
      <c r="K33" s="1">
        <f t="shared" si="3"/>
        <v>12</v>
      </c>
      <c r="M33" s="4"/>
      <c r="N33" s="1" t="s">
        <v>1988</v>
      </c>
      <c r="O33" s="1">
        <f t="shared" ref="O33:O34" si="15">ROUND(O29*O$21,-1)</f>
        <v>40</v>
      </c>
      <c r="P33" s="1">
        <f t="shared" ref="P33:Q33" si="16">P29*P$21</f>
        <v>0</v>
      </c>
      <c r="Q33" s="1">
        <f t="shared" si="16"/>
        <v>10</v>
      </c>
      <c r="R33" s="1"/>
      <c r="S33" s="1"/>
      <c r="T33" s="1" t="s">
        <v>1845</v>
      </c>
      <c r="U33" s="1" t="s">
        <v>2011</v>
      </c>
      <c r="V33" s="7" t="s">
        <v>2012</v>
      </c>
      <c r="W33" s="1" t="str">
        <f t="shared" ref="W33:W41" si="17">"100203;"&amp;AB33</f>
        <v>100203;225</v>
      </c>
      <c r="X33" s="4" t="s">
        <v>2013</v>
      </c>
      <c r="Y33" s="1" t="str">
        <f t="shared" ref="Y33:Y41" si="18">"生命+"&amp;AB33</f>
        <v>生命+225</v>
      </c>
      <c r="Z33" s="1">
        <v>150</v>
      </c>
      <c r="AA33" s="1">
        <f t="shared" ref="AA33:AA41" si="19">Z33*1.5</f>
        <v>225</v>
      </c>
      <c r="AB33" s="1">
        <v>225</v>
      </c>
      <c r="AC33" s="1"/>
      <c r="AD33" s="1" t="s">
        <v>2014</v>
      </c>
      <c r="AE33" s="7" t="s">
        <v>2015</v>
      </c>
      <c r="AF33" s="3" t="s">
        <v>2016</v>
      </c>
      <c r="AG33" s="3"/>
      <c r="AH33" s="3"/>
      <c r="AI33" s="3"/>
      <c r="AJ33" s="5"/>
      <c r="AK33" s="5"/>
      <c r="AL33" s="5"/>
      <c r="AM33" s="5"/>
    </row>
    <row r="34" spans="1:39" ht="20.100000000000001" customHeight="1">
      <c r="A34" s="1">
        <v>33</v>
      </c>
      <c r="B34" s="1">
        <v>21.5</v>
      </c>
      <c r="C34" s="1">
        <v>21.5</v>
      </c>
      <c r="D34" s="1">
        <f>B34*总表!$D$4</f>
        <v>22575</v>
      </c>
      <c r="E34" s="1">
        <f>C34*总表!$E$4</f>
        <v>2150</v>
      </c>
      <c r="F34" s="1">
        <f>C34*总表!$F$4</f>
        <v>645</v>
      </c>
      <c r="G34" s="1">
        <v>3.3</v>
      </c>
      <c r="H34" s="1">
        <v>0.82499999999999996</v>
      </c>
      <c r="I34" s="1">
        <f t="shared" si="1"/>
        <v>434</v>
      </c>
      <c r="J34" s="1">
        <f t="shared" si="2"/>
        <v>41</v>
      </c>
      <c r="K34" s="1">
        <f t="shared" si="3"/>
        <v>12</v>
      </c>
      <c r="M34" s="4"/>
      <c r="N34" s="1" t="s">
        <v>1995</v>
      </c>
      <c r="O34" s="1">
        <f t="shared" si="15"/>
        <v>110</v>
      </c>
      <c r="P34" s="1">
        <f t="shared" ref="P34:Q34" si="20">P30*P$21</f>
        <v>0</v>
      </c>
      <c r="Q34" s="1">
        <f t="shared" si="20"/>
        <v>0</v>
      </c>
      <c r="R34" s="1"/>
      <c r="S34" s="5"/>
      <c r="T34" s="1" t="s">
        <v>1868</v>
      </c>
      <c r="U34" s="1" t="s">
        <v>2017</v>
      </c>
      <c r="V34" s="3" t="s">
        <v>2018</v>
      </c>
      <c r="W34" s="1" t="str">
        <f t="shared" si="17"/>
        <v>100203;300</v>
      </c>
      <c r="X34" s="4" t="s">
        <v>2019</v>
      </c>
      <c r="Y34" s="1" t="str">
        <f t="shared" si="18"/>
        <v>生命+300</v>
      </c>
      <c r="Z34" s="1">
        <v>200</v>
      </c>
      <c r="AA34" s="1">
        <f t="shared" si="19"/>
        <v>300</v>
      </c>
      <c r="AB34" s="1">
        <v>300</v>
      </c>
      <c r="AC34" s="1"/>
      <c r="AD34" s="1" t="s">
        <v>2020</v>
      </c>
      <c r="AE34" s="7" t="s">
        <v>2021</v>
      </c>
      <c r="AF34" s="3" t="s">
        <v>2022</v>
      </c>
      <c r="AG34" s="3"/>
      <c r="AH34" s="3"/>
      <c r="AI34" s="3" t="s">
        <v>2023</v>
      </c>
      <c r="AJ34" s="5"/>
      <c r="AK34" s="3" t="str">
        <f>"史诗:"&amp;AI34</f>
        <v>史诗:狂野之石</v>
      </c>
      <c r="AL34" s="5"/>
      <c r="AM34" s="5"/>
    </row>
    <row r="35" spans="1:39" ht="20.100000000000001" customHeight="1">
      <c r="A35" s="1">
        <v>34</v>
      </c>
      <c r="B35" s="1">
        <v>22</v>
      </c>
      <c r="C35" s="1">
        <v>22</v>
      </c>
      <c r="D35" s="1">
        <f>B35*总表!$D$4</f>
        <v>23100</v>
      </c>
      <c r="E35" s="1">
        <f>C35*总表!$E$4</f>
        <v>2200</v>
      </c>
      <c r="F35" s="1">
        <f>C35*总表!$F$4</f>
        <v>660</v>
      </c>
      <c r="G35" s="1">
        <v>3.4</v>
      </c>
      <c r="H35" s="1">
        <v>0.85</v>
      </c>
      <c r="I35" s="1">
        <f t="shared" si="1"/>
        <v>444</v>
      </c>
      <c r="J35" s="1">
        <f t="shared" si="2"/>
        <v>42</v>
      </c>
      <c r="K35" s="1">
        <f t="shared" si="3"/>
        <v>13</v>
      </c>
      <c r="M35" s="4"/>
      <c r="N35" s="1"/>
      <c r="O35" s="1"/>
      <c r="P35" s="1"/>
      <c r="Q35" s="1"/>
      <c r="R35" s="1"/>
      <c r="T35" s="1" t="s">
        <v>1860</v>
      </c>
      <c r="U35" s="1" t="s">
        <v>2024</v>
      </c>
      <c r="V35" s="7" t="s">
        <v>2025</v>
      </c>
      <c r="W35" s="1" t="str">
        <f t="shared" si="17"/>
        <v>100203;375</v>
      </c>
      <c r="X35" s="4" t="s">
        <v>2026</v>
      </c>
      <c r="Y35" s="1" t="str">
        <f t="shared" si="18"/>
        <v>生命+375</v>
      </c>
      <c r="Z35" s="1">
        <v>250</v>
      </c>
      <c r="AA35" s="1">
        <f t="shared" si="19"/>
        <v>375</v>
      </c>
      <c r="AB35" s="1">
        <v>375</v>
      </c>
      <c r="AC35" s="1"/>
      <c r="AD35" s="1" t="s">
        <v>2027</v>
      </c>
      <c r="AE35" s="7" t="s">
        <v>2028</v>
      </c>
      <c r="AF35" s="3" t="s">
        <v>2029</v>
      </c>
      <c r="AG35" s="3"/>
      <c r="AH35" s="3"/>
      <c r="AI35" s="3" t="s">
        <v>2030</v>
      </c>
      <c r="AJ35" s="5"/>
      <c r="AK35" s="3" t="str">
        <f t="shared" ref="AK35:AK41" si="21">"史诗:"&amp;AI35</f>
        <v>史诗:防护之石</v>
      </c>
      <c r="AL35" s="5"/>
      <c r="AM35" s="5"/>
    </row>
    <row r="36" spans="1:39" ht="20.100000000000001" customHeight="1">
      <c r="A36" s="1">
        <v>35</v>
      </c>
      <c r="B36" s="1">
        <v>22.5</v>
      </c>
      <c r="C36" s="1">
        <v>22.5</v>
      </c>
      <c r="D36" s="1">
        <f>B36*总表!$D$4</f>
        <v>23625</v>
      </c>
      <c r="E36" s="1">
        <f>C36*总表!$E$4</f>
        <v>2250</v>
      </c>
      <c r="F36" s="1">
        <f>C36*总表!$F$4</f>
        <v>675</v>
      </c>
      <c r="G36" s="1">
        <v>3.5</v>
      </c>
      <c r="H36" s="1">
        <v>0.875</v>
      </c>
      <c r="I36" s="1">
        <f t="shared" si="1"/>
        <v>454</v>
      </c>
      <c r="J36" s="1">
        <f t="shared" si="2"/>
        <v>43</v>
      </c>
      <c r="K36" s="1">
        <f t="shared" si="3"/>
        <v>13</v>
      </c>
      <c r="M36" s="4" t="s">
        <v>2031</v>
      </c>
      <c r="N36" s="1" t="s">
        <v>1981</v>
      </c>
      <c r="O36" s="1">
        <f t="shared" ref="O36:Q36" si="22">O28*O$22</f>
        <v>0</v>
      </c>
      <c r="P36" s="1">
        <f t="shared" si="22"/>
        <v>30</v>
      </c>
      <c r="Q36" s="1">
        <f t="shared" si="22"/>
        <v>0</v>
      </c>
      <c r="R36" s="1"/>
      <c r="W36" s="1" t="str">
        <f t="shared" si="17"/>
        <v>100203;450</v>
      </c>
      <c r="X36" s="4" t="s">
        <v>2032</v>
      </c>
      <c r="Y36" s="1" t="str">
        <f t="shared" si="18"/>
        <v>生命+450</v>
      </c>
      <c r="Z36" s="1">
        <v>300</v>
      </c>
      <c r="AA36" s="1">
        <f t="shared" si="19"/>
        <v>450</v>
      </c>
      <c r="AB36" s="1">
        <v>450</v>
      </c>
      <c r="AC36" s="1"/>
      <c r="AF36" s="3" t="s">
        <v>2033</v>
      </c>
      <c r="AG36" s="3"/>
      <c r="AH36" s="3"/>
      <c r="AI36" s="3" t="s">
        <v>2034</v>
      </c>
      <c r="AJ36" s="5"/>
      <c r="AK36" s="3" t="str">
        <f t="shared" si="21"/>
        <v>史诗:时间之石</v>
      </c>
      <c r="AL36" s="5"/>
      <c r="AM36" s="5"/>
    </row>
    <row r="37" spans="1:39" ht="20.100000000000001" customHeight="1">
      <c r="A37" s="1">
        <v>36</v>
      </c>
      <c r="B37" s="1">
        <v>23</v>
      </c>
      <c r="C37" s="1">
        <v>23</v>
      </c>
      <c r="D37" s="1">
        <f>B37*总表!$D$4</f>
        <v>24150</v>
      </c>
      <c r="E37" s="1">
        <f>C37*总表!$E$4</f>
        <v>2300</v>
      </c>
      <c r="F37" s="1">
        <f>C37*总表!$F$4</f>
        <v>690</v>
      </c>
      <c r="G37" s="1">
        <v>3.6</v>
      </c>
      <c r="H37" s="1">
        <v>0.9</v>
      </c>
      <c r="I37" s="1">
        <f t="shared" si="1"/>
        <v>464</v>
      </c>
      <c r="J37" s="1">
        <f t="shared" si="2"/>
        <v>44</v>
      </c>
      <c r="K37" s="1">
        <f t="shared" si="3"/>
        <v>13</v>
      </c>
      <c r="M37" s="4"/>
      <c r="N37" s="1" t="s">
        <v>1988</v>
      </c>
      <c r="O37" s="1">
        <f t="shared" ref="O37:Q37" si="23">O29*O$22</f>
        <v>75</v>
      </c>
      <c r="P37" s="1">
        <f t="shared" si="23"/>
        <v>0</v>
      </c>
      <c r="Q37" s="1">
        <f t="shared" si="23"/>
        <v>15</v>
      </c>
      <c r="R37" s="1"/>
      <c r="W37" s="1" t="str">
        <f t="shared" si="17"/>
        <v>100203;600</v>
      </c>
      <c r="X37" s="4" t="s">
        <v>2035</v>
      </c>
      <c r="Y37" s="1" t="str">
        <f t="shared" si="18"/>
        <v>生命+600</v>
      </c>
      <c r="Z37" s="1">
        <v>400</v>
      </c>
      <c r="AA37" s="1">
        <f t="shared" si="19"/>
        <v>600</v>
      </c>
      <c r="AB37" s="1">
        <v>600</v>
      </c>
      <c r="AC37" s="1"/>
      <c r="AD37" s="1" t="s">
        <v>2036</v>
      </c>
      <c r="AE37" s="7" t="s">
        <v>2037</v>
      </c>
      <c r="AF37" s="3" t="s">
        <v>2038</v>
      </c>
      <c r="AG37" s="3"/>
      <c r="AH37" s="3"/>
      <c r="AI37" s="3" t="s">
        <v>2039</v>
      </c>
      <c r="AJ37" s="5"/>
      <c r="AK37" s="3" t="str">
        <f t="shared" si="21"/>
        <v>史诗:重生之石</v>
      </c>
      <c r="AL37" s="5"/>
      <c r="AM37" s="5"/>
    </row>
    <row r="38" spans="1:39" ht="20.100000000000001" customHeight="1">
      <c r="A38" s="1">
        <v>37</v>
      </c>
      <c r="B38" s="1">
        <v>23.5</v>
      </c>
      <c r="C38" s="1">
        <v>23.5</v>
      </c>
      <c r="D38" s="1">
        <f>B38*总表!$D$4</f>
        <v>24675</v>
      </c>
      <c r="E38" s="1">
        <f>C38*总表!$E$4</f>
        <v>2350</v>
      </c>
      <c r="F38" s="1">
        <f>C38*总表!$F$4</f>
        <v>705</v>
      </c>
      <c r="G38" s="1">
        <v>3.7</v>
      </c>
      <c r="H38" s="1">
        <v>0.92500000000000004</v>
      </c>
      <c r="I38" s="1">
        <f t="shared" si="1"/>
        <v>475</v>
      </c>
      <c r="J38" s="1">
        <f t="shared" si="2"/>
        <v>45</v>
      </c>
      <c r="K38" s="1">
        <f t="shared" si="3"/>
        <v>14</v>
      </c>
      <c r="M38" s="4"/>
      <c r="N38" s="1" t="s">
        <v>1995</v>
      </c>
      <c r="O38" s="1">
        <f t="shared" ref="O38:Q38" si="24">O30*O$22</f>
        <v>225</v>
      </c>
      <c r="P38" s="1">
        <f t="shared" si="24"/>
        <v>0</v>
      </c>
      <c r="Q38" s="1">
        <f t="shared" si="24"/>
        <v>0</v>
      </c>
      <c r="R38" s="1"/>
      <c r="S38" s="5"/>
      <c r="T38" s="1" t="s">
        <v>1878</v>
      </c>
      <c r="U38" s="4" t="s">
        <v>1879</v>
      </c>
      <c r="V38" s="5"/>
      <c r="W38" s="1" t="str">
        <f t="shared" si="17"/>
        <v>100203;750</v>
      </c>
      <c r="X38" s="4" t="s">
        <v>2040</v>
      </c>
      <c r="Y38" s="1" t="str">
        <f t="shared" si="18"/>
        <v>生命+750</v>
      </c>
      <c r="Z38" s="1">
        <v>500</v>
      </c>
      <c r="AA38" s="1">
        <f t="shared" si="19"/>
        <v>750</v>
      </c>
      <c r="AB38" s="1">
        <v>750</v>
      </c>
      <c r="AC38" s="1"/>
      <c r="AD38" s="1" t="s">
        <v>2041</v>
      </c>
      <c r="AE38" s="7" t="s">
        <v>2042</v>
      </c>
      <c r="AF38" s="3" t="s">
        <v>2043</v>
      </c>
      <c r="AG38" s="3"/>
      <c r="AH38" s="3"/>
      <c r="AI38" s="3" t="s">
        <v>2044</v>
      </c>
      <c r="AJ38" s="5"/>
      <c r="AK38" s="3" t="str">
        <f t="shared" si="21"/>
        <v>史诗:魔天之石</v>
      </c>
      <c r="AL38" s="5"/>
      <c r="AM38" s="5"/>
    </row>
    <row r="39" spans="1:39" ht="20.100000000000001" customHeight="1">
      <c r="A39" s="1">
        <v>38</v>
      </c>
      <c r="B39" s="1">
        <v>24</v>
      </c>
      <c r="C39" s="1">
        <v>24</v>
      </c>
      <c r="D39" s="1">
        <f>B39*总表!$D$4</f>
        <v>25200</v>
      </c>
      <c r="E39" s="1">
        <f>C39*总表!$E$4</f>
        <v>2400</v>
      </c>
      <c r="F39" s="1">
        <f>C39*总表!$F$4</f>
        <v>720</v>
      </c>
      <c r="G39" s="1">
        <v>3.8</v>
      </c>
      <c r="H39" s="1">
        <v>0.95</v>
      </c>
      <c r="I39" s="1">
        <f t="shared" si="1"/>
        <v>485</v>
      </c>
      <c r="J39" s="1">
        <f t="shared" si="2"/>
        <v>46</v>
      </c>
      <c r="K39" s="1">
        <f t="shared" si="3"/>
        <v>14</v>
      </c>
      <c r="M39" s="4"/>
      <c r="N39" s="1"/>
      <c r="O39" s="1"/>
      <c r="P39" s="1"/>
      <c r="Q39" s="1"/>
      <c r="R39" s="1"/>
      <c r="S39" s="1" t="s">
        <v>1342</v>
      </c>
      <c r="T39" s="1" t="s">
        <v>1853</v>
      </c>
      <c r="U39" s="1" t="s">
        <v>2045</v>
      </c>
      <c r="V39" s="7" t="s">
        <v>2046</v>
      </c>
      <c r="W39" s="1" t="str">
        <f t="shared" si="17"/>
        <v>100203;900</v>
      </c>
      <c r="X39" s="4" t="s">
        <v>2047</v>
      </c>
      <c r="Y39" s="1" t="str">
        <f t="shared" si="18"/>
        <v>生命+900</v>
      </c>
      <c r="Z39" s="1">
        <v>600</v>
      </c>
      <c r="AA39" s="1">
        <f t="shared" si="19"/>
        <v>900</v>
      </c>
      <c r="AB39" s="1">
        <v>900</v>
      </c>
      <c r="AC39" s="1"/>
      <c r="AD39" s="1" t="s">
        <v>2048</v>
      </c>
      <c r="AE39" s="7" t="s">
        <v>2049</v>
      </c>
      <c r="AF39" s="3" t="s">
        <v>2050</v>
      </c>
      <c r="AG39" s="3"/>
      <c r="AH39" s="3"/>
      <c r="AI39" s="3" t="s">
        <v>2051</v>
      </c>
      <c r="AJ39" s="5"/>
      <c r="AK39" s="3" t="str">
        <f t="shared" si="21"/>
        <v>史诗:天闪之石</v>
      </c>
      <c r="AL39" s="5"/>
      <c r="AM39" s="5"/>
    </row>
    <row r="40" spans="1:39" ht="20.100000000000001" customHeight="1">
      <c r="A40" s="1">
        <v>39</v>
      </c>
      <c r="B40" s="1">
        <v>24.5</v>
      </c>
      <c r="C40" s="1">
        <v>24.5</v>
      </c>
      <c r="D40" s="1">
        <f>B40*总表!$D$4</f>
        <v>25725</v>
      </c>
      <c r="E40" s="1">
        <f>C40*总表!$E$4</f>
        <v>2450</v>
      </c>
      <c r="F40" s="1">
        <f>C40*总表!$F$4</f>
        <v>735</v>
      </c>
      <c r="G40" s="1">
        <v>3.9</v>
      </c>
      <c r="H40" s="1">
        <v>0.97499999999999998</v>
      </c>
      <c r="I40" s="1">
        <f t="shared" si="1"/>
        <v>495</v>
      </c>
      <c r="J40" s="1">
        <f t="shared" si="2"/>
        <v>47</v>
      </c>
      <c r="K40" s="1">
        <f t="shared" si="3"/>
        <v>14</v>
      </c>
      <c r="M40" s="4" t="s">
        <v>2052</v>
      </c>
      <c r="N40" s="1" t="s">
        <v>1981</v>
      </c>
      <c r="O40" s="1">
        <f t="shared" ref="O40:Q40" si="25">O28*O$23</f>
        <v>0</v>
      </c>
      <c r="P40" s="1">
        <f t="shared" si="25"/>
        <v>40</v>
      </c>
      <c r="Q40" s="1">
        <f t="shared" si="25"/>
        <v>0</v>
      </c>
      <c r="R40" s="1"/>
      <c r="S40" s="5"/>
      <c r="T40" s="1" t="s">
        <v>1845</v>
      </c>
      <c r="U40" s="1" t="s">
        <v>2053</v>
      </c>
      <c r="V40" s="7" t="s">
        <v>2054</v>
      </c>
      <c r="W40" s="1" t="str">
        <f t="shared" si="17"/>
        <v>100203;1050</v>
      </c>
      <c r="X40" s="4" t="s">
        <v>2055</v>
      </c>
      <c r="Y40" s="1" t="str">
        <f t="shared" si="18"/>
        <v>生命+1050</v>
      </c>
      <c r="Z40" s="1">
        <v>700</v>
      </c>
      <c r="AA40" s="1">
        <f t="shared" si="19"/>
        <v>1050</v>
      </c>
      <c r="AB40" s="1">
        <v>1050</v>
      </c>
      <c r="AC40" s="1"/>
      <c r="AD40" s="1" t="s">
        <v>2056</v>
      </c>
      <c r="AE40" s="7" t="s">
        <v>2057</v>
      </c>
      <c r="AF40" s="3" t="s">
        <v>2058</v>
      </c>
      <c r="AG40" s="3"/>
      <c r="AH40" s="3"/>
      <c r="AI40" s="3" t="s">
        <v>2059</v>
      </c>
      <c r="AJ40" s="5"/>
      <c r="AK40" s="3" t="str">
        <f t="shared" si="21"/>
        <v>史诗:残月之石</v>
      </c>
      <c r="AL40" s="5"/>
      <c r="AM40" s="5"/>
    </row>
    <row r="41" spans="1:39" ht="20.100000000000001" customHeight="1">
      <c r="A41" s="1">
        <v>40</v>
      </c>
      <c r="B41" s="1">
        <v>25</v>
      </c>
      <c r="C41" s="1">
        <v>25</v>
      </c>
      <c r="D41" s="1">
        <f>B41*总表!$D$4</f>
        <v>26250</v>
      </c>
      <c r="E41" s="1">
        <f>C41*总表!$E$4</f>
        <v>2500</v>
      </c>
      <c r="F41" s="1">
        <f>C41*总表!$F$4</f>
        <v>750</v>
      </c>
      <c r="G41" s="1">
        <v>4</v>
      </c>
      <c r="H41" s="1">
        <v>1</v>
      </c>
      <c r="I41" s="1">
        <f t="shared" si="1"/>
        <v>505</v>
      </c>
      <c r="J41" s="1">
        <f t="shared" si="2"/>
        <v>48</v>
      </c>
      <c r="K41" s="1">
        <f t="shared" si="3"/>
        <v>14</v>
      </c>
      <c r="M41" s="4"/>
      <c r="N41" s="1" t="s">
        <v>1988</v>
      </c>
      <c r="O41" s="1">
        <f t="shared" ref="O41:Q41" si="26">O29*O$23</f>
        <v>112.5</v>
      </c>
      <c r="P41" s="1">
        <f t="shared" si="26"/>
        <v>0</v>
      </c>
      <c r="Q41" s="1">
        <f t="shared" si="26"/>
        <v>20</v>
      </c>
      <c r="R41" s="1"/>
      <c r="T41" s="1" t="s">
        <v>1868</v>
      </c>
      <c r="U41" s="1" t="s">
        <v>2060</v>
      </c>
      <c r="V41" s="3" t="s">
        <v>2061</v>
      </c>
      <c r="W41" s="1" t="str">
        <f t="shared" si="17"/>
        <v>100203;1200</v>
      </c>
      <c r="X41" s="4" t="s">
        <v>2062</v>
      </c>
      <c r="Y41" s="1" t="str">
        <f t="shared" si="18"/>
        <v>生命+1200</v>
      </c>
      <c r="Z41" s="1">
        <v>800</v>
      </c>
      <c r="AA41" s="1">
        <f t="shared" si="19"/>
        <v>1200</v>
      </c>
      <c r="AB41" s="1">
        <v>1200</v>
      </c>
      <c r="AC41" s="1"/>
      <c r="AD41" s="1" t="s">
        <v>2063</v>
      </c>
      <c r="AE41" s="7" t="s">
        <v>2064</v>
      </c>
      <c r="AF41" s="3" t="s">
        <v>2065</v>
      </c>
      <c r="AG41" s="3"/>
      <c r="AH41" s="3"/>
      <c r="AI41" s="3" t="s">
        <v>2066</v>
      </c>
      <c r="AJ41" s="5"/>
      <c r="AK41" s="3" t="str">
        <f t="shared" si="21"/>
        <v>史诗:灭裂之石</v>
      </c>
      <c r="AL41" s="5"/>
      <c r="AM41" s="5"/>
    </row>
    <row r="42" spans="1:39" ht="20.100000000000001" customHeight="1">
      <c r="A42" s="1">
        <v>41</v>
      </c>
      <c r="B42" s="1">
        <v>25.5</v>
      </c>
      <c r="C42" s="1">
        <v>25.5</v>
      </c>
      <c r="D42" s="1">
        <f>B42*总表!$D$4</f>
        <v>26775</v>
      </c>
      <c r="E42" s="1">
        <f>C42*总表!$E$4</f>
        <v>2550</v>
      </c>
      <c r="F42" s="1">
        <f>C42*总表!$F$4</f>
        <v>765</v>
      </c>
      <c r="G42" s="1">
        <v>4</v>
      </c>
      <c r="H42" s="1">
        <v>1</v>
      </c>
      <c r="I42" s="1">
        <f t="shared" si="1"/>
        <v>515</v>
      </c>
      <c r="J42" s="1">
        <f t="shared" si="2"/>
        <v>49</v>
      </c>
      <c r="K42" s="1">
        <f t="shared" si="3"/>
        <v>15</v>
      </c>
      <c r="M42" s="4"/>
      <c r="N42" s="1" t="s">
        <v>1995</v>
      </c>
      <c r="O42" s="1">
        <f t="shared" ref="O42:Q42" si="27">O30*O$23</f>
        <v>337.5</v>
      </c>
      <c r="P42" s="1">
        <f t="shared" si="27"/>
        <v>0</v>
      </c>
      <c r="Q42" s="1">
        <f t="shared" si="27"/>
        <v>0</v>
      </c>
      <c r="R42" s="1"/>
      <c r="T42" s="1" t="s">
        <v>1860</v>
      </c>
      <c r="U42" s="1" t="s">
        <v>1985</v>
      </c>
      <c r="V42" s="3" t="s">
        <v>2067</v>
      </c>
      <c r="AD42" s="1" t="s">
        <v>1861</v>
      </c>
      <c r="AE42" s="7" t="s">
        <v>2068</v>
      </c>
      <c r="AF42" s="3"/>
      <c r="AG42" s="3"/>
      <c r="AH42" s="3"/>
      <c r="AI42" s="3"/>
    </row>
    <row r="43" spans="1:39" ht="20.100000000000001" customHeight="1">
      <c r="A43" s="1">
        <v>42</v>
      </c>
      <c r="B43" s="1">
        <v>26</v>
      </c>
      <c r="C43" s="1">
        <v>26</v>
      </c>
      <c r="D43" s="1">
        <f>B43*总表!$D$4</f>
        <v>27300</v>
      </c>
      <c r="E43" s="1">
        <f>C43*总表!$E$4</f>
        <v>2600</v>
      </c>
      <c r="F43" s="1">
        <f>C43*总表!$F$4</f>
        <v>780</v>
      </c>
      <c r="G43" s="1">
        <v>4</v>
      </c>
      <c r="H43" s="1">
        <v>1</v>
      </c>
      <c r="I43" s="1">
        <f t="shared" si="1"/>
        <v>525</v>
      </c>
      <c r="J43" s="1">
        <f t="shared" si="2"/>
        <v>50</v>
      </c>
      <c r="K43" s="1">
        <f t="shared" si="3"/>
        <v>15</v>
      </c>
      <c r="M43" s="4"/>
      <c r="N43" s="1"/>
      <c r="O43" s="1"/>
      <c r="P43" s="1"/>
      <c r="Q43" s="1"/>
      <c r="R43" s="1"/>
      <c r="T43" s="1" t="s">
        <v>1853</v>
      </c>
      <c r="U43" s="1" t="s">
        <v>2069</v>
      </c>
      <c r="V43" s="3" t="s">
        <v>2070</v>
      </c>
      <c r="W43" s="1" t="str">
        <f>"100203;"&amp;AA43&amp;"@100603:"&amp;AC43</f>
        <v>100203;75@100603:15</v>
      </c>
      <c r="X43" s="4" t="s">
        <v>2071</v>
      </c>
      <c r="Y43" s="3" t="str">
        <f>"生命+"&amp;AA43&amp;"  物理防御+"&amp;AC43</f>
        <v>生命+75  物理防御+15</v>
      </c>
      <c r="Z43" s="1">
        <v>50</v>
      </c>
      <c r="AA43" s="1">
        <f>ROUND(Z43*1.5,0)</f>
        <v>75</v>
      </c>
      <c r="AB43" s="1">
        <v>10</v>
      </c>
      <c r="AC43" s="1">
        <v>15</v>
      </c>
      <c r="AD43" s="1" t="s">
        <v>2072</v>
      </c>
      <c r="AE43" s="7" t="s">
        <v>2073</v>
      </c>
      <c r="AF43" s="25" t="s">
        <v>2074</v>
      </c>
      <c r="AG43" s="3"/>
      <c r="AH43" s="3"/>
      <c r="AI43" s="3"/>
    </row>
    <row r="44" spans="1:39" ht="20.100000000000001" customHeight="1">
      <c r="A44" s="1">
        <v>43</v>
      </c>
      <c r="B44" s="1">
        <v>26.5</v>
      </c>
      <c r="C44" s="1">
        <v>26.5</v>
      </c>
      <c r="D44" s="1">
        <f>B44*总表!$D$4</f>
        <v>27825</v>
      </c>
      <c r="E44" s="1">
        <f>C44*总表!$E$4</f>
        <v>2650</v>
      </c>
      <c r="F44" s="1">
        <f>C44*总表!$F$4</f>
        <v>795</v>
      </c>
      <c r="G44" s="1">
        <v>4</v>
      </c>
      <c r="H44" s="1">
        <v>1</v>
      </c>
      <c r="I44" s="1">
        <f t="shared" si="1"/>
        <v>535</v>
      </c>
      <c r="J44" s="1">
        <f t="shared" si="2"/>
        <v>51</v>
      </c>
      <c r="K44" s="1">
        <f t="shared" si="3"/>
        <v>15</v>
      </c>
      <c r="M44" s="4" t="s">
        <v>2075</v>
      </c>
      <c r="N44" s="1" t="s">
        <v>1981</v>
      </c>
      <c r="O44" s="1">
        <f t="shared" ref="O44:Q44" si="28">O28*O$24</f>
        <v>0</v>
      </c>
      <c r="P44" s="1">
        <f t="shared" si="28"/>
        <v>50</v>
      </c>
      <c r="Q44" s="1">
        <f t="shared" si="28"/>
        <v>0</v>
      </c>
      <c r="R44" s="1"/>
      <c r="T44" s="1" t="s">
        <v>1868</v>
      </c>
      <c r="U44" s="1" t="s">
        <v>2076</v>
      </c>
      <c r="V44" s="3" t="s">
        <v>2077</v>
      </c>
      <c r="W44" s="1" t="str">
        <f t="shared" ref="W44:W52" si="29">"100203;"&amp;AA44&amp;"@100603:"&amp;AC44</f>
        <v>100203;113@100603:21</v>
      </c>
      <c r="X44" s="4" t="s">
        <v>2078</v>
      </c>
      <c r="Y44" s="3" t="str">
        <f t="shared" ref="Y44:Y52" si="30">"生命+"&amp;AA44&amp;"  物理防御+"&amp;AC44</f>
        <v>生命+113  物理防御+21</v>
      </c>
      <c r="Z44" s="1">
        <v>75</v>
      </c>
      <c r="AA44" s="1">
        <f t="shared" ref="AA44:AA52" si="31">ROUND(Z44*1.5,0)</f>
        <v>113</v>
      </c>
      <c r="AB44" s="1">
        <v>15</v>
      </c>
      <c r="AC44" s="1">
        <v>21</v>
      </c>
      <c r="AD44" s="1" t="s">
        <v>2079</v>
      </c>
      <c r="AE44" s="7" t="s">
        <v>2080</v>
      </c>
      <c r="AF44" s="3"/>
      <c r="AG44" s="3"/>
      <c r="AH44" s="3"/>
      <c r="AI44" s="3"/>
    </row>
    <row r="45" spans="1:39" ht="20.100000000000001" customHeight="1">
      <c r="A45" s="1">
        <v>44</v>
      </c>
      <c r="B45" s="1">
        <v>27</v>
      </c>
      <c r="C45" s="1">
        <v>27</v>
      </c>
      <c r="D45" s="1">
        <f>B45*总表!$D$4</f>
        <v>28350</v>
      </c>
      <c r="E45" s="1">
        <f>C45*总表!$E$4</f>
        <v>2700</v>
      </c>
      <c r="F45" s="1">
        <f>C45*总表!$F$4</f>
        <v>810</v>
      </c>
      <c r="G45" s="1">
        <v>4</v>
      </c>
      <c r="H45" s="1">
        <v>1</v>
      </c>
      <c r="I45" s="1">
        <f t="shared" si="1"/>
        <v>545</v>
      </c>
      <c r="J45" s="1">
        <f t="shared" si="2"/>
        <v>52</v>
      </c>
      <c r="K45" s="1">
        <f t="shared" si="3"/>
        <v>16</v>
      </c>
      <c r="M45" s="4"/>
      <c r="N45" s="1" t="s">
        <v>1988</v>
      </c>
      <c r="O45" s="1">
        <f t="shared" ref="O45:Q45" si="32">O29*O$24</f>
        <v>150</v>
      </c>
      <c r="P45" s="1">
        <f t="shared" si="32"/>
        <v>0</v>
      </c>
      <c r="Q45" s="1">
        <f t="shared" si="32"/>
        <v>25</v>
      </c>
      <c r="R45" s="1"/>
      <c r="T45" s="1" t="s">
        <v>1845</v>
      </c>
      <c r="U45" s="1" t="s">
        <v>1998</v>
      </c>
      <c r="V45" s="3" t="s">
        <v>2081</v>
      </c>
      <c r="W45" s="1" t="str">
        <f t="shared" si="29"/>
        <v>100203;150@100603:28</v>
      </c>
      <c r="X45" s="4" t="s">
        <v>2082</v>
      </c>
      <c r="Y45" s="3" t="str">
        <f t="shared" si="30"/>
        <v>生命+150  物理防御+28</v>
      </c>
      <c r="Z45" s="1">
        <v>100</v>
      </c>
      <c r="AA45" s="1">
        <f t="shared" si="31"/>
        <v>150</v>
      </c>
      <c r="AB45" s="1">
        <v>20</v>
      </c>
      <c r="AC45" s="1">
        <v>28</v>
      </c>
      <c r="AD45" s="1" t="s">
        <v>2053</v>
      </c>
      <c r="AE45" s="7" t="s">
        <v>2083</v>
      </c>
    </row>
    <row r="46" spans="1:39" ht="20.100000000000001" customHeight="1">
      <c r="A46" s="1">
        <v>45</v>
      </c>
      <c r="B46" s="1">
        <v>27.5</v>
      </c>
      <c r="C46" s="1">
        <v>27.5</v>
      </c>
      <c r="D46" s="1">
        <f>B46*总表!$D$4</f>
        <v>28875</v>
      </c>
      <c r="E46" s="1">
        <f>C46*总表!$E$4</f>
        <v>2750</v>
      </c>
      <c r="F46" s="1">
        <f>C46*总表!$F$4</f>
        <v>825</v>
      </c>
      <c r="G46" s="1">
        <v>4</v>
      </c>
      <c r="H46" s="1">
        <v>1</v>
      </c>
      <c r="I46" s="1">
        <f t="shared" si="1"/>
        <v>555</v>
      </c>
      <c r="J46" s="1">
        <f t="shared" si="2"/>
        <v>53</v>
      </c>
      <c r="K46" s="1">
        <f t="shared" si="3"/>
        <v>16</v>
      </c>
      <c r="M46" s="1"/>
      <c r="N46" s="1" t="s">
        <v>1995</v>
      </c>
      <c r="O46" s="1">
        <f t="shared" ref="O46:Q46" si="33">O30*O$24</f>
        <v>450</v>
      </c>
      <c r="P46" s="1">
        <f t="shared" si="33"/>
        <v>0</v>
      </c>
      <c r="Q46" s="1">
        <f t="shared" si="33"/>
        <v>0</v>
      </c>
      <c r="R46" s="1"/>
      <c r="T46" s="1" t="s">
        <v>1860</v>
      </c>
      <c r="U46" s="1" t="s">
        <v>1910</v>
      </c>
      <c r="V46" s="3" t="s">
        <v>2084</v>
      </c>
      <c r="W46" s="1" t="str">
        <f t="shared" si="29"/>
        <v>100203;188@100603:36</v>
      </c>
      <c r="X46" s="4" t="s">
        <v>2085</v>
      </c>
      <c r="Y46" s="3" t="str">
        <f t="shared" si="30"/>
        <v>生命+188  物理防御+36</v>
      </c>
      <c r="Z46" s="1">
        <v>125</v>
      </c>
      <c r="AA46" s="1">
        <f t="shared" si="31"/>
        <v>188</v>
      </c>
      <c r="AB46" s="1">
        <v>25</v>
      </c>
      <c r="AC46" s="1">
        <v>36</v>
      </c>
      <c r="AD46" s="1" t="s">
        <v>2086</v>
      </c>
      <c r="AE46" s="7" t="s">
        <v>2087</v>
      </c>
    </row>
    <row r="47" spans="1:39" ht="20.100000000000001" customHeight="1">
      <c r="A47" s="1">
        <v>46</v>
      </c>
      <c r="B47" s="1">
        <v>28</v>
      </c>
      <c r="C47" s="1">
        <v>28</v>
      </c>
      <c r="D47" s="1">
        <f>B47*总表!$D$4</f>
        <v>29400</v>
      </c>
      <c r="E47" s="1">
        <f>C47*总表!$E$4</f>
        <v>2800</v>
      </c>
      <c r="F47" s="1">
        <f>C47*总表!$F$4</f>
        <v>840</v>
      </c>
      <c r="G47" s="1">
        <v>4</v>
      </c>
      <c r="H47" s="1">
        <v>1</v>
      </c>
      <c r="I47" s="1">
        <f t="shared" si="1"/>
        <v>565</v>
      </c>
      <c r="J47" s="1">
        <f t="shared" si="2"/>
        <v>54</v>
      </c>
      <c r="K47" s="1">
        <f t="shared" si="3"/>
        <v>16</v>
      </c>
      <c r="M47" s="1"/>
      <c r="N47" s="1"/>
      <c r="O47" s="1"/>
      <c r="P47" s="1"/>
      <c r="Q47" s="1"/>
      <c r="R47" s="1"/>
      <c r="T47" s="1" t="s">
        <v>1853</v>
      </c>
      <c r="U47" s="1" t="s">
        <v>1915</v>
      </c>
      <c r="V47" s="3" t="s">
        <v>2088</v>
      </c>
      <c r="W47" s="1" t="str">
        <f t="shared" si="29"/>
        <v>100203;225@100603:45</v>
      </c>
      <c r="X47" s="4" t="s">
        <v>2089</v>
      </c>
      <c r="Y47" s="3" t="str">
        <f t="shared" si="30"/>
        <v>生命+225  物理防御+45</v>
      </c>
      <c r="Z47" s="1">
        <v>150</v>
      </c>
      <c r="AA47" s="1">
        <f t="shared" si="31"/>
        <v>225</v>
      </c>
      <c r="AB47" s="1">
        <v>30</v>
      </c>
      <c r="AC47" s="1">
        <v>45</v>
      </c>
      <c r="AD47" s="1" t="s">
        <v>2090</v>
      </c>
      <c r="AE47" s="7" t="s">
        <v>2091</v>
      </c>
    </row>
    <row r="48" spans="1:39" ht="20.100000000000001" customHeight="1">
      <c r="A48" s="1">
        <v>47</v>
      </c>
      <c r="B48" s="1">
        <v>28.5</v>
      </c>
      <c r="C48" s="1">
        <v>28.5</v>
      </c>
      <c r="D48" s="1">
        <f>B48*总表!$D$4</f>
        <v>29925</v>
      </c>
      <c r="E48" s="1">
        <f>C48*总表!$E$4</f>
        <v>2850</v>
      </c>
      <c r="F48" s="1">
        <f>C48*总表!$F$4</f>
        <v>855</v>
      </c>
      <c r="G48" s="1">
        <v>4</v>
      </c>
      <c r="H48" s="1">
        <v>1</v>
      </c>
      <c r="I48" s="1">
        <f t="shared" si="1"/>
        <v>575</v>
      </c>
      <c r="J48" s="1">
        <f t="shared" si="2"/>
        <v>55</v>
      </c>
      <c r="K48" s="1">
        <f t="shared" si="3"/>
        <v>16</v>
      </c>
      <c r="S48" s="1"/>
      <c r="T48" s="1" t="s">
        <v>1845</v>
      </c>
      <c r="U48" s="1" t="s">
        <v>2092</v>
      </c>
      <c r="V48" s="7" t="s">
        <v>2093</v>
      </c>
      <c r="W48" s="1" t="str">
        <f t="shared" si="29"/>
        <v>100203;300@100603:60</v>
      </c>
      <c r="X48" s="4" t="s">
        <v>2094</v>
      </c>
      <c r="Y48" s="3" t="str">
        <f t="shared" si="30"/>
        <v>生命+300  物理防御+60</v>
      </c>
      <c r="Z48" s="1">
        <v>200</v>
      </c>
      <c r="AA48" s="1">
        <f t="shared" si="31"/>
        <v>300</v>
      </c>
      <c r="AB48" s="1">
        <v>40</v>
      </c>
      <c r="AC48" s="1">
        <v>60</v>
      </c>
      <c r="AD48" s="1" t="s">
        <v>1869</v>
      </c>
      <c r="AE48" s="7" t="s">
        <v>2095</v>
      </c>
    </row>
    <row r="49" spans="1:31" ht="20.100000000000001" customHeight="1">
      <c r="A49" s="1">
        <v>48</v>
      </c>
      <c r="B49" s="1">
        <v>29</v>
      </c>
      <c r="C49" s="1">
        <v>29</v>
      </c>
      <c r="D49" s="1">
        <f>B49*总表!$D$4</f>
        <v>30450</v>
      </c>
      <c r="E49" s="1">
        <f>C49*总表!$E$4</f>
        <v>2900</v>
      </c>
      <c r="F49" s="1">
        <f>C49*总表!$F$4</f>
        <v>870</v>
      </c>
      <c r="G49" s="1">
        <v>4</v>
      </c>
      <c r="H49" s="1">
        <v>1</v>
      </c>
      <c r="I49" s="1">
        <f t="shared" si="1"/>
        <v>586</v>
      </c>
      <c r="J49" s="1">
        <f t="shared" si="2"/>
        <v>56</v>
      </c>
      <c r="K49" s="1">
        <f t="shared" si="3"/>
        <v>17</v>
      </c>
      <c r="M49" s="4" t="s">
        <v>2096</v>
      </c>
      <c r="N49" s="1" t="s">
        <v>1981</v>
      </c>
      <c r="O49" s="1">
        <f t="shared" ref="O49:Q49" si="34">O28*O$23</f>
        <v>0</v>
      </c>
      <c r="P49" s="1">
        <f t="shared" si="34"/>
        <v>40</v>
      </c>
      <c r="Q49" s="1">
        <f t="shared" si="34"/>
        <v>0</v>
      </c>
      <c r="R49" s="1"/>
      <c r="S49" s="5"/>
      <c r="T49" s="1" t="s">
        <v>1868</v>
      </c>
      <c r="U49" s="1" t="s">
        <v>2097</v>
      </c>
      <c r="V49" s="3" t="s">
        <v>2098</v>
      </c>
      <c r="W49" s="1" t="str">
        <f t="shared" si="29"/>
        <v>100203;375@100603:75</v>
      </c>
      <c r="X49" s="4" t="s">
        <v>2099</v>
      </c>
      <c r="Y49" s="3" t="str">
        <f t="shared" si="30"/>
        <v>生命+375  物理防御+75</v>
      </c>
      <c r="Z49" s="1">
        <v>250</v>
      </c>
      <c r="AA49" s="1">
        <f t="shared" si="31"/>
        <v>375</v>
      </c>
      <c r="AB49" s="1">
        <v>50</v>
      </c>
      <c r="AC49" s="1">
        <v>75</v>
      </c>
    </row>
    <row r="50" spans="1:31" ht="20.100000000000001" customHeight="1">
      <c r="A50" s="1">
        <v>49</v>
      </c>
      <c r="B50" s="1">
        <v>29.5</v>
      </c>
      <c r="C50" s="1">
        <v>29.5</v>
      </c>
      <c r="D50" s="1">
        <f>B50*总表!$D$4</f>
        <v>30975</v>
      </c>
      <c r="E50" s="1">
        <f>C50*总表!$E$4</f>
        <v>2950</v>
      </c>
      <c r="F50" s="1">
        <f>C50*总表!$F$4</f>
        <v>885</v>
      </c>
      <c r="G50" s="1">
        <v>4</v>
      </c>
      <c r="H50" s="1">
        <v>1</v>
      </c>
      <c r="I50" s="1">
        <f t="shared" si="1"/>
        <v>596</v>
      </c>
      <c r="J50" s="1">
        <f t="shared" si="2"/>
        <v>57</v>
      </c>
      <c r="K50" s="1">
        <f t="shared" si="3"/>
        <v>17</v>
      </c>
      <c r="M50" s="4" t="s">
        <v>2100</v>
      </c>
      <c r="N50" s="1" t="s">
        <v>1988</v>
      </c>
      <c r="O50" s="1">
        <v>120</v>
      </c>
      <c r="P50" s="1">
        <f t="shared" ref="P50:P51" si="35">P29*P$23</f>
        <v>0</v>
      </c>
      <c r="Q50" s="1">
        <f t="shared" ref="Q50" si="36">Q29*Q$23</f>
        <v>20</v>
      </c>
      <c r="R50" s="1"/>
      <c r="T50" s="1" t="s">
        <v>1860</v>
      </c>
      <c r="U50" s="1" t="s">
        <v>2101</v>
      </c>
      <c r="V50" s="7" t="s">
        <v>2102</v>
      </c>
      <c r="W50" s="1" t="str">
        <f t="shared" si="29"/>
        <v>100203;450@100603:90</v>
      </c>
      <c r="X50" s="4" t="s">
        <v>2103</v>
      </c>
      <c r="Y50" s="3" t="str">
        <f t="shared" si="30"/>
        <v>生命+450  物理防御+90</v>
      </c>
      <c r="Z50" s="1">
        <v>300</v>
      </c>
      <c r="AA50" s="1">
        <f t="shared" si="31"/>
        <v>450</v>
      </c>
      <c r="AB50" s="1">
        <v>60</v>
      </c>
      <c r="AC50" s="1">
        <v>90</v>
      </c>
      <c r="AD50" s="1" t="s">
        <v>2104</v>
      </c>
      <c r="AE50" s="7" t="s">
        <v>2105</v>
      </c>
    </row>
    <row r="51" spans="1:31" ht="20.100000000000001" customHeight="1">
      <c r="A51" s="1">
        <v>50</v>
      </c>
      <c r="B51" s="1">
        <v>30</v>
      </c>
      <c r="C51" s="1">
        <v>30</v>
      </c>
      <c r="D51" s="1">
        <f>B51*总表!$D$4</f>
        <v>31500</v>
      </c>
      <c r="E51" s="1">
        <f>C51*总表!$E$4</f>
        <v>3000</v>
      </c>
      <c r="F51" s="1">
        <f>C51*总表!$F$4</f>
        <v>900</v>
      </c>
      <c r="G51" s="1">
        <v>4</v>
      </c>
      <c r="H51" s="1">
        <v>1</v>
      </c>
      <c r="I51" s="1">
        <f t="shared" si="1"/>
        <v>606</v>
      </c>
      <c r="J51" s="1">
        <f t="shared" si="2"/>
        <v>58</v>
      </c>
      <c r="K51" s="1">
        <f t="shared" si="3"/>
        <v>17</v>
      </c>
      <c r="N51" s="1" t="s">
        <v>1995</v>
      </c>
      <c r="O51" s="1">
        <v>320</v>
      </c>
      <c r="P51" s="1">
        <f t="shared" si="35"/>
        <v>0</v>
      </c>
      <c r="Q51" s="1">
        <f t="shared" ref="Q51" si="37">Q30*Q$23</f>
        <v>0</v>
      </c>
      <c r="R51" s="1"/>
      <c r="W51" s="1" t="str">
        <f t="shared" si="29"/>
        <v>100203;525@100603:105</v>
      </c>
      <c r="X51" s="4" t="s">
        <v>2106</v>
      </c>
      <c r="Y51" s="3" t="str">
        <f t="shared" si="30"/>
        <v>生命+525  物理防御+105</v>
      </c>
      <c r="Z51" s="1">
        <v>350</v>
      </c>
      <c r="AA51" s="1">
        <f t="shared" si="31"/>
        <v>525</v>
      </c>
      <c r="AB51" s="1">
        <v>70</v>
      </c>
      <c r="AC51" s="1">
        <v>105</v>
      </c>
      <c r="AD51" s="1" t="s">
        <v>2107</v>
      </c>
      <c r="AE51" s="7" t="s">
        <v>2108</v>
      </c>
    </row>
    <row r="52" spans="1:31" ht="20.100000000000001" customHeight="1">
      <c r="A52" s="1">
        <v>51</v>
      </c>
      <c r="B52" s="1">
        <v>30</v>
      </c>
      <c r="C52" s="1">
        <v>30</v>
      </c>
      <c r="D52" s="1">
        <f>B52*总表!$D$4</f>
        <v>31500</v>
      </c>
      <c r="E52" s="1">
        <f>C52*总表!$E$4</f>
        <v>3000</v>
      </c>
      <c r="F52" s="1">
        <f>C52*总表!$F$4</f>
        <v>900</v>
      </c>
      <c r="G52" s="1">
        <v>4</v>
      </c>
      <c r="H52" s="1">
        <v>1</v>
      </c>
      <c r="I52" s="1">
        <f t="shared" si="1"/>
        <v>606</v>
      </c>
      <c r="J52" s="1">
        <f t="shared" si="2"/>
        <v>58</v>
      </c>
      <c r="K52" s="1">
        <f t="shared" si="3"/>
        <v>17</v>
      </c>
      <c r="W52" s="1" t="str">
        <f t="shared" si="29"/>
        <v>100203;600@100603:120</v>
      </c>
      <c r="X52" s="4" t="s">
        <v>2109</v>
      </c>
      <c r="Y52" s="3" t="str">
        <f t="shared" si="30"/>
        <v>生命+600  物理防御+120</v>
      </c>
      <c r="Z52" s="1">
        <v>400</v>
      </c>
      <c r="AA52" s="1">
        <f t="shared" si="31"/>
        <v>600</v>
      </c>
      <c r="AB52" s="1">
        <v>80</v>
      </c>
      <c r="AC52" s="1">
        <v>120</v>
      </c>
      <c r="AD52" s="1" t="s">
        <v>2110</v>
      </c>
      <c r="AE52" s="7" t="s">
        <v>2111</v>
      </c>
    </row>
    <row r="53" spans="1:31" ht="20.100000000000001" customHeight="1">
      <c r="A53" s="1">
        <v>52</v>
      </c>
      <c r="B53" s="1">
        <v>30</v>
      </c>
      <c r="C53" s="1">
        <v>30</v>
      </c>
      <c r="D53" s="1">
        <f>B53*总表!$D$4</f>
        <v>31500</v>
      </c>
      <c r="E53" s="1">
        <f>C53*总表!$E$4</f>
        <v>3000</v>
      </c>
      <c r="F53" s="1">
        <f>C53*总表!$F$4</f>
        <v>900</v>
      </c>
      <c r="G53" s="1">
        <v>4</v>
      </c>
      <c r="H53" s="1">
        <v>1</v>
      </c>
      <c r="I53" s="1">
        <f t="shared" si="1"/>
        <v>606</v>
      </c>
      <c r="J53" s="1">
        <f t="shared" si="2"/>
        <v>58</v>
      </c>
      <c r="K53" s="1">
        <f t="shared" si="3"/>
        <v>17</v>
      </c>
      <c r="S53" s="5"/>
      <c r="T53" s="1" t="s">
        <v>1878</v>
      </c>
      <c r="U53" s="4" t="s">
        <v>1879</v>
      </c>
      <c r="V53" s="5"/>
      <c r="AD53" s="1" t="s">
        <v>2112</v>
      </c>
      <c r="AE53" s="7" t="s">
        <v>2113</v>
      </c>
    </row>
    <row r="54" spans="1:31" ht="20.100000000000001" customHeight="1">
      <c r="A54" s="1">
        <v>53</v>
      </c>
      <c r="B54" s="1">
        <v>30</v>
      </c>
      <c r="C54" s="1">
        <v>30</v>
      </c>
      <c r="D54" s="1">
        <f>B54*总表!$D$4</f>
        <v>31500</v>
      </c>
      <c r="E54" s="1">
        <f>C54*总表!$E$4</f>
        <v>3000</v>
      </c>
      <c r="F54" s="1">
        <f>C54*总表!$F$4</f>
        <v>900</v>
      </c>
      <c r="G54" s="1">
        <v>4</v>
      </c>
      <c r="H54" s="1">
        <v>1</v>
      </c>
      <c r="I54" s="1">
        <f t="shared" si="1"/>
        <v>606</v>
      </c>
      <c r="J54" s="1">
        <f t="shared" si="2"/>
        <v>58</v>
      </c>
      <c r="K54" s="1">
        <f t="shared" si="3"/>
        <v>17</v>
      </c>
      <c r="S54" s="1" t="s">
        <v>1347</v>
      </c>
      <c r="T54" s="1" t="s">
        <v>1853</v>
      </c>
      <c r="U54" s="1" t="s">
        <v>2114</v>
      </c>
      <c r="V54" s="7" t="s">
        <v>2115</v>
      </c>
      <c r="W54" s="1" t="str">
        <f>"100203;"&amp;AA54&amp;"@100803:"&amp;AC54</f>
        <v>100203;75@100803:15</v>
      </c>
      <c r="X54" s="4" t="s">
        <v>2116</v>
      </c>
      <c r="Y54" s="3" t="str">
        <f>"生命+"&amp;AA54&amp;"  魔法防御+"&amp;AC54</f>
        <v>生命+75  魔法防御+15</v>
      </c>
      <c r="Z54" s="1">
        <v>50</v>
      </c>
      <c r="AA54" s="1">
        <f>ROUND(Z54*1.5,0)</f>
        <v>75</v>
      </c>
      <c r="AB54" s="1">
        <v>10</v>
      </c>
      <c r="AC54" s="1">
        <v>15</v>
      </c>
      <c r="AD54" s="1" t="s">
        <v>2117</v>
      </c>
      <c r="AE54" s="7" t="s">
        <v>2118</v>
      </c>
    </row>
    <row r="55" spans="1:31" ht="20.100000000000001" customHeight="1">
      <c r="A55" s="1">
        <v>54</v>
      </c>
      <c r="B55" s="1">
        <v>30</v>
      </c>
      <c r="C55" s="1">
        <v>30</v>
      </c>
      <c r="D55" s="1">
        <f>B55*总表!$D$4</f>
        <v>31500</v>
      </c>
      <c r="E55" s="1">
        <f>C55*总表!$E$4</f>
        <v>3000</v>
      </c>
      <c r="F55" s="1">
        <f>C55*总表!$F$4</f>
        <v>900</v>
      </c>
      <c r="G55" s="1">
        <v>4</v>
      </c>
      <c r="H55" s="1">
        <v>1</v>
      </c>
      <c r="I55" s="1">
        <f t="shared" si="1"/>
        <v>606</v>
      </c>
      <c r="J55" s="1">
        <f t="shared" si="2"/>
        <v>58</v>
      </c>
      <c r="K55" s="1">
        <f t="shared" si="3"/>
        <v>17</v>
      </c>
      <c r="S55" s="5"/>
      <c r="T55" s="1" t="s">
        <v>1845</v>
      </c>
      <c r="U55" s="1" t="s">
        <v>1869</v>
      </c>
      <c r="V55" s="7" t="s">
        <v>2119</v>
      </c>
      <c r="W55" s="1" t="str">
        <f t="shared" ref="W55:W63" si="38">"100203;"&amp;AA55&amp;"@100803:"&amp;AC55</f>
        <v>100203;113@100803:21</v>
      </c>
      <c r="X55" s="4" t="s">
        <v>2120</v>
      </c>
      <c r="Y55" s="3" t="str">
        <f t="shared" ref="Y55:Y63" si="39">"生命+"&amp;AA55&amp;"  魔法防御+"&amp;AC55</f>
        <v>生命+113  魔法防御+21</v>
      </c>
      <c r="Z55" s="1">
        <v>75</v>
      </c>
      <c r="AA55" s="1">
        <f t="shared" ref="AA55:AA63" si="40">ROUND(Z55*1.5,0)</f>
        <v>113</v>
      </c>
      <c r="AB55" s="1">
        <v>15</v>
      </c>
      <c r="AC55" s="1">
        <v>21</v>
      </c>
      <c r="AD55" s="1" t="s">
        <v>2121</v>
      </c>
      <c r="AE55" s="7" t="s">
        <v>2122</v>
      </c>
    </row>
    <row r="56" spans="1:31" ht="20.100000000000001" customHeight="1">
      <c r="A56" s="1">
        <v>55</v>
      </c>
      <c r="B56" s="1">
        <v>30</v>
      </c>
      <c r="C56" s="1">
        <v>30</v>
      </c>
      <c r="D56" s="1">
        <f>B56*总表!$D$4</f>
        <v>31500</v>
      </c>
      <c r="E56" s="1">
        <f>C56*总表!$E$4</f>
        <v>3000</v>
      </c>
      <c r="F56" s="1">
        <f>C56*总表!$F$4</f>
        <v>900</v>
      </c>
      <c r="G56" s="1">
        <v>4</v>
      </c>
      <c r="H56" s="1">
        <v>1</v>
      </c>
      <c r="I56" s="1">
        <f t="shared" si="1"/>
        <v>606</v>
      </c>
      <c r="J56" s="1">
        <f t="shared" si="2"/>
        <v>58</v>
      </c>
      <c r="K56" s="1">
        <f t="shared" si="3"/>
        <v>17</v>
      </c>
      <c r="T56" s="1" t="s">
        <v>1868</v>
      </c>
      <c r="U56" s="1" t="s">
        <v>2123</v>
      </c>
      <c r="V56" s="3" t="s">
        <v>2124</v>
      </c>
      <c r="W56" s="1" t="str">
        <f t="shared" si="38"/>
        <v>100203;150@100803:28</v>
      </c>
      <c r="X56" s="4" t="s">
        <v>2125</v>
      </c>
      <c r="Y56" s="3" t="str">
        <f t="shared" si="39"/>
        <v>生命+150  魔法防御+28</v>
      </c>
      <c r="Z56" s="1">
        <v>100</v>
      </c>
      <c r="AA56" s="1">
        <f t="shared" si="40"/>
        <v>150</v>
      </c>
      <c r="AB56" s="1">
        <v>20</v>
      </c>
      <c r="AC56" s="1">
        <v>28</v>
      </c>
      <c r="AD56" s="1" t="s">
        <v>2126</v>
      </c>
      <c r="AE56" s="7" t="s">
        <v>2127</v>
      </c>
    </row>
    <row r="57" spans="1:31" ht="20.100000000000001" customHeight="1">
      <c r="A57" s="1">
        <v>56</v>
      </c>
      <c r="B57" s="1">
        <v>30</v>
      </c>
      <c r="C57" s="1">
        <v>30</v>
      </c>
      <c r="D57" s="1">
        <f>B57*总表!$D$4</f>
        <v>31500</v>
      </c>
      <c r="E57" s="1">
        <f>C57*总表!$E$4</f>
        <v>3000</v>
      </c>
      <c r="F57" s="1">
        <f>C57*总表!$F$4</f>
        <v>900</v>
      </c>
      <c r="G57" s="1">
        <v>4</v>
      </c>
      <c r="H57" s="1">
        <v>1</v>
      </c>
      <c r="I57" s="1">
        <f t="shared" si="1"/>
        <v>606</v>
      </c>
      <c r="J57" s="1">
        <f t="shared" si="2"/>
        <v>58</v>
      </c>
      <c r="K57" s="1">
        <f t="shared" si="3"/>
        <v>17</v>
      </c>
      <c r="T57" s="1" t="s">
        <v>1860</v>
      </c>
      <c r="U57" s="1" t="s">
        <v>2009</v>
      </c>
      <c r="V57" s="3" t="s">
        <v>2128</v>
      </c>
      <c r="W57" s="1" t="str">
        <f t="shared" si="38"/>
        <v>100203;188@100803:36</v>
      </c>
      <c r="X57" s="4" t="s">
        <v>2129</v>
      </c>
      <c r="Y57" s="3" t="str">
        <f t="shared" si="39"/>
        <v>生命+188  魔法防御+36</v>
      </c>
      <c r="Z57" s="1">
        <v>125</v>
      </c>
      <c r="AA57" s="1">
        <f t="shared" si="40"/>
        <v>188</v>
      </c>
      <c r="AB57" s="1">
        <v>25</v>
      </c>
      <c r="AC57" s="1">
        <v>36</v>
      </c>
      <c r="AD57" s="1" t="s">
        <v>2130</v>
      </c>
      <c r="AE57" s="7" t="s">
        <v>2131</v>
      </c>
    </row>
    <row r="58" spans="1:31" ht="20.100000000000001" customHeight="1">
      <c r="A58" s="1">
        <v>57</v>
      </c>
      <c r="B58" s="1">
        <v>30</v>
      </c>
      <c r="C58" s="1">
        <v>30</v>
      </c>
      <c r="D58" s="1">
        <f>B58*总表!$D$4</f>
        <v>31500</v>
      </c>
      <c r="E58" s="1">
        <f>C58*总表!$E$4</f>
        <v>3000</v>
      </c>
      <c r="F58" s="1">
        <f>C58*总表!$F$4</f>
        <v>900</v>
      </c>
      <c r="G58" s="1">
        <v>4</v>
      </c>
      <c r="H58" s="1">
        <v>1</v>
      </c>
      <c r="I58" s="1">
        <f t="shared" si="1"/>
        <v>606</v>
      </c>
      <c r="J58" s="1">
        <f t="shared" si="2"/>
        <v>58</v>
      </c>
      <c r="K58" s="1">
        <f t="shared" si="3"/>
        <v>17</v>
      </c>
      <c r="T58" s="1" t="s">
        <v>1853</v>
      </c>
      <c r="U58" s="1" t="s">
        <v>2132</v>
      </c>
      <c r="V58" s="3" t="s">
        <v>2133</v>
      </c>
      <c r="W58" s="1" t="str">
        <f t="shared" si="38"/>
        <v>100203;225@100803:45</v>
      </c>
      <c r="X58" s="4" t="s">
        <v>2134</v>
      </c>
      <c r="Y58" s="3" t="str">
        <f t="shared" si="39"/>
        <v>生命+225  魔法防御+45</v>
      </c>
      <c r="Z58" s="1">
        <v>150</v>
      </c>
      <c r="AA58" s="1">
        <f t="shared" si="40"/>
        <v>225</v>
      </c>
      <c r="AB58" s="1">
        <v>30</v>
      </c>
      <c r="AC58" s="1">
        <v>45</v>
      </c>
      <c r="AD58" s="1" t="s">
        <v>2135</v>
      </c>
      <c r="AE58" s="7" t="s">
        <v>2136</v>
      </c>
    </row>
    <row r="59" spans="1:31" ht="20.100000000000001" customHeight="1">
      <c r="A59" s="1">
        <v>58</v>
      </c>
      <c r="B59" s="1">
        <v>30</v>
      </c>
      <c r="C59" s="1">
        <v>30</v>
      </c>
      <c r="D59" s="1">
        <f>B59*总表!$D$4</f>
        <v>31500</v>
      </c>
      <c r="E59" s="1">
        <f>C59*总表!$E$4</f>
        <v>3000</v>
      </c>
      <c r="F59" s="1">
        <f>C59*总表!$F$4</f>
        <v>900</v>
      </c>
      <c r="G59" s="1">
        <v>4</v>
      </c>
      <c r="H59" s="1">
        <v>1</v>
      </c>
      <c r="I59" s="1">
        <f t="shared" si="1"/>
        <v>606</v>
      </c>
      <c r="J59" s="1">
        <f t="shared" si="2"/>
        <v>58</v>
      </c>
      <c r="K59" s="1">
        <f t="shared" si="3"/>
        <v>17</v>
      </c>
      <c r="T59" s="1" t="s">
        <v>1868</v>
      </c>
      <c r="U59" s="1" t="s">
        <v>2137</v>
      </c>
      <c r="V59" s="3" t="s">
        <v>2138</v>
      </c>
      <c r="W59" s="1" t="str">
        <f t="shared" si="38"/>
        <v>100203;300@100803:60</v>
      </c>
      <c r="X59" s="4" t="s">
        <v>2139</v>
      </c>
      <c r="Y59" s="3" t="str">
        <f t="shared" si="39"/>
        <v>生命+300  魔法防御+60</v>
      </c>
      <c r="Z59" s="1">
        <v>200</v>
      </c>
      <c r="AA59" s="1">
        <f t="shared" si="40"/>
        <v>300</v>
      </c>
      <c r="AB59" s="1">
        <v>40</v>
      </c>
      <c r="AC59" s="1">
        <v>60</v>
      </c>
      <c r="AD59" s="1" t="s">
        <v>2140</v>
      </c>
      <c r="AE59" s="7" t="s">
        <v>2141</v>
      </c>
    </row>
    <row r="60" spans="1:31" ht="20.100000000000001" customHeight="1">
      <c r="A60" s="1">
        <v>59</v>
      </c>
      <c r="B60" s="1">
        <v>30</v>
      </c>
      <c r="C60" s="1">
        <v>30</v>
      </c>
      <c r="D60" s="1">
        <f>B60*总表!$D$4</f>
        <v>31500</v>
      </c>
      <c r="E60" s="1">
        <f>C60*总表!$E$4</f>
        <v>3000</v>
      </c>
      <c r="F60" s="1">
        <f>C60*总表!$F$4</f>
        <v>900</v>
      </c>
      <c r="G60" s="1">
        <v>4</v>
      </c>
      <c r="H60" s="1">
        <v>1</v>
      </c>
      <c r="I60" s="1">
        <f t="shared" si="1"/>
        <v>606</v>
      </c>
      <c r="J60" s="1">
        <f t="shared" si="2"/>
        <v>58</v>
      </c>
      <c r="K60" s="1">
        <f t="shared" si="3"/>
        <v>17</v>
      </c>
      <c r="T60" s="1" t="s">
        <v>1845</v>
      </c>
      <c r="U60" s="1" t="s">
        <v>2020</v>
      </c>
      <c r="V60" s="3" t="s">
        <v>2142</v>
      </c>
      <c r="W60" s="1" t="str">
        <f t="shared" si="38"/>
        <v>100203;375@100803:75</v>
      </c>
      <c r="X60" s="4" t="s">
        <v>2143</v>
      </c>
      <c r="Y60" s="3" t="str">
        <f t="shared" si="39"/>
        <v>生命+375  魔法防御+75</v>
      </c>
      <c r="Z60" s="1">
        <v>250</v>
      </c>
      <c r="AA60" s="1">
        <f t="shared" si="40"/>
        <v>375</v>
      </c>
      <c r="AB60" s="1">
        <v>50</v>
      </c>
      <c r="AC60" s="1">
        <v>75</v>
      </c>
      <c r="AD60" s="1" t="s">
        <v>2144</v>
      </c>
      <c r="AE60" s="7" t="s">
        <v>2145</v>
      </c>
    </row>
    <row r="61" spans="1:31" ht="20.100000000000001" customHeight="1">
      <c r="A61" s="1">
        <v>60</v>
      </c>
      <c r="B61" s="1">
        <v>30</v>
      </c>
      <c r="C61" s="1">
        <v>30</v>
      </c>
      <c r="D61" s="1">
        <f>B61*总表!$D$4</f>
        <v>31500</v>
      </c>
      <c r="E61" s="1">
        <f>C61*总表!$E$4</f>
        <v>3000</v>
      </c>
      <c r="F61" s="1">
        <f>C61*总表!$F$4</f>
        <v>900</v>
      </c>
      <c r="G61" s="1">
        <v>4</v>
      </c>
      <c r="H61" s="1">
        <v>1</v>
      </c>
      <c r="I61" s="1">
        <f t="shared" si="1"/>
        <v>606</v>
      </c>
      <c r="J61" s="1">
        <f t="shared" si="2"/>
        <v>58</v>
      </c>
      <c r="K61" s="1">
        <f t="shared" si="3"/>
        <v>17</v>
      </c>
      <c r="T61" s="1" t="s">
        <v>1860</v>
      </c>
      <c r="U61" s="1" t="s">
        <v>1933</v>
      </c>
      <c r="V61" s="3" t="s">
        <v>2146</v>
      </c>
      <c r="W61" s="1" t="str">
        <f t="shared" si="38"/>
        <v>100203;450@100803:90</v>
      </c>
      <c r="X61" s="4" t="s">
        <v>2147</v>
      </c>
      <c r="Y61" s="3" t="str">
        <f t="shared" si="39"/>
        <v>生命+450  魔法防御+90</v>
      </c>
      <c r="Z61" s="1">
        <v>300</v>
      </c>
      <c r="AA61" s="1">
        <f t="shared" si="40"/>
        <v>450</v>
      </c>
      <c r="AB61" s="1">
        <v>60</v>
      </c>
      <c r="AC61" s="1">
        <v>90</v>
      </c>
      <c r="AD61" s="1" t="s">
        <v>2148</v>
      </c>
      <c r="AE61" s="7" t="s">
        <v>2149</v>
      </c>
    </row>
    <row r="62" spans="1:31" ht="20.100000000000001" customHeight="1">
      <c r="T62" s="1" t="s">
        <v>1853</v>
      </c>
      <c r="U62" s="1" t="s">
        <v>1938</v>
      </c>
      <c r="V62" s="3" t="s">
        <v>2150</v>
      </c>
      <c r="W62" s="1" t="str">
        <f t="shared" si="38"/>
        <v>100203;525@100803:105</v>
      </c>
      <c r="X62" s="4" t="s">
        <v>2151</v>
      </c>
      <c r="Y62" s="3" t="str">
        <f t="shared" si="39"/>
        <v>生命+525  魔法防御+105</v>
      </c>
      <c r="Z62" s="1">
        <v>350</v>
      </c>
      <c r="AA62" s="1">
        <f t="shared" si="40"/>
        <v>525</v>
      </c>
      <c r="AB62" s="1">
        <v>70</v>
      </c>
      <c r="AC62" s="1">
        <v>105</v>
      </c>
      <c r="AD62" s="1" t="s">
        <v>2152</v>
      </c>
      <c r="AE62" s="7" t="s">
        <v>2153</v>
      </c>
    </row>
    <row r="63" spans="1:31" ht="20.100000000000001" customHeight="1">
      <c r="S63" s="1"/>
      <c r="T63" s="1" t="s">
        <v>1845</v>
      </c>
      <c r="U63" s="1" t="s">
        <v>2154</v>
      </c>
      <c r="V63" s="7" t="s">
        <v>2155</v>
      </c>
      <c r="W63" s="1" t="str">
        <f t="shared" si="38"/>
        <v>100203;600@100803:120</v>
      </c>
      <c r="X63" s="4" t="s">
        <v>2156</v>
      </c>
      <c r="Y63" s="3" t="str">
        <f t="shared" si="39"/>
        <v>生命+600  魔法防御+120</v>
      </c>
      <c r="Z63" s="1">
        <v>400</v>
      </c>
      <c r="AA63" s="1">
        <f t="shared" si="40"/>
        <v>600</v>
      </c>
      <c r="AB63" s="1">
        <v>80</v>
      </c>
      <c r="AC63" s="1">
        <v>120</v>
      </c>
      <c r="AD63" s="1" t="s">
        <v>2157</v>
      </c>
      <c r="AE63" s="7" t="s">
        <v>2158</v>
      </c>
    </row>
    <row r="64" spans="1:31" ht="20.100000000000001" customHeight="1">
      <c r="S64" s="5"/>
      <c r="T64" s="1" t="s">
        <v>1868</v>
      </c>
      <c r="U64" s="1" t="s">
        <v>2159</v>
      </c>
      <c r="V64" s="3" t="s">
        <v>2160</v>
      </c>
      <c r="AD64" s="1" t="s">
        <v>2161</v>
      </c>
      <c r="AE64" s="7" t="s">
        <v>2162</v>
      </c>
    </row>
    <row r="65" spans="20:31" ht="20.100000000000001" customHeight="1">
      <c r="T65" s="1" t="s">
        <v>1860</v>
      </c>
      <c r="U65" s="1" t="s">
        <v>2163</v>
      </c>
      <c r="V65" s="7" t="s">
        <v>2164</v>
      </c>
      <c r="AD65" s="1" t="s">
        <v>2165</v>
      </c>
      <c r="AE65" s="7" t="s">
        <v>2166</v>
      </c>
    </row>
    <row r="66" spans="20:31" ht="20.100000000000001" customHeight="1"/>
    <row r="67" spans="20:31" ht="20.100000000000001" customHeight="1">
      <c r="AD67" s="1" t="s">
        <v>2167</v>
      </c>
      <c r="AE67" s="7" t="s">
        <v>2168</v>
      </c>
    </row>
    <row r="68" spans="20:31" ht="20.100000000000001" customHeight="1">
      <c r="AD68" s="1" t="s">
        <v>2169</v>
      </c>
      <c r="AE68" s="7" t="s">
        <v>2170</v>
      </c>
    </row>
    <row r="69" spans="20:31" ht="20.100000000000001" customHeight="1">
      <c r="AD69" s="1" t="s">
        <v>2171</v>
      </c>
      <c r="AE69" s="7" t="s">
        <v>2172</v>
      </c>
    </row>
    <row r="70" spans="20:31" ht="20.100000000000001" customHeight="1">
      <c r="AD70" s="1" t="s">
        <v>2173</v>
      </c>
      <c r="AE70" s="7" t="s">
        <v>2174</v>
      </c>
    </row>
    <row r="71" spans="20:31" ht="20.100000000000001" customHeight="1">
      <c r="AD71" s="1" t="s">
        <v>2175</v>
      </c>
      <c r="AE71" s="7" t="s">
        <v>2176</v>
      </c>
    </row>
    <row r="72" spans="20:31" ht="20.100000000000001" customHeight="1">
      <c r="AD72" s="1" t="s">
        <v>2177</v>
      </c>
      <c r="AE72" s="7" t="s">
        <v>2178</v>
      </c>
    </row>
    <row r="73" spans="20:31" ht="20.100000000000001" customHeight="1">
      <c r="AD73" s="1" t="s">
        <v>2179</v>
      </c>
      <c r="AE73" s="7" t="s">
        <v>2180</v>
      </c>
    </row>
    <row r="74" spans="20:31" ht="20.100000000000001" customHeight="1">
      <c r="AD74" s="1" t="s">
        <v>2181</v>
      </c>
      <c r="AE74" s="7" t="s">
        <v>2182</v>
      </c>
    </row>
    <row r="75" spans="20:31" ht="20.100000000000001" customHeight="1">
      <c r="AD75" s="1" t="s">
        <v>2183</v>
      </c>
      <c r="AE75" s="7" t="s">
        <v>2184</v>
      </c>
    </row>
    <row r="76" spans="20:31" ht="20.100000000000001" customHeight="1">
      <c r="AD76" s="1" t="s">
        <v>2185</v>
      </c>
      <c r="AE76" s="7" t="s">
        <v>2186</v>
      </c>
    </row>
    <row r="77" spans="20:31" ht="20.100000000000001" customHeight="1">
      <c r="AD77" s="1" t="s">
        <v>2187</v>
      </c>
      <c r="AE77" s="7" t="s">
        <v>2188</v>
      </c>
    </row>
    <row r="78" spans="20:31" ht="20.100000000000001" customHeight="1">
      <c r="AD78" s="1" t="s">
        <v>2189</v>
      </c>
      <c r="AE78" s="7" t="s">
        <v>2190</v>
      </c>
    </row>
    <row r="79" spans="20:31" ht="20.100000000000001" customHeight="1">
      <c r="AD79" s="1" t="s">
        <v>2191</v>
      </c>
      <c r="AE79" s="7" t="s">
        <v>2192</v>
      </c>
    </row>
    <row r="80" spans="20:31" ht="20.100000000000001" customHeight="1">
      <c r="AD80" s="1" t="s">
        <v>2193</v>
      </c>
      <c r="AE80" s="7" t="s">
        <v>2194</v>
      </c>
    </row>
    <row r="81" spans="30:31" ht="20.100000000000001" customHeight="1">
      <c r="AD81" s="1" t="s">
        <v>2195</v>
      </c>
      <c r="AE81" s="7" t="s">
        <v>2196</v>
      </c>
    </row>
    <row r="82" spans="30:31" ht="20.100000000000001" customHeight="1">
      <c r="AD82" s="1" t="s">
        <v>2197</v>
      </c>
      <c r="AE82" s="7" t="s">
        <v>2198</v>
      </c>
    </row>
    <row r="83" spans="30:31" ht="20.100000000000001" customHeight="1">
      <c r="AD83" s="1" t="s">
        <v>2199</v>
      </c>
      <c r="AE83" s="7" t="s">
        <v>2200</v>
      </c>
    </row>
    <row r="84" spans="30:31" ht="20.100000000000001" customHeight="1">
      <c r="AD84" s="1" t="s">
        <v>2201</v>
      </c>
      <c r="AE84" s="7" t="s">
        <v>2202</v>
      </c>
    </row>
    <row r="85" spans="30:31" ht="20.100000000000001" customHeight="1">
      <c r="AD85" s="1" t="s">
        <v>2203</v>
      </c>
      <c r="AE85" s="7" t="s">
        <v>2204</v>
      </c>
    </row>
    <row r="86" spans="30:31" ht="20.100000000000001" customHeight="1">
      <c r="AD86" s="1" t="s">
        <v>2205</v>
      </c>
      <c r="AE86" s="7" t="s">
        <v>2206</v>
      </c>
    </row>
    <row r="87" spans="30:31" ht="20.100000000000001" customHeight="1">
      <c r="AD87" s="1" t="s">
        <v>2207</v>
      </c>
      <c r="AE87" s="7" t="s">
        <v>2208</v>
      </c>
    </row>
    <row r="88" spans="30:31" ht="20.100000000000001" customHeight="1">
      <c r="AD88" s="1" t="s">
        <v>2209</v>
      </c>
      <c r="AE88" s="7" t="s">
        <v>2210</v>
      </c>
    </row>
    <row r="89" spans="30:31" ht="20.100000000000001" customHeight="1">
      <c r="AD89" s="1" t="s">
        <v>2211</v>
      </c>
      <c r="AE89" s="7" t="s">
        <v>2212</v>
      </c>
    </row>
    <row r="90" spans="30:31" ht="20.100000000000001" customHeight="1">
      <c r="AD90" s="1" t="s">
        <v>2213</v>
      </c>
      <c r="AE90" s="7" t="s">
        <v>2214</v>
      </c>
    </row>
    <row r="91" spans="30:31" ht="20.100000000000001" customHeight="1">
      <c r="AD91" s="1" t="s">
        <v>2215</v>
      </c>
      <c r="AE91" s="7" t="s">
        <v>2216</v>
      </c>
    </row>
    <row r="92" spans="30:31" ht="20.100000000000001" customHeight="1">
      <c r="AD92" s="1" t="s">
        <v>2217</v>
      </c>
      <c r="AE92" s="7" t="s">
        <v>2218</v>
      </c>
    </row>
    <row r="93" spans="30:31" ht="20.100000000000001" customHeight="1">
      <c r="AD93" s="1" t="s">
        <v>2219</v>
      </c>
      <c r="AE93" s="7" t="s">
        <v>2220</v>
      </c>
    </row>
    <row r="94" spans="30:31" ht="20.100000000000001" customHeight="1">
      <c r="AD94" s="1" t="s">
        <v>2221</v>
      </c>
      <c r="AE94" s="7" t="s">
        <v>2222</v>
      </c>
    </row>
    <row r="95" spans="30:31" ht="20.100000000000001" customHeight="1">
      <c r="AD95" s="1" t="s">
        <v>2223</v>
      </c>
      <c r="AE95" s="7" t="s">
        <v>2224</v>
      </c>
    </row>
    <row r="96" spans="30:31" ht="20.100000000000001" customHeight="1">
      <c r="AD96" s="1" t="s">
        <v>2225</v>
      </c>
      <c r="AE96" s="7" t="s">
        <v>2226</v>
      </c>
    </row>
    <row r="97" spans="30:31" ht="20.100000000000001" customHeight="1">
      <c r="AD97" s="1" t="s">
        <v>2227</v>
      </c>
      <c r="AE97" s="7" t="s">
        <v>2228</v>
      </c>
    </row>
    <row r="98" spans="30:31" ht="20.100000000000001" customHeight="1"/>
    <row r="99" spans="30:31" ht="20.100000000000001" customHeight="1"/>
    <row r="100" spans="30:31" ht="20.100000000000001" customHeight="1"/>
  </sheetData>
  <phoneticPr fontId="35" type="noConversion"/>
  <pageMargins left="0.69930555555555596" right="0.69930555555555596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140"/>
  <sheetViews>
    <sheetView topLeftCell="L1" workbookViewId="0">
      <selection activeCell="L90" sqref="L90"/>
    </sheetView>
  </sheetViews>
  <sheetFormatPr defaultColWidth="9" defaultRowHeight="14.25"/>
  <cols>
    <col min="10" max="10" width="10.875" customWidth="1"/>
    <col min="11" max="11" width="12.875" customWidth="1"/>
    <col min="12" max="13" width="10.625" customWidth="1"/>
    <col min="14" max="14" width="10.75" customWidth="1"/>
    <col min="15" max="16" width="11.375" customWidth="1"/>
    <col min="17" max="17" width="12.625" customWidth="1"/>
    <col min="21" max="21" width="13" customWidth="1"/>
    <col min="23" max="23" width="15" customWidth="1"/>
    <col min="24" max="24" width="21.5" customWidth="1"/>
    <col min="25" max="25" width="14.375" customWidth="1"/>
    <col min="26" max="26" width="37.5" customWidth="1"/>
    <col min="29" max="29" width="27" customWidth="1"/>
    <col min="31" max="31" width="13.75" customWidth="1"/>
    <col min="32" max="32" width="14.125" customWidth="1"/>
    <col min="33" max="33" width="14.5" customWidth="1"/>
  </cols>
  <sheetData>
    <row r="1" spans="2:33" s="1" customFormat="1" ht="20.100000000000001" customHeight="1"/>
    <row r="2" spans="2:33" s="1" customFormat="1" ht="20.100000000000001" customHeight="1">
      <c r="B2" s="1" t="s">
        <v>2229</v>
      </c>
      <c r="C2" s="1" t="s">
        <v>2230</v>
      </c>
      <c r="E2" s="1" t="s">
        <v>2231</v>
      </c>
      <c r="F2" s="1" t="s">
        <v>2232</v>
      </c>
      <c r="H2" s="1" t="s">
        <v>2233</v>
      </c>
      <c r="I2" s="1" t="s">
        <v>2230</v>
      </c>
      <c r="J2" s="1" t="s">
        <v>3</v>
      </c>
      <c r="L2" s="1" t="s">
        <v>2234</v>
      </c>
      <c r="Q2" s="1" t="s">
        <v>2235</v>
      </c>
      <c r="AB2" s="1" t="s">
        <v>2236</v>
      </c>
      <c r="AC2" s="1" t="s">
        <v>2237</v>
      </c>
    </row>
    <row r="3" spans="2:33" s="1" customFormat="1" ht="20.100000000000001" customHeight="1">
      <c r="C3" s="1" t="s">
        <v>2238</v>
      </c>
      <c r="F3" s="1" t="s">
        <v>2239</v>
      </c>
      <c r="I3" s="1" t="s">
        <v>2238</v>
      </c>
      <c r="J3" s="1" t="s">
        <v>2</v>
      </c>
      <c r="Q3" s="1" t="s">
        <v>2240</v>
      </c>
      <c r="AC3" s="19" t="s">
        <v>2241</v>
      </c>
    </row>
    <row r="4" spans="2:33" s="1" customFormat="1" ht="20.100000000000001" customHeight="1">
      <c r="C4" s="1" t="s">
        <v>2242</v>
      </c>
      <c r="I4" s="1" t="s">
        <v>2242</v>
      </c>
      <c r="J4" s="1" t="s">
        <v>2243</v>
      </c>
      <c r="AC4" s="1" t="s">
        <v>2244</v>
      </c>
    </row>
    <row r="5" spans="2:33" s="1" customFormat="1" ht="20.100000000000001" customHeight="1">
      <c r="C5" s="1" t="s">
        <v>2245</v>
      </c>
      <c r="I5" s="1" t="s">
        <v>2245</v>
      </c>
      <c r="J5" s="1" t="s">
        <v>1820</v>
      </c>
      <c r="AC5" s="1" t="s">
        <v>2246</v>
      </c>
    </row>
    <row r="6" spans="2:33" s="1" customFormat="1" ht="20.100000000000001" customHeight="1">
      <c r="C6" s="1" t="s">
        <v>2247</v>
      </c>
      <c r="I6" s="1" t="s">
        <v>2247</v>
      </c>
      <c r="J6" s="1" t="s">
        <v>2248</v>
      </c>
      <c r="U6" s="1" t="s">
        <v>2249</v>
      </c>
      <c r="AC6" s="1" t="s">
        <v>2250</v>
      </c>
    </row>
    <row r="7" spans="2:33" s="1" customFormat="1" ht="20.100000000000001" customHeight="1">
      <c r="AC7" s="1" t="s">
        <v>2251</v>
      </c>
    </row>
    <row r="8" spans="2:33" s="1" customFormat="1" ht="20.100000000000001" customHeight="1">
      <c r="AC8" s="13" t="s">
        <v>2252</v>
      </c>
    </row>
    <row r="9" spans="2:33" s="1" customFormat="1" ht="20.100000000000001" customHeight="1"/>
    <row r="10" spans="2:33" s="1" customFormat="1" ht="20.100000000000001" customHeight="1">
      <c r="AC10" s="7" t="s">
        <v>2253</v>
      </c>
      <c r="AE10" s="1" t="s">
        <v>2254</v>
      </c>
      <c r="AF10" s="1" t="s">
        <v>2255</v>
      </c>
      <c r="AG10" s="1" t="s">
        <v>2256</v>
      </c>
    </row>
    <row r="11" spans="2:33" s="1" customFormat="1" ht="20.100000000000001" customHeight="1">
      <c r="AC11" s="7" t="s">
        <v>2257</v>
      </c>
    </row>
    <row r="12" spans="2:33" s="1" customFormat="1" ht="20.100000000000001" customHeight="1">
      <c r="W12" s="1" t="s">
        <v>2258</v>
      </c>
    </row>
    <row r="13" spans="2:33" s="1" customFormat="1" ht="20.100000000000001" customHeight="1">
      <c r="B13" s="1" t="s">
        <v>1264</v>
      </c>
      <c r="C13" s="1" t="s">
        <v>2</v>
      </c>
      <c r="F13" s="1" t="s">
        <v>2259</v>
      </c>
      <c r="G13" s="1" t="s">
        <v>2260</v>
      </c>
      <c r="J13" s="1" t="s">
        <v>2261</v>
      </c>
      <c r="K13" s="1" t="s">
        <v>2230</v>
      </c>
      <c r="R13" s="1" t="s">
        <v>2262</v>
      </c>
    </row>
    <row r="14" spans="2:33" s="1" customFormat="1" ht="20.100000000000001" customHeight="1">
      <c r="C14" s="1" t="s">
        <v>3</v>
      </c>
      <c r="G14" s="1" t="s">
        <v>2263</v>
      </c>
      <c r="K14" s="1" t="s">
        <v>2238</v>
      </c>
      <c r="R14" s="1" t="s">
        <v>2264</v>
      </c>
      <c r="W14" s="1" t="s">
        <v>2265</v>
      </c>
    </row>
    <row r="15" spans="2:33" s="1" customFormat="1" ht="20.100000000000001" customHeight="1">
      <c r="C15" s="1" t="s">
        <v>2266</v>
      </c>
      <c r="G15" s="1" t="s">
        <v>2267</v>
      </c>
      <c r="K15" s="1" t="s">
        <v>2242</v>
      </c>
      <c r="AE15" s="20" t="s">
        <v>2268</v>
      </c>
    </row>
    <row r="16" spans="2:33" s="1" customFormat="1" ht="20.100000000000001" customHeight="1">
      <c r="C16" s="1" t="s">
        <v>28</v>
      </c>
      <c r="G16" s="1" t="s">
        <v>2269</v>
      </c>
      <c r="K16" s="1" t="s">
        <v>2245</v>
      </c>
      <c r="V16"/>
      <c r="W16"/>
      <c r="X16"/>
      <c r="Y16"/>
      <c r="Z16"/>
      <c r="AA16"/>
      <c r="AB16"/>
      <c r="AC16"/>
      <c r="AD16"/>
    </row>
    <row r="17" spans="3:32" s="1" customFormat="1" ht="20.100000000000001" customHeight="1">
      <c r="C17" s="1" t="s">
        <v>2270</v>
      </c>
      <c r="G17" s="1" t="s">
        <v>2271</v>
      </c>
      <c r="K17" s="1" t="s">
        <v>2247</v>
      </c>
      <c r="Q17" s="1" t="s">
        <v>2272</v>
      </c>
      <c r="V17" s="5"/>
    </row>
    <row r="18" spans="3:32" ht="20.100000000000001" customHeight="1">
      <c r="C18" s="1" t="s">
        <v>664</v>
      </c>
      <c r="G18" s="1" t="s">
        <v>2273</v>
      </c>
      <c r="I18" s="5"/>
      <c r="J18" s="5"/>
      <c r="K18" s="5"/>
      <c r="L18" s="5"/>
      <c r="M18" s="5"/>
      <c r="N18" s="5"/>
      <c r="U18" s="1" t="s">
        <v>2274</v>
      </c>
      <c r="V18" s="5"/>
      <c r="W18" s="1" t="s">
        <v>2275</v>
      </c>
      <c r="X18" s="1" t="s">
        <v>2276</v>
      </c>
      <c r="Y18" s="1" t="s">
        <v>433</v>
      </c>
      <c r="Z18" s="15"/>
      <c r="AA18" s="1" t="s">
        <v>2277</v>
      </c>
      <c r="AD18" s="1"/>
      <c r="AE18" s="1" t="s">
        <v>2278</v>
      </c>
      <c r="AF18" s="5"/>
    </row>
    <row r="19" spans="3:32" ht="20.100000000000001" customHeight="1">
      <c r="C19" s="1" t="s">
        <v>668</v>
      </c>
      <c r="I19" s="5"/>
      <c r="J19" s="5"/>
      <c r="K19" s="7" t="s">
        <v>2279</v>
      </c>
      <c r="L19" s="5"/>
      <c r="M19" s="5"/>
      <c r="N19" s="5"/>
      <c r="U19" s="1">
        <v>1</v>
      </c>
      <c r="V19" s="1" t="s">
        <v>2280</v>
      </c>
      <c r="W19" s="1">
        <v>0</v>
      </c>
      <c r="X19" s="1">
        <f>W19*U19</f>
        <v>0</v>
      </c>
      <c r="Y19" s="16">
        <v>0.01</v>
      </c>
      <c r="Z19" s="17"/>
      <c r="AA19" s="17" t="s">
        <v>2281</v>
      </c>
      <c r="AB19" s="1" t="s">
        <v>2282</v>
      </c>
      <c r="AC19" s="7" t="s">
        <v>2283</v>
      </c>
      <c r="AD19" s="1"/>
      <c r="AE19" s="1" t="s">
        <v>2284</v>
      </c>
      <c r="AF19" s="5"/>
    </row>
    <row r="20" spans="3:32" ht="20.100000000000001" customHeight="1">
      <c r="C20" s="1" t="s">
        <v>674</v>
      </c>
      <c r="I20" s="5"/>
      <c r="J20" s="5"/>
      <c r="K20" s="5"/>
      <c r="L20" s="5"/>
      <c r="M20" s="5"/>
      <c r="N20" s="5"/>
      <c r="U20" s="1">
        <v>2</v>
      </c>
      <c r="V20" s="1" t="s">
        <v>2285</v>
      </c>
      <c r="W20" s="1">
        <v>2</v>
      </c>
      <c r="X20" s="1">
        <f>W20</f>
        <v>2</v>
      </c>
      <c r="Y20" s="16">
        <v>0.02</v>
      </c>
      <c r="Z20" s="2"/>
      <c r="AA20" s="17" t="s">
        <v>2281</v>
      </c>
      <c r="AB20" s="1" t="s">
        <v>2286</v>
      </c>
      <c r="AC20" s="3" t="s">
        <v>2287</v>
      </c>
      <c r="AD20" s="1"/>
      <c r="AE20" s="1" t="s">
        <v>479</v>
      </c>
      <c r="AF20" s="5"/>
    </row>
    <row r="21" spans="3:32" ht="20.100000000000001" customHeight="1">
      <c r="C21" s="1" t="s">
        <v>671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1">
        <v>3</v>
      </c>
      <c r="V21" s="13" t="s">
        <v>2285</v>
      </c>
      <c r="W21" s="1">
        <v>2</v>
      </c>
      <c r="X21" s="1">
        <f>X20*W21</f>
        <v>4</v>
      </c>
      <c r="Y21" s="16">
        <v>0.03</v>
      </c>
      <c r="Z21" s="17"/>
      <c r="AA21" s="2" t="s">
        <v>2288</v>
      </c>
      <c r="AB21" s="1" t="s">
        <v>2289</v>
      </c>
      <c r="AC21" s="3" t="s">
        <v>2290</v>
      </c>
      <c r="AD21" s="1"/>
      <c r="AE21" s="1" t="s">
        <v>2291</v>
      </c>
      <c r="AF21" s="5"/>
    </row>
    <row r="22" spans="3:32" ht="20.100000000000001" customHeight="1">
      <c r="C22" s="1" t="s">
        <v>2292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1">
        <v>4</v>
      </c>
      <c r="V22" s="1" t="s">
        <v>2293</v>
      </c>
      <c r="W22" s="1">
        <v>2</v>
      </c>
      <c r="X22" s="1">
        <f t="shared" ref="X22:X28" si="0">X21*W22</f>
        <v>8</v>
      </c>
      <c r="Y22" s="16">
        <v>0.04</v>
      </c>
      <c r="Z22" s="2"/>
      <c r="AA22" s="17" t="s">
        <v>2288</v>
      </c>
      <c r="AB22" s="1" t="s">
        <v>2294</v>
      </c>
      <c r="AC22" s="3" t="s">
        <v>2295</v>
      </c>
      <c r="AD22" s="1"/>
      <c r="AE22" s="1" t="s">
        <v>12</v>
      </c>
      <c r="AF22" s="1" t="s">
        <v>2296</v>
      </c>
    </row>
    <row r="23" spans="3:32" ht="20.100000000000001" customHeight="1">
      <c r="C23" s="1" t="s">
        <v>1281</v>
      </c>
      <c r="J23" s="5"/>
      <c r="K23" s="3" t="s">
        <v>2297</v>
      </c>
      <c r="L23" s="3"/>
      <c r="M23" s="3"/>
      <c r="N23" s="3"/>
      <c r="O23" s="3"/>
      <c r="P23" s="3"/>
      <c r="Q23" s="3"/>
      <c r="R23" s="3"/>
      <c r="S23" s="3"/>
      <c r="T23" s="3"/>
      <c r="U23" s="1">
        <v>5</v>
      </c>
      <c r="V23" s="1" t="s">
        <v>2293</v>
      </c>
      <c r="W23" s="1">
        <v>2</v>
      </c>
      <c r="X23" s="1">
        <f t="shared" si="0"/>
        <v>16</v>
      </c>
      <c r="Y23" s="16">
        <v>0.05</v>
      </c>
      <c r="Z23" s="17"/>
      <c r="AA23" s="1" t="s">
        <v>2288</v>
      </c>
      <c r="AB23" s="1" t="s">
        <v>2298</v>
      </c>
      <c r="AC23" s="3" t="s">
        <v>2299</v>
      </c>
      <c r="AD23" s="1"/>
      <c r="AE23" s="1" t="s">
        <v>2300</v>
      </c>
      <c r="AF23" s="1" t="s">
        <v>2301</v>
      </c>
    </row>
    <row r="24" spans="3:32" ht="20.100000000000001" customHeight="1">
      <c r="J24" s="5"/>
      <c r="K24" s="3" t="s">
        <v>2302</v>
      </c>
      <c r="L24" s="3"/>
      <c r="M24" s="3"/>
      <c r="N24" s="3"/>
      <c r="O24" s="3"/>
      <c r="P24" s="3"/>
      <c r="Q24" s="3"/>
      <c r="R24" s="3"/>
      <c r="S24" s="3"/>
      <c r="T24" s="3"/>
      <c r="U24" s="1">
        <v>6</v>
      </c>
      <c r="V24" s="1" t="s">
        <v>2293</v>
      </c>
      <c r="W24" s="1">
        <v>2</v>
      </c>
      <c r="X24" s="1">
        <f t="shared" si="0"/>
        <v>32</v>
      </c>
      <c r="Y24" s="16">
        <v>0.06</v>
      </c>
      <c r="Z24" s="2"/>
      <c r="AA24" s="2" t="s">
        <v>2303</v>
      </c>
      <c r="AB24" s="1" t="s">
        <v>2304</v>
      </c>
      <c r="AC24" s="7" t="s">
        <v>2305</v>
      </c>
      <c r="AD24" s="1"/>
    </row>
    <row r="25" spans="3:32" ht="20.100000000000001" customHeight="1">
      <c r="J25" s="5"/>
      <c r="K25" s="3" t="s">
        <v>2306</v>
      </c>
      <c r="L25" s="3"/>
      <c r="M25" s="3"/>
      <c r="N25" s="3"/>
      <c r="O25" s="3"/>
      <c r="P25" s="3"/>
      <c r="Q25" s="3"/>
      <c r="R25" s="3"/>
      <c r="S25" s="3"/>
      <c r="T25" s="3"/>
      <c r="U25" s="1">
        <v>7</v>
      </c>
      <c r="V25" s="1" t="s">
        <v>1919</v>
      </c>
      <c r="W25" s="1">
        <v>2</v>
      </c>
      <c r="X25" s="1">
        <f t="shared" si="0"/>
        <v>64</v>
      </c>
      <c r="Y25" s="16">
        <v>7.0000000000000007E-2</v>
      </c>
      <c r="Z25" s="17"/>
      <c r="AA25" s="2" t="s">
        <v>2303</v>
      </c>
      <c r="AB25" s="1" t="s">
        <v>2307</v>
      </c>
      <c r="AC25" s="7" t="s">
        <v>2308</v>
      </c>
      <c r="AD25" s="13"/>
    </row>
    <row r="26" spans="3:32" ht="20.100000000000001" customHeight="1">
      <c r="J26" s="5"/>
      <c r="K26" s="3" t="s">
        <v>2309</v>
      </c>
      <c r="L26" s="3"/>
      <c r="M26" s="3"/>
      <c r="N26" s="3"/>
      <c r="O26" s="3"/>
      <c r="P26" s="3"/>
      <c r="Q26" s="3"/>
      <c r="R26" s="3"/>
      <c r="S26" s="3"/>
      <c r="T26" s="3"/>
      <c r="U26" s="1">
        <v>8</v>
      </c>
      <c r="V26" s="1" t="s">
        <v>1919</v>
      </c>
      <c r="W26" s="1">
        <v>2</v>
      </c>
      <c r="X26" s="1">
        <f t="shared" si="0"/>
        <v>128</v>
      </c>
      <c r="Y26" s="16">
        <v>0.08</v>
      </c>
      <c r="Z26" s="2"/>
      <c r="AA26" s="2"/>
      <c r="AD26" s="13"/>
    </row>
    <row r="27" spans="3:32" ht="20.100000000000001" customHeight="1">
      <c r="J27" s="5"/>
      <c r="K27" s="3" t="s">
        <v>2310</v>
      </c>
      <c r="L27" s="3"/>
      <c r="M27" s="3"/>
      <c r="N27" s="3"/>
      <c r="O27" s="3"/>
      <c r="P27" s="3"/>
      <c r="Q27" s="3"/>
      <c r="R27" s="3"/>
      <c r="S27" s="3"/>
      <c r="T27" s="3"/>
      <c r="U27" s="1">
        <v>9</v>
      </c>
      <c r="V27" s="1" t="s">
        <v>1919</v>
      </c>
      <c r="W27" s="1">
        <v>2</v>
      </c>
      <c r="X27" s="1">
        <f t="shared" si="0"/>
        <v>256</v>
      </c>
      <c r="Y27" s="16">
        <v>0.09</v>
      </c>
      <c r="Z27" s="17"/>
      <c r="AA27" s="17" t="s">
        <v>2311</v>
      </c>
      <c r="AD27" s="1"/>
    </row>
    <row r="28" spans="3:32" ht="20.100000000000001" customHeight="1"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1">
        <v>10</v>
      </c>
      <c r="V28" s="1" t="s">
        <v>1919</v>
      </c>
      <c r="W28" s="1">
        <v>2</v>
      </c>
      <c r="X28" s="1">
        <f t="shared" si="0"/>
        <v>512</v>
      </c>
      <c r="Y28" s="16">
        <v>0.1</v>
      </c>
      <c r="Z28" s="2"/>
      <c r="AA28" s="18" t="s">
        <v>2312</v>
      </c>
      <c r="AD28" s="1"/>
    </row>
    <row r="29" spans="3:32" ht="20.100000000000001" customHeight="1">
      <c r="J29" s="1" t="s">
        <v>2313</v>
      </c>
      <c r="K29" s="1" t="s">
        <v>302</v>
      </c>
      <c r="L29" s="7" t="s">
        <v>2314</v>
      </c>
      <c r="M29" s="7"/>
      <c r="V29" s="1"/>
      <c r="AA29" s="13"/>
      <c r="AD29" s="1"/>
    </row>
    <row r="30" spans="3:32" ht="20.100000000000001" customHeight="1">
      <c r="J30" s="1"/>
      <c r="K30" s="1" t="s">
        <v>483</v>
      </c>
      <c r="L30" s="1"/>
      <c r="M30" s="1"/>
      <c r="V30" s="1"/>
      <c r="AA30" s="13"/>
      <c r="AD30" s="1"/>
    </row>
    <row r="31" spans="3:32" s="1" customFormat="1" ht="20.100000000000001" customHeight="1"/>
    <row r="32" spans="3:32" s="1" customFormat="1" ht="20.100000000000001" customHeight="1">
      <c r="W32" s="1" t="s">
        <v>2315</v>
      </c>
      <c r="X32" s="1" t="s">
        <v>2262</v>
      </c>
      <c r="AB32" s="1" t="s">
        <v>1566</v>
      </c>
    </row>
    <row r="33" spans="2:35" s="1" customFormat="1" ht="20.100000000000001" customHeight="1">
      <c r="K33" s="1" t="s">
        <v>2316</v>
      </c>
      <c r="L33" s="1" t="s">
        <v>3</v>
      </c>
      <c r="R33" s="1">
        <v>1000101</v>
      </c>
      <c r="U33" s="1" t="s">
        <v>1808</v>
      </c>
      <c r="V33" s="1" t="s">
        <v>2317</v>
      </c>
      <c r="W33" s="1" t="s">
        <v>2284</v>
      </c>
      <c r="X33" s="7" t="s">
        <v>2318</v>
      </c>
      <c r="AB33" s="1" t="s">
        <v>2319</v>
      </c>
      <c r="AC33" s="7" t="s">
        <v>2320</v>
      </c>
    </row>
    <row r="34" spans="2:35" s="1" customFormat="1" ht="20.100000000000001" customHeight="1">
      <c r="L34" s="1" t="s">
        <v>2266</v>
      </c>
      <c r="R34" s="1">
        <v>1000201</v>
      </c>
      <c r="U34" s="1" t="s">
        <v>1808</v>
      </c>
      <c r="V34" s="1" t="s">
        <v>2321</v>
      </c>
      <c r="W34" s="1" t="s">
        <v>2322</v>
      </c>
      <c r="X34" s="7" t="s">
        <v>2323</v>
      </c>
      <c r="AB34" s="1" t="s">
        <v>674</v>
      </c>
      <c r="AC34" s="7" t="s">
        <v>2324</v>
      </c>
    </row>
    <row r="35" spans="2:35" s="1" customFormat="1" ht="20.100000000000001" customHeight="1">
      <c r="L35" s="1" t="s">
        <v>12</v>
      </c>
      <c r="R35" s="1">
        <v>1000301</v>
      </c>
      <c r="U35" s="1" t="s">
        <v>1808</v>
      </c>
      <c r="V35" s="1" t="s">
        <v>2325</v>
      </c>
      <c r="W35" s="1" t="s">
        <v>2284</v>
      </c>
      <c r="X35" s="7" t="s">
        <v>2326</v>
      </c>
      <c r="AB35" s="1" t="s">
        <v>2266</v>
      </c>
      <c r="AC35" s="7" t="s">
        <v>2327</v>
      </c>
    </row>
    <row r="36" spans="2:35" s="1" customFormat="1" ht="20.100000000000001" customHeight="1">
      <c r="B36" s="1">
        <v>1</v>
      </c>
      <c r="C36" s="1">
        <v>160</v>
      </c>
      <c r="L36" s="1" t="s">
        <v>28</v>
      </c>
      <c r="R36" s="1">
        <v>1000401</v>
      </c>
      <c r="U36" s="1" t="s">
        <v>1808</v>
      </c>
      <c r="V36" s="1" t="s">
        <v>2328</v>
      </c>
      <c r="W36" s="1" t="s">
        <v>2284</v>
      </c>
      <c r="X36" s="7" t="s">
        <v>2329</v>
      </c>
      <c r="AB36" s="1" t="s">
        <v>2330</v>
      </c>
      <c r="AC36" s="7" t="s">
        <v>2331</v>
      </c>
    </row>
    <row r="37" spans="2:35" s="1" customFormat="1" ht="20.100000000000001" customHeight="1">
      <c r="B37" s="1">
        <v>1</v>
      </c>
      <c r="C37" s="1">
        <v>22.7</v>
      </c>
      <c r="L37" s="1" t="s">
        <v>2</v>
      </c>
      <c r="R37" s="1">
        <v>1000501</v>
      </c>
      <c r="U37" s="1" t="s">
        <v>1808</v>
      </c>
      <c r="V37" s="1" t="s">
        <v>2332</v>
      </c>
      <c r="W37" s="1" t="s">
        <v>2322</v>
      </c>
      <c r="X37" s="7" t="s">
        <v>2333</v>
      </c>
      <c r="AB37" s="1" t="s">
        <v>2292</v>
      </c>
      <c r="AC37" s="7" t="s">
        <v>2334</v>
      </c>
    </row>
    <row r="38" spans="2:35" s="1" customFormat="1" ht="20.100000000000001" customHeight="1">
      <c r="B38" s="1">
        <v>1</v>
      </c>
      <c r="C38" s="1">
        <v>65</v>
      </c>
      <c r="R38" s="1">
        <v>1000601</v>
      </c>
      <c r="U38" s="1" t="s">
        <v>1808</v>
      </c>
      <c r="V38" s="1" t="s">
        <v>2335</v>
      </c>
      <c r="W38" s="1" t="s">
        <v>2284</v>
      </c>
      <c r="X38" s="7" t="s">
        <v>2336</v>
      </c>
      <c r="AB38" s="1" t="s">
        <v>2337</v>
      </c>
      <c r="AC38" s="7" t="s">
        <v>2338</v>
      </c>
    </row>
    <row r="39" spans="2:35" s="1" customFormat="1" ht="20.100000000000001" customHeight="1">
      <c r="B39" s="1">
        <v>2</v>
      </c>
      <c r="C39" s="1">
        <v>213</v>
      </c>
      <c r="R39" s="1">
        <v>1000701</v>
      </c>
      <c r="U39" s="1" t="s">
        <v>1808</v>
      </c>
      <c r="V39" s="1" t="s">
        <v>2339</v>
      </c>
      <c r="W39" s="1" t="s">
        <v>2322</v>
      </c>
      <c r="X39" s="7" t="s">
        <v>2340</v>
      </c>
      <c r="AB39" s="1" t="s">
        <v>1278</v>
      </c>
      <c r="AC39" s="7" t="s">
        <v>2341</v>
      </c>
    </row>
    <row r="40" spans="2:35" s="1" customFormat="1" ht="20.100000000000001" customHeight="1">
      <c r="B40" s="1">
        <v>3</v>
      </c>
      <c r="C40" s="1">
        <v>89</v>
      </c>
      <c r="R40" s="1">
        <v>1000801</v>
      </c>
      <c r="U40" s="1" t="s">
        <v>1808</v>
      </c>
      <c r="V40" s="1" t="s">
        <v>2342</v>
      </c>
      <c r="W40" s="1" t="s">
        <v>2322</v>
      </c>
      <c r="X40" s="7" t="s">
        <v>483</v>
      </c>
      <c r="AB40" s="1" t="s">
        <v>2343</v>
      </c>
      <c r="AC40" s="7" t="s">
        <v>2344</v>
      </c>
    </row>
    <row r="41" spans="2:35" s="1" customFormat="1" ht="20.100000000000001" customHeight="1">
      <c r="B41" s="1">
        <v>3</v>
      </c>
      <c r="C41" s="1">
        <v>40</v>
      </c>
      <c r="AB41" s="1" t="s">
        <v>1282</v>
      </c>
      <c r="AC41" s="7" t="s">
        <v>2345</v>
      </c>
      <c r="AH41" s="1">
        <v>80001001</v>
      </c>
      <c r="AI41" s="1" t="s">
        <v>2319</v>
      </c>
    </row>
    <row r="42" spans="2:35" s="1" customFormat="1" ht="20.100000000000001" customHeight="1">
      <c r="B42" s="1">
        <v>3</v>
      </c>
      <c r="C42" s="1">
        <v>95</v>
      </c>
      <c r="Y42" s="1">
        <v>80001001</v>
      </c>
      <c r="Z42" s="1" t="s">
        <v>2319</v>
      </c>
      <c r="AB42" s="1" t="s">
        <v>765</v>
      </c>
      <c r="AC42" s="7" t="s">
        <v>2346</v>
      </c>
      <c r="AH42" s="1">
        <v>80001002</v>
      </c>
      <c r="AI42" s="1" t="s">
        <v>674</v>
      </c>
    </row>
    <row r="43" spans="2:35" s="1" customFormat="1" ht="20.100000000000001" customHeight="1">
      <c r="B43" s="1">
        <v>4</v>
      </c>
      <c r="C43" s="1">
        <v>60</v>
      </c>
      <c r="Y43" s="1">
        <v>80001002</v>
      </c>
      <c r="Z43" s="1" t="s">
        <v>674</v>
      </c>
      <c r="AB43" s="1" t="s">
        <v>2347</v>
      </c>
      <c r="AC43" s="7" t="s">
        <v>2348</v>
      </c>
      <c r="AH43" s="1">
        <v>80001003</v>
      </c>
      <c r="AI43" s="1" t="s">
        <v>2266</v>
      </c>
    </row>
    <row r="44" spans="2:35" s="1" customFormat="1" ht="20.100000000000001" customHeight="1">
      <c r="Y44" s="1">
        <v>80001003</v>
      </c>
      <c r="Z44" s="1" t="s">
        <v>2266</v>
      </c>
      <c r="AB44" s="1" t="s">
        <v>2349</v>
      </c>
      <c r="AC44" s="7" t="s">
        <v>2350</v>
      </c>
      <c r="AH44" s="1">
        <v>80001004</v>
      </c>
      <c r="AI44" s="1" t="s">
        <v>2330</v>
      </c>
    </row>
    <row r="45" spans="2:35" s="1" customFormat="1" ht="20.100000000000001" customHeight="1">
      <c r="Y45" s="1">
        <v>80001004</v>
      </c>
      <c r="Z45" s="1" t="s">
        <v>2330</v>
      </c>
      <c r="AB45" s="1" t="s">
        <v>2351</v>
      </c>
      <c r="AC45" s="7" t="s">
        <v>2352</v>
      </c>
      <c r="AH45" s="1">
        <v>80001005</v>
      </c>
      <c r="AI45" s="1" t="s">
        <v>2292</v>
      </c>
    </row>
    <row r="46" spans="2:35" s="1" customFormat="1" ht="20.100000000000001" customHeight="1">
      <c r="C46" s="1">
        <v>744</v>
      </c>
      <c r="Y46" s="1">
        <v>80001005</v>
      </c>
      <c r="Z46" s="1" t="s">
        <v>2292</v>
      </c>
      <c r="AB46" s="1" t="s">
        <v>678</v>
      </c>
      <c r="AC46" s="7" t="s">
        <v>2353</v>
      </c>
      <c r="AH46" s="1">
        <v>80001006</v>
      </c>
      <c r="AI46" s="1" t="s">
        <v>2337</v>
      </c>
    </row>
    <row r="47" spans="2:35" s="1" customFormat="1" ht="20.100000000000001" customHeight="1">
      <c r="Y47" s="1">
        <v>80001006</v>
      </c>
      <c r="Z47" s="1" t="s">
        <v>2337</v>
      </c>
      <c r="AB47" s="1" t="s">
        <v>2354</v>
      </c>
      <c r="AC47" s="7" t="s">
        <v>2355</v>
      </c>
      <c r="AH47" s="1">
        <v>80001007</v>
      </c>
      <c r="AI47" s="1" t="s">
        <v>1278</v>
      </c>
    </row>
    <row r="48" spans="2:35" s="1" customFormat="1" ht="20.100000000000001" customHeight="1">
      <c r="Y48" s="1">
        <v>80001007</v>
      </c>
      <c r="Z48" s="1" t="s">
        <v>1278</v>
      </c>
      <c r="AB48" s="1" t="s">
        <v>12</v>
      </c>
      <c r="AC48" s="7" t="s">
        <v>2356</v>
      </c>
      <c r="AH48" s="1">
        <v>80001008</v>
      </c>
      <c r="AI48" s="1" t="s">
        <v>2343</v>
      </c>
    </row>
    <row r="49" spans="9:35" s="1" customFormat="1" ht="20.100000000000001" customHeight="1">
      <c r="Y49" s="1">
        <v>80001008</v>
      </c>
      <c r="Z49" s="1" t="s">
        <v>2343</v>
      </c>
      <c r="AB49" s="1" t="s">
        <v>1599</v>
      </c>
      <c r="AC49" s="7" t="s">
        <v>2357</v>
      </c>
      <c r="AH49" s="1">
        <v>80001009</v>
      </c>
      <c r="AI49" s="1" t="s">
        <v>1282</v>
      </c>
    </row>
    <row r="50" spans="9:35" s="1" customFormat="1" ht="20.100000000000001" customHeight="1">
      <c r="Y50" s="1">
        <v>80001009</v>
      </c>
      <c r="Z50" s="1" t="s">
        <v>1282</v>
      </c>
      <c r="AB50" s="1" t="s">
        <v>2358</v>
      </c>
      <c r="AC50" s="7" t="s">
        <v>2359</v>
      </c>
      <c r="AH50" s="1">
        <v>80001010</v>
      </c>
      <c r="AI50" s="1" t="s">
        <v>765</v>
      </c>
    </row>
    <row r="51" spans="9:35" s="1" customFormat="1" ht="20.100000000000001" customHeight="1">
      <c r="Y51" s="1">
        <v>80001010</v>
      </c>
      <c r="Z51" s="1" t="s">
        <v>765</v>
      </c>
      <c r="AB51" s="1" t="s">
        <v>2360</v>
      </c>
      <c r="AC51" s="7" t="s">
        <v>2361</v>
      </c>
      <c r="AH51" s="1">
        <v>80001011</v>
      </c>
      <c r="AI51" s="1" t="s">
        <v>2347</v>
      </c>
    </row>
    <row r="52" spans="9:35" s="1" customFormat="1" ht="20.100000000000001" customHeight="1">
      <c r="Y52" s="1">
        <v>80001011</v>
      </c>
      <c r="Z52" s="1" t="s">
        <v>2347</v>
      </c>
      <c r="AB52" s="1" t="s">
        <v>2362</v>
      </c>
      <c r="AC52" s="1" t="s">
        <v>2363</v>
      </c>
      <c r="AH52" s="1">
        <v>80001012</v>
      </c>
      <c r="AI52" s="1" t="s">
        <v>2349</v>
      </c>
    </row>
    <row r="53" spans="9:35" s="1" customFormat="1" ht="20.100000000000001" customHeight="1">
      <c r="Y53" s="1">
        <v>80001012</v>
      </c>
      <c r="Z53" s="1" t="s">
        <v>2349</v>
      </c>
      <c r="AH53" s="1">
        <v>80001013</v>
      </c>
      <c r="AI53" s="1" t="s">
        <v>2351</v>
      </c>
    </row>
    <row r="54" spans="9:35" s="1" customFormat="1" ht="20.100000000000001" customHeight="1">
      <c r="Y54" s="1">
        <v>80001013</v>
      </c>
      <c r="Z54" s="1" t="s">
        <v>2351</v>
      </c>
      <c r="AH54" s="1">
        <v>80001014</v>
      </c>
      <c r="AI54" s="1" t="s">
        <v>678</v>
      </c>
    </row>
    <row r="55" spans="9:35" s="1" customFormat="1" ht="20.100000000000001" customHeight="1">
      <c r="Y55" s="1">
        <v>80001014</v>
      </c>
      <c r="Z55" s="1" t="s">
        <v>678</v>
      </c>
      <c r="AH55" s="1">
        <v>80001015</v>
      </c>
      <c r="AI55" s="1" t="s">
        <v>2354</v>
      </c>
    </row>
    <row r="56" spans="9:35" s="1" customFormat="1" ht="20.100000000000001" customHeight="1">
      <c r="Y56" s="1">
        <v>80001015</v>
      </c>
      <c r="Z56" s="1" t="s">
        <v>2354</v>
      </c>
      <c r="AB56" s="1" t="s">
        <v>2364</v>
      </c>
      <c r="AH56" s="1">
        <v>80001016</v>
      </c>
      <c r="AI56" s="1" t="s">
        <v>12</v>
      </c>
    </row>
    <row r="57" spans="9:35" s="1" customFormat="1" ht="20.100000000000001" customHeight="1">
      <c r="Y57" s="1">
        <v>80001016</v>
      </c>
      <c r="Z57" s="1" t="s">
        <v>12</v>
      </c>
      <c r="AB57" s="1" t="s">
        <v>2230</v>
      </c>
      <c r="AC57" s="7" t="s">
        <v>2365</v>
      </c>
      <c r="AH57" s="1">
        <v>80001017</v>
      </c>
      <c r="AI57" s="1" t="s">
        <v>1599</v>
      </c>
    </row>
    <row r="58" spans="9:35" s="1" customFormat="1" ht="20.100000000000001" customHeight="1">
      <c r="I58" s="1" t="s">
        <v>2366</v>
      </c>
      <c r="Y58" s="1">
        <v>80001017</v>
      </c>
      <c r="Z58" s="1" t="s">
        <v>1599</v>
      </c>
      <c r="AB58" s="1" t="s">
        <v>2238</v>
      </c>
      <c r="AC58" s="7" t="s">
        <v>2365</v>
      </c>
      <c r="AH58" s="1">
        <v>80001018</v>
      </c>
      <c r="AI58" s="1" t="s">
        <v>2358</v>
      </c>
    </row>
    <row r="59" spans="9:35" s="1" customFormat="1" ht="20.100000000000001" customHeight="1">
      <c r="Y59" s="1">
        <v>80001018</v>
      </c>
      <c r="Z59" s="1" t="s">
        <v>2358</v>
      </c>
      <c r="AB59" s="1" t="s">
        <v>2242</v>
      </c>
      <c r="AC59" s="7" t="s">
        <v>2365</v>
      </c>
      <c r="AH59" s="1">
        <v>80001019</v>
      </c>
      <c r="AI59" s="1" t="s">
        <v>2360</v>
      </c>
    </row>
    <row r="60" spans="9:35" s="1" customFormat="1" ht="20.100000000000001" customHeight="1">
      <c r="Y60" s="1">
        <v>80001019</v>
      </c>
      <c r="Z60" s="1" t="s">
        <v>2360</v>
      </c>
      <c r="AB60" s="1" t="s">
        <v>2245</v>
      </c>
      <c r="AC60" s="7" t="s">
        <v>2365</v>
      </c>
      <c r="AH60" s="1">
        <v>80001020</v>
      </c>
      <c r="AI60" s="1" t="s">
        <v>2362</v>
      </c>
    </row>
    <row r="61" spans="9:35" ht="20.100000000000001" customHeight="1">
      <c r="Y61" s="1">
        <v>80001020</v>
      </c>
      <c r="Z61" s="1" t="s">
        <v>2362</v>
      </c>
      <c r="AB61" s="1" t="s">
        <v>2247</v>
      </c>
      <c r="AC61" s="7" t="s">
        <v>2365</v>
      </c>
    </row>
    <row r="62" spans="9:35" ht="20.100000000000001" customHeight="1"/>
    <row r="63" spans="9:35" ht="20.100000000000001" customHeight="1">
      <c r="I63" s="1"/>
      <c r="J63" s="1"/>
      <c r="AB63" s="1" t="s">
        <v>2367</v>
      </c>
    </row>
    <row r="64" spans="9:35" ht="20.100000000000001" customHeight="1">
      <c r="AB64" s="1" t="s">
        <v>2230</v>
      </c>
      <c r="AC64" s="7" t="s">
        <v>2368</v>
      </c>
    </row>
    <row r="65" spans="1:36" ht="20.100000000000001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R65" s="1"/>
      <c r="S65" s="1"/>
      <c r="T65" s="1"/>
      <c r="U65" s="1"/>
      <c r="V65" s="1"/>
      <c r="W65" s="1"/>
      <c r="X65" s="1"/>
      <c r="Y65" s="1"/>
      <c r="Z65" s="1"/>
      <c r="AA65" s="1"/>
      <c r="AB65" s="1" t="s">
        <v>2238</v>
      </c>
      <c r="AC65" s="7" t="s">
        <v>2369</v>
      </c>
    </row>
    <row r="66" spans="1:36" ht="20.100000000000001" customHeight="1">
      <c r="A66" s="5">
        <v>70000011</v>
      </c>
      <c r="B66" s="1">
        <v>1000101</v>
      </c>
      <c r="C66" s="1" t="s">
        <v>2317</v>
      </c>
      <c r="D66" s="1">
        <v>1</v>
      </c>
      <c r="E66" s="1">
        <v>80001001</v>
      </c>
      <c r="F66" s="1" t="s">
        <v>2319</v>
      </c>
      <c r="G66" s="5"/>
      <c r="H66" s="5"/>
      <c r="I66" s="5"/>
      <c r="J66" s="5"/>
      <c r="K66" s="1">
        <v>80001010</v>
      </c>
      <c r="L66" s="1" t="s">
        <v>765</v>
      </c>
      <c r="M66" s="1">
        <v>0.2</v>
      </c>
      <c r="N66" s="1">
        <v>80001014</v>
      </c>
      <c r="O66" s="1" t="s">
        <v>678</v>
      </c>
      <c r="P66" s="1">
        <v>0.2</v>
      </c>
      <c r="Q66" s="1">
        <v>80001015</v>
      </c>
      <c r="R66" s="1" t="s">
        <v>2354</v>
      </c>
      <c r="S66" s="1">
        <v>0.2</v>
      </c>
      <c r="T66" s="1"/>
      <c r="U66" s="1"/>
      <c r="V66" s="1"/>
      <c r="X66" t="str">
        <f t="shared" ref="X66:X79" si="1">E66&amp;";"&amp;G66</f>
        <v>80001001;</v>
      </c>
      <c r="Z66" t="str">
        <f>K66&amp;","&amp;M66&amp;";"&amp;N66&amp;","&amp;P66&amp;";"&amp;Q66&amp;","&amp;S66&amp;";"&amp;T66&amp;","&amp;V66</f>
        <v>80001010,0.2;80001014,0.2;80001015,0.2;,</v>
      </c>
      <c r="AA66" s="1"/>
      <c r="AB66" s="1" t="s">
        <v>2242</v>
      </c>
      <c r="AC66" s="7" t="s">
        <v>2370</v>
      </c>
      <c r="AE66" s="13">
        <f>SUMIF($AI$66:$AI$140,AF66,$AJ$66:$AJ$140)</f>
        <v>2</v>
      </c>
      <c r="AF66">
        <v>80001001</v>
      </c>
      <c r="AG66" t="s">
        <v>2319</v>
      </c>
      <c r="AI66">
        <v>80001001</v>
      </c>
      <c r="AJ66">
        <v>1</v>
      </c>
    </row>
    <row r="67" spans="1:36" ht="20.100000000000001" customHeight="1">
      <c r="A67" s="21">
        <v>70000012</v>
      </c>
      <c r="B67" s="1">
        <v>1000201</v>
      </c>
      <c r="C67" s="1" t="s">
        <v>2321</v>
      </c>
      <c r="D67" s="1">
        <v>1</v>
      </c>
      <c r="E67" s="1">
        <v>80001002</v>
      </c>
      <c r="F67" s="1" t="s">
        <v>674</v>
      </c>
      <c r="G67" s="1">
        <v>80001013</v>
      </c>
      <c r="H67" s="1" t="s">
        <v>2351</v>
      </c>
      <c r="I67" s="5"/>
      <c r="J67" s="5"/>
      <c r="K67" s="1">
        <v>80001009</v>
      </c>
      <c r="L67" s="1" t="s">
        <v>1282</v>
      </c>
      <c r="M67" s="1">
        <v>0.2</v>
      </c>
      <c r="N67" s="1">
        <v>80001025</v>
      </c>
      <c r="O67" s="1" t="s">
        <v>2402</v>
      </c>
      <c r="P67" s="1">
        <v>0.2</v>
      </c>
      <c r="R67" s="1"/>
      <c r="S67" s="1"/>
      <c r="U67" s="1"/>
      <c r="V67" s="1"/>
      <c r="X67" t="str">
        <f t="shared" si="1"/>
        <v>80001002;80001013</v>
      </c>
      <c r="Z67" t="str">
        <f t="shared" ref="Z67:Z82" si="2">K67&amp;","&amp;M67&amp;";"&amp;N67&amp;","&amp;P67&amp;";"&amp;Q67&amp;","&amp;S67&amp;";"&amp;T67&amp;","&amp;V67</f>
        <v>80001009,0.2;80001025,0.2;,;,</v>
      </c>
      <c r="AA67" s="1"/>
      <c r="AB67" s="1" t="s">
        <v>2245</v>
      </c>
      <c r="AC67" s="7" t="s">
        <v>2371</v>
      </c>
      <c r="AE67" s="13">
        <f t="shared" ref="AE67:AE121" si="3">SUMIF($AI$66:$AI$140,AF67,$AJ$66:$AJ$140)</f>
        <v>3</v>
      </c>
      <c r="AF67">
        <v>80001002</v>
      </c>
      <c r="AG67" t="s">
        <v>674</v>
      </c>
      <c r="AI67">
        <v>80001002</v>
      </c>
      <c r="AJ67">
        <v>1</v>
      </c>
    </row>
    <row r="68" spans="1:36" ht="20.100000000000001" customHeight="1">
      <c r="A68" s="5">
        <v>70000011</v>
      </c>
      <c r="B68" s="1">
        <v>1000301</v>
      </c>
      <c r="C68" s="1" t="s">
        <v>2325</v>
      </c>
      <c r="D68" s="1">
        <v>1</v>
      </c>
      <c r="E68" s="1">
        <v>80001018</v>
      </c>
      <c r="F68" s="1" t="s">
        <v>2358</v>
      </c>
      <c r="G68" s="5"/>
      <c r="H68" s="5"/>
      <c r="I68" s="5"/>
      <c r="J68" s="5"/>
      <c r="K68" s="1">
        <v>80001012</v>
      </c>
      <c r="L68" s="1" t="s">
        <v>2349</v>
      </c>
      <c r="M68" s="1">
        <v>0.2</v>
      </c>
      <c r="N68" s="1">
        <v>80001004</v>
      </c>
      <c r="O68" s="1" t="s">
        <v>2330</v>
      </c>
      <c r="P68" s="1">
        <v>0.2</v>
      </c>
      <c r="Q68" s="1">
        <v>80001007</v>
      </c>
      <c r="R68" s="1" t="s">
        <v>1278</v>
      </c>
      <c r="S68" s="1">
        <v>0.2</v>
      </c>
      <c r="T68" s="1"/>
      <c r="U68" s="1"/>
      <c r="V68" s="1"/>
      <c r="X68" t="str">
        <f t="shared" si="1"/>
        <v>80001018;</v>
      </c>
      <c r="Z68" t="str">
        <f t="shared" si="2"/>
        <v>80001012,0.2;80001004,0.2;80001007,0.2;,</v>
      </c>
      <c r="AA68" s="1"/>
      <c r="AB68" s="1" t="s">
        <v>2247</v>
      </c>
      <c r="AC68" s="7" t="s">
        <v>2372</v>
      </c>
      <c r="AE68" s="13">
        <f t="shared" si="3"/>
        <v>1</v>
      </c>
      <c r="AF68">
        <v>80001003</v>
      </c>
      <c r="AG68" t="s">
        <v>2266</v>
      </c>
      <c r="AI68">
        <v>80001018</v>
      </c>
      <c r="AJ68">
        <v>1</v>
      </c>
    </row>
    <row r="69" spans="1:36" ht="20.100000000000001" customHeight="1">
      <c r="A69" s="5">
        <v>70000011</v>
      </c>
      <c r="B69" s="1">
        <v>1000401</v>
      </c>
      <c r="C69" s="1" t="s">
        <v>2328</v>
      </c>
      <c r="D69" s="1">
        <v>2</v>
      </c>
      <c r="E69" s="1">
        <v>80001004</v>
      </c>
      <c r="F69" s="1" t="s">
        <v>2330</v>
      </c>
      <c r="G69" s="1"/>
      <c r="H69" s="1"/>
      <c r="I69" s="1"/>
      <c r="J69" s="5"/>
      <c r="K69" s="1">
        <v>80002007</v>
      </c>
      <c r="L69" s="1" t="s">
        <v>2373</v>
      </c>
      <c r="M69" s="1">
        <v>0.2</v>
      </c>
      <c r="N69" s="1">
        <v>80001023</v>
      </c>
      <c r="O69" s="1" t="s">
        <v>429</v>
      </c>
      <c r="P69" s="1">
        <v>0.2</v>
      </c>
      <c r="Q69" s="111">
        <v>80003001</v>
      </c>
      <c r="R69" s="112" t="s">
        <v>2868</v>
      </c>
      <c r="S69" s="1">
        <v>0.1</v>
      </c>
      <c r="T69" s="1"/>
      <c r="U69" s="1"/>
      <c r="V69" s="1"/>
      <c r="X69" t="str">
        <f t="shared" si="1"/>
        <v>80001004;</v>
      </c>
      <c r="Z69" t="str">
        <f t="shared" si="2"/>
        <v>80002007,0.2;80001023,0.2;80003001,0.1;,</v>
      </c>
      <c r="AA69" s="1"/>
      <c r="AE69" s="13">
        <f t="shared" si="3"/>
        <v>3</v>
      </c>
      <c r="AF69">
        <v>80001004</v>
      </c>
      <c r="AG69" t="s">
        <v>2330</v>
      </c>
      <c r="AI69">
        <v>80001004</v>
      </c>
      <c r="AJ69">
        <v>1</v>
      </c>
    </row>
    <row r="70" spans="1:36" ht="20.100000000000001" customHeight="1">
      <c r="A70" s="21">
        <v>70000012</v>
      </c>
      <c r="B70" s="1">
        <v>1000501</v>
      </c>
      <c r="C70" s="1" t="s">
        <v>2332</v>
      </c>
      <c r="D70" s="1">
        <v>2</v>
      </c>
      <c r="E70" s="1">
        <v>80001005</v>
      </c>
      <c r="F70" s="1" t="s">
        <v>2292</v>
      </c>
      <c r="G70" s="1">
        <v>80001019</v>
      </c>
      <c r="H70" s="1" t="s">
        <v>2360</v>
      </c>
      <c r="I70" s="1"/>
      <c r="J70" s="5"/>
      <c r="K70" s="1">
        <v>80001017</v>
      </c>
      <c r="L70" s="1" t="s">
        <v>1599</v>
      </c>
      <c r="M70" s="1">
        <v>0.2</v>
      </c>
      <c r="N70" s="1">
        <v>80001008</v>
      </c>
      <c r="O70" s="1" t="s">
        <v>2343</v>
      </c>
      <c r="P70" s="1">
        <v>0.2</v>
      </c>
      <c r="Q70" s="1">
        <v>80001021</v>
      </c>
      <c r="R70" s="1" t="s">
        <v>1783</v>
      </c>
      <c r="S70" s="1">
        <v>0.2</v>
      </c>
      <c r="U70" s="1"/>
      <c r="V70" s="1"/>
      <c r="X70" t="str">
        <f t="shared" si="1"/>
        <v>80001005;80001019</v>
      </c>
      <c r="Z70" t="str">
        <f t="shared" si="2"/>
        <v>80001017,0.2;80001008,0.2;80001021,0.2;,</v>
      </c>
      <c r="AA70" s="1"/>
      <c r="AE70" s="13">
        <f t="shared" si="3"/>
        <v>2</v>
      </c>
      <c r="AF70">
        <v>80001005</v>
      </c>
      <c r="AG70" t="s">
        <v>2292</v>
      </c>
      <c r="AI70">
        <v>80001005</v>
      </c>
      <c r="AJ70">
        <v>1</v>
      </c>
    </row>
    <row r="71" spans="1:36" ht="20.100000000000001" customHeight="1">
      <c r="A71" s="5">
        <v>70000011</v>
      </c>
      <c r="B71" s="1">
        <v>1000601</v>
      </c>
      <c r="C71" s="1" t="s">
        <v>2335</v>
      </c>
      <c r="D71" s="1">
        <v>2</v>
      </c>
      <c r="E71" s="1">
        <v>80001006</v>
      </c>
      <c r="F71" s="1" t="s">
        <v>2337</v>
      </c>
      <c r="I71" s="1"/>
      <c r="J71" s="5"/>
      <c r="K71" s="1">
        <v>80001015</v>
      </c>
      <c r="L71" s="1" t="s">
        <v>2354</v>
      </c>
      <c r="M71" s="1">
        <v>0.2</v>
      </c>
      <c r="N71" s="1">
        <v>80001010</v>
      </c>
      <c r="O71" s="1" t="s">
        <v>765</v>
      </c>
      <c r="P71" s="1">
        <v>0.2</v>
      </c>
      <c r="Q71" s="1">
        <v>80002006</v>
      </c>
      <c r="R71" s="1" t="s">
        <v>2374</v>
      </c>
      <c r="S71" s="1">
        <v>0.2</v>
      </c>
      <c r="T71" s="1"/>
      <c r="U71" s="1"/>
      <c r="V71" s="1"/>
      <c r="X71" t="str">
        <f t="shared" si="1"/>
        <v>80001006;</v>
      </c>
      <c r="Z71" t="str">
        <f t="shared" si="2"/>
        <v>80001015,0.2;80001010,0.2;80002006,0.2;,</v>
      </c>
      <c r="AA71" s="1"/>
      <c r="AE71" s="13">
        <f t="shared" si="3"/>
        <v>3</v>
      </c>
      <c r="AF71">
        <v>80001006</v>
      </c>
      <c r="AG71" t="s">
        <v>2722</v>
      </c>
      <c r="AI71">
        <v>80001006</v>
      </c>
      <c r="AJ71">
        <v>1</v>
      </c>
    </row>
    <row r="72" spans="1:36" ht="20.100000000000001" customHeight="1">
      <c r="A72" s="5">
        <v>70000011</v>
      </c>
      <c r="B72" s="1">
        <v>1000701</v>
      </c>
      <c r="C72" s="1" t="s">
        <v>2339</v>
      </c>
      <c r="D72" s="1">
        <v>3</v>
      </c>
      <c r="E72" s="1">
        <v>80001007</v>
      </c>
      <c r="F72" s="1" t="s">
        <v>1278</v>
      </c>
      <c r="G72" s="1"/>
      <c r="H72" s="1"/>
      <c r="I72" s="5"/>
      <c r="K72" s="1">
        <v>80001006</v>
      </c>
      <c r="L72" s="1" t="s">
        <v>2337</v>
      </c>
      <c r="M72" s="1">
        <v>0.2</v>
      </c>
      <c r="N72" s="1">
        <v>80002018</v>
      </c>
      <c r="O72" s="1" t="s">
        <v>2375</v>
      </c>
      <c r="P72" s="1">
        <v>0.2</v>
      </c>
      <c r="Q72" s="1">
        <v>80001022</v>
      </c>
      <c r="R72" s="1" t="s">
        <v>2376</v>
      </c>
      <c r="S72" s="1">
        <v>0.2</v>
      </c>
      <c r="T72" s="111">
        <v>80003002</v>
      </c>
      <c r="U72" s="112" t="s">
        <v>2869</v>
      </c>
      <c r="V72" s="1">
        <v>0.1</v>
      </c>
      <c r="X72" t="str">
        <f t="shared" si="1"/>
        <v>80001007;</v>
      </c>
      <c r="Z72" t="str">
        <f t="shared" si="2"/>
        <v>80001006,0.2;80002018,0.2;80001022,0.2;80003002,0.1</v>
      </c>
      <c r="AA72" s="1"/>
      <c r="AE72" s="13">
        <f t="shared" si="3"/>
        <v>2</v>
      </c>
      <c r="AF72">
        <v>80001007</v>
      </c>
      <c r="AG72" t="s">
        <v>1278</v>
      </c>
      <c r="AI72">
        <v>80001007</v>
      </c>
      <c r="AJ72">
        <v>1</v>
      </c>
    </row>
    <row r="73" spans="1:36" ht="20.100000000000001" customHeight="1">
      <c r="A73" s="5">
        <v>70000011</v>
      </c>
      <c r="B73" s="1">
        <v>1000801</v>
      </c>
      <c r="C73" s="1" t="s">
        <v>2342</v>
      </c>
      <c r="D73" s="1">
        <v>3</v>
      </c>
      <c r="E73" s="1">
        <v>80001008</v>
      </c>
      <c r="F73" s="1" t="s">
        <v>2343</v>
      </c>
      <c r="G73" s="1">
        <v>80001020</v>
      </c>
      <c r="H73" s="1" t="s">
        <v>2362</v>
      </c>
      <c r="I73" s="5"/>
      <c r="J73" s="5"/>
      <c r="K73" s="1">
        <v>80001011</v>
      </c>
      <c r="L73" s="1" t="s">
        <v>2347</v>
      </c>
      <c r="M73" s="1">
        <v>0.2</v>
      </c>
      <c r="N73" s="1">
        <v>80002015</v>
      </c>
      <c r="O73" s="1" t="s">
        <v>2377</v>
      </c>
      <c r="P73" s="1">
        <v>0.2</v>
      </c>
      <c r="Q73" s="1">
        <v>80001024</v>
      </c>
      <c r="R73" s="1" t="s">
        <v>2378</v>
      </c>
      <c r="S73" s="1">
        <v>0.2</v>
      </c>
      <c r="V73" s="1"/>
      <c r="X73" t="str">
        <f t="shared" si="1"/>
        <v>80001008;80001020</v>
      </c>
      <c r="Z73" t="str">
        <f t="shared" si="2"/>
        <v>80001011,0.2;80002015,0.2;80001024,0.2;,</v>
      </c>
      <c r="AA73" s="1"/>
      <c r="AE73" s="13">
        <f t="shared" si="3"/>
        <v>2</v>
      </c>
      <c r="AF73">
        <v>80001008</v>
      </c>
      <c r="AG73" t="s">
        <v>2343</v>
      </c>
      <c r="AI73">
        <v>80001008</v>
      </c>
      <c r="AJ73">
        <v>1</v>
      </c>
    </row>
    <row r="74" spans="1:36" ht="20.100000000000001" customHeight="1">
      <c r="A74" s="5">
        <v>70000011</v>
      </c>
      <c r="B74" s="1">
        <v>1000901</v>
      </c>
      <c r="C74" s="1" t="s">
        <v>2379</v>
      </c>
      <c r="D74" s="1">
        <v>2</v>
      </c>
      <c r="E74" s="1">
        <v>80001009</v>
      </c>
      <c r="F74" s="1" t="s">
        <v>1282</v>
      </c>
      <c r="G74" s="1"/>
      <c r="H74" s="1"/>
      <c r="I74" s="5"/>
      <c r="J74" s="5"/>
      <c r="K74" s="1">
        <v>80002001</v>
      </c>
      <c r="L74" s="1" t="s">
        <v>2380</v>
      </c>
      <c r="M74" s="1">
        <v>0.2</v>
      </c>
      <c r="N74" s="1">
        <v>80001014</v>
      </c>
      <c r="O74" s="1" t="s">
        <v>678</v>
      </c>
      <c r="P74" s="1">
        <v>0.2</v>
      </c>
      <c r="Q74" s="1">
        <v>80001028</v>
      </c>
      <c r="R74" s="1" t="s">
        <v>2381</v>
      </c>
      <c r="S74" s="1">
        <v>0.2</v>
      </c>
      <c r="T74" s="1">
        <v>80002022</v>
      </c>
      <c r="U74" s="1" t="s">
        <v>2382</v>
      </c>
      <c r="V74" s="1">
        <v>0.2</v>
      </c>
      <c r="X74" t="str">
        <f t="shared" si="1"/>
        <v>80001009;</v>
      </c>
      <c r="Z74" t="str">
        <f t="shared" si="2"/>
        <v>80002001,0.2;80001014,0.2;80001028,0.2;80002022,0.2</v>
      </c>
      <c r="AA74" s="1"/>
      <c r="AE74" s="13">
        <f t="shared" si="3"/>
        <v>2</v>
      </c>
      <c r="AF74">
        <v>80001009</v>
      </c>
      <c r="AG74" t="s">
        <v>1282</v>
      </c>
      <c r="AI74">
        <v>80001009</v>
      </c>
      <c r="AJ74">
        <v>1</v>
      </c>
    </row>
    <row r="75" spans="1:36" ht="20.100000000000001" customHeight="1">
      <c r="A75" s="5">
        <v>70000011</v>
      </c>
      <c r="B75" s="1">
        <v>1001001</v>
      </c>
      <c r="C75" s="1" t="s">
        <v>2383</v>
      </c>
      <c r="D75" s="1">
        <v>3</v>
      </c>
      <c r="E75" s="1">
        <v>80001010</v>
      </c>
      <c r="F75" s="1" t="s">
        <v>765</v>
      </c>
      <c r="G75" s="1">
        <v>80001001</v>
      </c>
      <c r="H75" s="1" t="s">
        <v>2319</v>
      </c>
      <c r="I75" s="5"/>
      <c r="J75" s="5"/>
      <c r="K75" s="1">
        <v>80001002</v>
      </c>
      <c r="L75" s="1" t="s">
        <v>674</v>
      </c>
      <c r="M75" s="1">
        <v>0.2</v>
      </c>
      <c r="N75" s="1">
        <v>80002019</v>
      </c>
      <c r="O75" s="1" t="s">
        <v>2384</v>
      </c>
      <c r="P75" s="1">
        <v>0.2</v>
      </c>
      <c r="Q75" s="111">
        <v>80003003</v>
      </c>
      <c r="R75" s="112" t="s">
        <v>2870</v>
      </c>
      <c r="S75" s="1">
        <v>0.1</v>
      </c>
      <c r="T75" s="111"/>
      <c r="U75" s="112"/>
      <c r="V75" s="1"/>
      <c r="W75" s="1"/>
      <c r="X75" t="str">
        <f t="shared" si="1"/>
        <v>80001010;80001001</v>
      </c>
      <c r="Z75" t="str">
        <f t="shared" si="2"/>
        <v>80001002,0.2;80002019,0.2;80003003,0.1;,</v>
      </c>
      <c r="AA75" s="1"/>
      <c r="AE75" s="13">
        <f t="shared" si="3"/>
        <v>3</v>
      </c>
      <c r="AF75">
        <v>80001010</v>
      </c>
      <c r="AG75" t="s">
        <v>765</v>
      </c>
      <c r="AI75">
        <v>80001010</v>
      </c>
      <c r="AJ75">
        <v>1</v>
      </c>
    </row>
    <row r="76" spans="1:36" ht="20.100000000000001" customHeight="1">
      <c r="A76" s="21">
        <v>70000012</v>
      </c>
      <c r="B76" s="1">
        <v>1001101</v>
      </c>
      <c r="C76" s="1" t="s">
        <v>2385</v>
      </c>
      <c r="D76" s="1">
        <v>3</v>
      </c>
      <c r="E76" s="1">
        <v>80001011</v>
      </c>
      <c r="F76" s="1" t="s">
        <v>2347</v>
      </c>
      <c r="G76" s="1">
        <v>80001003</v>
      </c>
      <c r="H76" s="1" t="s">
        <v>2266</v>
      </c>
      <c r="I76" s="5"/>
      <c r="J76" s="5"/>
      <c r="K76" s="1">
        <v>80001015</v>
      </c>
      <c r="L76" s="1" t="s">
        <v>2354</v>
      </c>
      <c r="M76" s="1">
        <v>0.2</v>
      </c>
      <c r="N76" s="1">
        <v>80002002</v>
      </c>
      <c r="O76" s="1" t="s">
        <v>2386</v>
      </c>
      <c r="P76" s="1">
        <v>0.2</v>
      </c>
      <c r="Q76" s="1">
        <v>80001027</v>
      </c>
      <c r="R76" s="1" t="s">
        <v>2387</v>
      </c>
      <c r="S76" s="1">
        <v>0.1</v>
      </c>
      <c r="T76" s="1">
        <v>80002021</v>
      </c>
      <c r="U76" s="1" t="s">
        <v>2388</v>
      </c>
      <c r="V76" s="1">
        <v>0.1</v>
      </c>
      <c r="X76" t="str">
        <f t="shared" si="1"/>
        <v>80001011;80001003</v>
      </c>
      <c r="Z76" t="str">
        <f t="shared" si="2"/>
        <v>80001015,0.2;80002002,0.2;80001027,0.1;80002021,0.1</v>
      </c>
      <c r="AA76" s="1"/>
      <c r="AE76" s="13">
        <f t="shared" si="3"/>
        <v>2</v>
      </c>
      <c r="AF76">
        <v>80001011</v>
      </c>
      <c r="AG76" t="s">
        <v>2347</v>
      </c>
      <c r="AI76">
        <v>80001011</v>
      </c>
      <c r="AJ76">
        <v>1</v>
      </c>
    </row>
    <row r="77" spans="1:36" ht="20.100000000000001" customHeight="1">
      <c r="A77" s="21">
        <v>70000012</v>
      </c>
      <c r="B77" s="1">
        <v>1001201</v>
      </c>
      <c r="C77" s="1" t="s">
        <v>2389</v>
      </c>
      <c r="D77" s="1">
        <v>3</v>
      </c>
      <c r="E77" s="1">
        <v>80001012</v>
      </c>
      <c r="F77" s="1" t="s">
        <v>2349</v>
      </c>
      <c r="G77" s="1">
        <v>80002025</v>
      </c>
      <c r="H77" s="1" t="s">
        <v>2390</v>
      </c>
      <c r="I77" s="5"/>
      <c r="J77" s="5"/>
      <c r="K77" s="1">
        <v>80002010</v>
      </c>
      <c r="L77" s="1" t="s">
        <v>2391</v>
      </c>
      <c r="M77" s="1">
        <v>0.2</v>
      </c>
      <c r="N77" s="1">
        <v>80002003</v>
      </c>
      <c r="O77" s="1" t="s">
        <v>2392</v>
      </c>
      <c r="P77" s="1">
        <v>0.2</v>
      </c>
      <c r="Q77" s="1">
        <v>80001026</v>
      </c>
      <c r="R77" s="1" t="s">
        <v>2393</v>
      </c>
      <c r="S77" s="1">
        <v>0.1</v>
      </c>
      <c r="T77" s="1">
        <v>80002027</v>
      </c>
      <c r="U77" s="1" t="s">
        <v>2394</v>
      </c>
      <c r="V77" s="1">
        <v>0.1</v>
      </c>
      <c r="X77" t="str">
        <f t="shared" si="1"/>
        <v>80001012;80002025</v>
      </c>
      <c r="Z77" t="str">
        <f t="shared" si="2"/>
        <v>80002010,0.2;80002003,0.2;80001026,0.1;80002027,0.1</v>
      </c>
      <c r="AA77" s="1"/>
      <c r="AE77" s="13">
        <f t="shared" si="3"/>
        <v>2</v>
      </c>
      <c r="AF77">
        <v>80001012</v>
      </c>
      <c r="AG77" t="s">
        <v>2349</v>
      </c>
      <c r="AI77">
        <v>80001012</v>
      </c>
      <c r="AJ77">
        <v>1</v>
      </c>
    </row>
    <row r="78" spans="1:36" ht="20.100000000000001" customHeight="1">
      <c r="A78" s="5">
        <v>70000011</v>
      </c>
      <c r="B78" s="1">
        <v>1001301</v>
      </c>
      <c r="C78" s="1" t="s">
        <v>2395</v>
      </c>
      <c r="D78" s="1">
        <v>3</v>
      </c>
      <c r="E78" s="1">
        <v>80001006</v>
      </c>
      <c r="F78" s="1" t="s">
        <v>2337</v>
      </c>
      <c r="G78" s="1"/>
      <c r="H78" s="1"/>
      <c r="I78" s="5"/>
      <c r="J78" s="5"/>
      <c r="K78" s="1">
        <v>80002004</v>
      </c>
      <c r="L78" s="1" t="s">
        <v>2396</v>
      </c>
      <c r="M78" s="1">
        <v>0.2</v>
      </c>
      <c r="N78" s="1">
        <v>80002016</v>
      </c>
      <c r="O78" s="1" t="s">
        <v>2397</v>
      </c>
      <c r="P78" s="1">
        <v>0.2</v>
      </c>
      <c r="Q78" s="1">
        <v>80002023</v>
      </c>
      <c r="R78" s="1" t="s">
        <v>2398</v>
      </c>
      <c r="S78" s="1">
        <v>0.2</v>
      </c>
      <c r="T78" s="111">
        <v>80003004</v>
      </c>
      <c r="U78" s="112" t="s">
        <v>2871</v>
      </c>
      <c r="V78" s="1">
        <v>0.1</v>
      </c>
      <c r="X78" t="str">
        <f t="shared" si="1"/>
        <v>80001006;</v>
      </c>
      <c r="Z78" t="str">
        <f t="shared" si="2"/>
        <v>80002004,0.2;80002016,0.2;80002023,0.2;80003004,0.1</v>
      </c>
      <c r="AA78" s="1"/>
      <c r="AE78" s="13">
        <f t="shared" si="3"/>
        <v>1</v>
      </c>
      <c r="AF78">
        <v>80001013</v>
      </c>
      <c r="AG78" t="s">
        <v>2351</v>
      </c>
      <c r="AI78">
        <v>80001006</v>
      </c>
      <c r="AJ78">
        <v>1</v>
      </c>
    </row>
    <row r="79" spans="1:36" ht="20.100000000000001" customHeight="1">
      <c r="A79" s="21">
        <v>70000012</v>
      </c>
      <c r="B79" s="1">
        <v>1001401</v>
      </c>
      <c r="C79" s="1" t="s">
        <v>2399</v>
      </c>
      <c r="D79" s="1">
        <v>3</v>
      </c>
      <c r="E79" s="1">
        <v>80001014</v>
      </c>
      <c r="F79" s="1" t="s">
        <v>678</v>
      </c>
      <c r="G79" s="1"/>
      <c r="H79" s="1"/>
      <c r="I79" s="5"/>
      <c r="J79" s="5"/>
      <c r="K79" s="1">
        <v>80002009</v>
      </c>
      <c r="L79" s="1" t="s">
        <v>2400</v>
      </c>
      <c r="M79" s="1">
        <v>0.2</v>
      </c>
      <c r="N79" s="1">
        <v>80002013</v>
      </c>
      <c r="O79" s="1" t="s">
        <v>2401</v>
      </c>
      <c r="P79" s="1">
        <v>0.2</v>
      </c>
      <c r="Q79" s="1">
        <v>80002003</v>
      </c>
      <c r="R79" s="1" t="s">
        <v>2392</v>
      </c>
      <c r="S79" s="1">
        <v>0.2</v>
      </c>
      <c r="T79" s="111">
        <v>80003005</v>
      </c>
      <c r="U79" s="113" t="s">
        <v>483</v>
      </c>
      <c r="V79" s="1">
        <v>0.1</v>
      </c>
      <c r="X79" t="str">
        <f t="shared" si="1"/>
        <v>80001014;</v>
      </c>
      <c r="Z79" t="str">
        <f t="shared" si="2"/>
        <v>80002009,0.2;80002013,0.2;80002003,0.2;80003005,0.1</v>
      </c>
      <c r="AA79" s="1"/>
      <c r="AE79" s="13">
        <f t="shared" si="3"/>
        <v>3</v>
      </c>
      <c r="AF79">
        <v>80001014</v>
      </c>
      <c r="AG79" t="s">
        <v>678</v>
      </c>
      <c r="AI79">
        <v>80001014</v>
      </c>
      <c r="AJ79">
        <v>1</v>
      </c>
    </row>
    <row r="80" spans="1:36" s="5" customFormat="1" ht="20.100000000000001" customHeight="1">
      <c r="A80" s="1"/>
      <c r="B80" s="1">
        <v>1009101</v>
      </c>
      <c r="C80" s="1" t="s">
        <v>2717</v>
      </c>
      <c r="D80" s="1">
        <v>4</v>
      </c>
      <c r="E80" s="1">
        <v>80002008</v>
      </c>
      <c r="F80" s="1" t="s">
        <v>2406</v>
      </c>
      <c r="G80" s="1">
        <v>80001016</v>
      </c>
      <c r="H80" s="1" t="s">
        <v>12</v>
      </c>
      <c r="I80" s="1"/>
      <c r="J80" s="1"/>
      <c r="K80" s="1">
        <v>80002017</v>
      </c>
      <c r="L80" s="1" t="s">
        <v>2404</v>
      </c>
      <c r="M80" s="1">
        <v>0.2</v>
      </c>
      <c r="N80" s="1">
        <v>80002018</v>
      </c>
      <c r="O80" s="1" t="s">
        <v>2375</v>
      </c>
      <c r="P80" s="1">
        <v>0.2</v>
      </c>
      <c r="Q80" s="111">
        <v>80003006</v>
      </c>
      <c r="R80" s="112" t="s">
        <v>2872</v>
      </c>
      <c r="S80" s="1">
        <v>0.1</v>
      </c>
      <c r="T80"/>
      <c r="U80"/>
      <c r="V80" s="1"/>
      <c r="W80"/>
      <c r="X80" t="str">
        <f t="shared" ref="X80:X82" si="4">E80&amp;";"&amp;G80</f>
        <v>80002008;80001016</v>
      </c>
      <c r="Z80" t="str">
        <f t="shared" si="2"/>
        <v>80002017,0.2;80002018,0.2;80003006,0.1;,</v>
      </c>
      <c r="AA80" s="1"/>
      <c r="AE80" s="1">
        <f t="shared" si="3"/>
        <v>3</v>
      </c>
      <c r="AF80" s="5">
        <v>80001015</v>
      </c>
      <c r="AG80" s="5" t="s">
        <v>2354</v>
      </c>
      <c r="AI80" s="5">
        <v>80001013</v>
      </c>
      <c r="AJ80" s="5">
        <v>1</v>
      </c>
    </row>
    <row r="81" spans="1:36" s="5" customFormat="1" ht="20.100000000000001" customHeight="1">
      <c r="A81" s="1"/>
      <c r="B81" s="1">
        <v>1009201</v>
      </c>
      <c r="C81" s="1" t="s">
        <v>2718</v>
      </c>
      <c r="D81" s="1">
        <v>4</v>
      </c>
      <c r="E81" s="1">
        <v>80002024</v>
      </c>
      <c r="F81" s="1" t="s">
        <v>2408</v>
      </c>
      <c r="G81" s="1"/>
      <c r="H81" s="1"/>
      <c r="I81" s="1"/>
      <c r="J81" s="1"/>
      <c r="K81" s="1">
        <v>80002014</v>
      </c>
      <c r="L81" s="1" t="s">
        <v>2405</v>
      </c>
      <c r="M81" s="1">
        <v>0.2</v>
      </c>
      <c r="N81" s="1">
        <v>80001020</v>
      </c>
      <c r="O81" s="1" t="s">
        <v>2362</v>
      </c>
      <c r="P81" s="1">
        <v>0.2</v>
      </c>
      <c r="Q81" s="1">
        <v>80001026</v>
      </c>
      <c r="R81" s="1" t="s">
        <v>2393</v>
      </c>
      <c r="S81" s="1">
        <v>0.2</v>
      </c>
      <c r="T81" s="111">
        <v>80003007</v>
      </c>
      <c r="U81" s="112" t="s">
        <v>2873</v>
      </c>
      <c r="V81" s="1">
        <v>0.1</v>
      </c>
      <c r="W81"/>
      <c r="X81" t="str">
        <f t="shared" si="4"/>
        <v>80002024;</v>
      </c>
      <c r="Z81" t="str">
        <f t="shared" si="2"/>
        <v>80002014,0.2;80001020,0.2;80001026,0.2;80003007,0.1</v>
      </c>
      <c r="AE81" s="1">
        <f t="shared" si="3"/>
        <v>0</v>
      </c>
      <c r="AF81" s="5">
        <v>80001016</v>
      </c>
      <c r="AG81" s="5" t="s">
        <v>12</v>
      </c>
      <c r="AJ81" s="5">
        <v>1</v>
      </c>
    </row>
    <row r="82" spans="1:36" s="5" customFormat="1" ht="20.100000000000001" customHeight="1">
      <c r="A82" s="1"/>
      <c r="B82" s="1">
        <v>1009301</v>
      </c>
      <c r="C82" s="1" t="s">
        <v>2719</v>
      </c>
      <c r="D82" s="1">
        <v>4</v>
      </c>
      <c r="E82" s="1">
        <v>80002005</v>
      </c>
      <c r="F82" s="1" t="s">
        <v>2415</v>
      </c>
      <c r="G82" s="1"/>
      <c r="H82" s="1"/>
      <c r="I82" s="1"/>
      <c r="J82" s="1"/>
      <c r="K82" s="1">
        <v>80002020</v>
      </c>
      <c r="L82" s="1" t="s">
        <v>2423</v>
      </c>
      <c r="M82" s="1">
        <v>0.2</v>
      </c>
      <c r="N82" s="1">
        <v>80002026</v>
      </c>
      <c r="O82" s="1" t="s">
        <v>2425</v>
      </c>
      <c r="P82" s="1">
        <v>0.2</v>
      </c>
      <c r="Q82" s="1">
        <v>80001003</v>
      </c>
      <c r="R82" s="1" t="s">
        <v>2266</v>
      </c>
      <c r="S82" s="1">
        <v>0.2</v>
      </c>
      <c r="T82" s="111">
        <v>80003008</v>
      </c>
      <c r="U82" s="112" t="s">
        <v>2874</v>
      </c>
      <c r="V82" s="1">
        <v>0.1</v>
      </c>
      <c r="W82"/>
      <c r="X82" t="str">
        <f t="shared" si="4"/>
        <v>80002005;</v>
      </c>
      <c r="Z82" t="str">
        <f t="shared" si="2"/>
        <v>80002020,0.2;80002026,0.2;80001003,0.2;80003008,0.1</v>
      </c>
      <c r="AA82" s="1"/>
      <c r="AE82" s="1">
        <f t="shared" si="3"/>
        <v>1</v>
      </c>
      <c r="AF82" s="5">
        <v>80001017</v>
      </c>
      <c r="AG82" s="5" t="s">
        <v>1599</v>
      </c>
      <c r="AI82" s="5">
        <v>80001018</v>
      </c>
      <c r="AJ82" s="5">
        <v>1</v>
      </c>
    </row>
    <row r="83" spans="1:36" ht="20.100000000000001" customHeight="1">
      <c r="A83" s="13"/>
      <c r="B83" s="13"/>
      <c r="C83" s="13"/>
      <c r="D83" s="13"/>
      <c r="E83" s="1"/>
      <c r="F83" s="1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"/>
      <c r="S83" s="1"/>
      <c r="T83" s="1"/>
      <c r="U83" s="13"/>
      <c r="V83" s="13"/>
      <c r="W83" s="13"/>
      <c r="X83" s="13"/>
      <c r="AA83" s="1"/>
      <c r="AE83" s="13">
        <f t="shared" si="3"/>
        <v>3</v>
      </c>
      <c r="AF83">
        <v>80001018</v>
      </c>
      <c r="AG83" t="s">
        <v>2358</v>
      </c>
      <c r="AI83">
        <v>80001019</v>
      </c>
      <c r="AJ83">
        <v>1</v>
      </c>
    </row>
    <row r="84" spans="1:36" ht="20.100000000000001" customHeight="1">
      <c r="E84" s="1"/>
      <c r="F84" s="1"/>
      <c r="R84" s="1"/>
      <c r="S84" s="1"/>
      <c r="T84" s="1"/>
      <c r="AA84" s="1"/>
      <c r="AE84" s="13">
        <f t="shared" si="3"/>
        <v>1</v>
      </c>
      <c r="AF84">
        <v>80001019</v>
      </c>
      <c r="AG84" t="s">
        <v>2360</v>
      </c>
      <c r="AJ84">
        <v>1</v>
      </c>
    </row>
    <row r="85" spans="1:36" ht="20.100000000000001" customHeight="1">
      <c r="E85" s="1"/>
      <c r="F85" s="1"/>
      <c r="Q85" s="1"/>
      <c r="S85" s="1"/>
      <c r="T85" s="1"/>
      <c r="AA85" s="1"/>
      <c r="AE85" s="13">
        <f t="shared" si="3"/>
        <v>1</v>
      </c>
      <c r="AF85">
        <v>80001020</v>
      </c>
      <c r="AG85" t="s">
        <v>2362</v>
      </c>
      <c r="AI85">
        <v>80001005</v>
      </c>
      <c r="AJ85">
        <v>1</v>
      </c>
    </row>
    <row r="86" spans="1:36" ht="20.100000000000001" customHeight="1">
      <c r="E86" s="1"/>
      <c r="F86" s="1"/>
      <c r="R86" s="1"/>
      <c r="S86" s="1"/>
      <c r="T86" s="1"/>
      <c r="U86" s="1"/>
      <c r="V86" s="1"/>
      <c r="W86" s="1"/>
      <c r="X86" s="1"/>
      <c r="Y86" s="1"/>
      <c r="Z86" s="1"/>
      <c r="AA86" s="1"/>
      <c r="AE86" s="13">
        <f t="shared" si="3"/>
        <v>1</v>
      </c>
      <c r="AF86">
        <v>80001021</v>
      </c>
      <c r="AG86" t="s">
        <v>1783</v>
      </c>
      <c r="AI86">
        <v>80001020</v>
      </c>
      <c r="AJ86">
        <v>1</v>
      </c>
    </row>
    <row r="87" spans="1:36" ht="20.100000000000001" customHeight="1">
      <c r="B87" s="1">
        <v>2000001</v>
      </c>
      <c r="C87" s="1" t="s">
        <v>2403</v>
      </c>
      <c r="D87" s="1"/>
      <c r="E87" s="1"/>
      <c r="F87" s="1" t="s">
        <v>2876</v>
      </c>
      <c r="G87" s="1"/>
      <c r="H87" s="1" t="s">
        <v>2384</v>
      </c>
      <c r="I87" s="1"/>
      <c r="J87" s="1" t="s">
        <v>2404</v>
      </c>
      <c r="K87" s="1"/>
      <c r="L87" s="1" t="s">
        <v>2397</v>
      </c>
      <c r="M87" s="1"/>
      <c r="N87" s="1" t="s">
        <v>2401</v>
      </c>
      <c r="O87" s="1"/>
      <c r="P87" s="1" t="s">
        <v>2391</v>
      </c>
      <c r="Q87" s="1"/>
      <c r="R87" s="1" t="s">
        <v>2398</v>
      </c>
      <c r="S87" s="1"/>
      <c r="T87" s="1" t="s">
        <v>2406</v>
      </c>
      <c r="Z87" s="1"/>
      <c r="AA87" s="7" t="e">
        <f>G87&amp;";"&amp;I87&amp;";"&amp;K87&amp;";"&amp;M87&amp;";"&amp;O87&amp;";"&amp;Q87&amp;";"&amp;#REF!&amp;";"&amp;S87</f>
        <v>#REF!</v>
      </c>
      <c r="AB87" s="105"/>
      <c r="AE87" s="13">
        <f t="shared" si="3"/>
        <v>1</v>
      </c>
      <c r="AF87">
        <v>80001022</v>
      </c>
      <c r="AG87" t="s">
        <v>2376</v>
      </c>
      <c r="AI87">
        <v>80001002</v>
      </c>
      <c r="AJ87">
        <v>1</v>
      </c>
    </row>
    <row r="88" spans="1:36" ht="20.100000000000001" customHeight="1">
      <c r="B88" s="1">
        <v>2000002</v>
      </c>
      <c r="C88" s="1" t="s">
        <v>2407</v>
      </c>
      <c r="D88" s="1"/>
      <c r="E88" s="1"/>
      <c r="F88" s="1" t="s">
        <v>2876</v>
      </c>
      <c r="G88" s="1"/>
      <c r="H88" s="1" t="s">
        <v>2388</v>
      </c>
      <c r="I88" s="1"/>
      <c r="J88" s="1" t="s">
        <v>2392</v>
      </c>
      <c r="K88" s="1"/>
      <c r="L88" s="1" t="s">
        <v>2386</v>
      </c>
      <c r="M88" s="1"/>
      <c r="N88" s="1" t="s">
        <v>2390</v>
      </c>
      <c r="O88" s="1"/>
      <c r="P88" s="1" t="s">
        <v>2408</v>
      </c>
      <c r="Q88" s="1"/>
      <c r="R88" s="1" t="s">
        <v>2423</v>
      </c>
      <c r="S88" s="1"/>
      <c r="T88" s="1" t="s">
        <v>2394</v>
      </c>
      <c r="AA88" s="7" t="e">
        <f>#REF!&amp;";"&amp;G88&amp;";"&amp;I88&amp;";"&amp;K88&amp;";"&amp;M88&amp;";"&amp;O88&amp;";"&amp;Q88&amp;";"&amp;S88</f>
        <v>#REF!</v>
      </c>
      <c r="AB88" s="105"/>
      <c r="AE88" s="13">
        <f t="shared" si="3"/>
        <v>2</v>
      </c>
      <c r="AF88">
        <v>80001023</v>
      </c>
      <c r="AG88" t="s">
        <v>429</v>
      </c>
      <c r="AI88">
        <v>80001001</v>
      </c>
      <c r="AJ88">
        <v>1</v>
      </c>
    </row>
    <row r="89" spans="1:36" ht="20.100000000000001" customHeight="1">
      <c r="B89" s="1">
        <v>2000003</v>
      </c>
      <c r="D89" s="1"/>
      <c r="E89" s="1"/>
      <c r="F89" s="1" t="s">
        <v>2876</v>
      </c>
      <c r="G89" s="1"/>
      <c r="H89" s="1" t="s">
        <v>2386</v>
      </c>
      <c r="I89" s="1"/>
      <c r="J89" s="1" t="s">
        <v>2380</v>
      </c>
      <c r="K89" s="1"/>
      <c r="L89" s="1" t="s">
        <v>2890</v>
      </c>
      <c r="M89" s="1"/>
      <c r="N89" s="1" t="s">
        <v>2409</v>
      </c>
      <c r="O89" s="1"/>
      <c r="P89" s="1" t="s">
        <v>2375</v>
      </c>
      <c r="Q89" s="1"/>
      <c r="R89" s="1" t="s">
        <v>2410</v>
      </c>
      <c r="S89" s="1"/>
      <c r="T89" s="1" t="s">
        <v>2382</v>
      </c>
      <c r="Z89" s="1"/>
      <c r="AA89" s="7" t="e">
        <f>#REF!&amp;";"&amp;G89&amp;";"&amp;I89&amp;";"&amp;K89&amp;";"&amp;M89&amp;";"&amp;O89&amp;";"&amp;Q89&amp;";"&amp;S89</f>
        <v>#REF!</v>
      </c>
      <c r="AE89" s="13">
        <f t="shared" si="3"/>
        <v>1</v>
      </c>
      <c r="AF89">
        <v>80001024</v>
      </c>
      <c r="AG89" t="s">
        <v>2378</v>
      </c>
      <c r="AI89">
        <v>80001003</v>
      </c>
      <c r="AJ89">
        <v>1</v>
      </c>
    </row>
    <row r="90" spans="1:36" ht="20.100000000000001" customHeight="1">
      <c r="AE90" s="13">
        <f t="shared" si="3"/>
        <v>1</v>
      </c>
      <c r="AF90">
        <v>80001025</v>
      </c>
      <c r="AG90" t="s">
        <v>2402</v>
      </c>
      <c r="AI90">
        <v>80002025</v>
      </c>
      <c r="AJ90">
        <v>1</v>
      </c>
    </row>
    <row r="91" spans="1:36" ht="20.100000000000001" customHeight="1">
      <c r="AE91" s="13">
        <f t="shared" si="3"/>
        <v>1</v>
      </c>
      <c r="AF91">
        <v>80001026</v>
      </c>
      <c r="AG91" t="s">
        <v>2393</v>
      </c>
      <c r="AI91">
        <v>80002018</v>
      </c>
      <c r="AJ91">
        <v>1</v>
      </c>
    </row>
    <row r="92" spans="1:36" ht="20.100000000000001" customHeight="1">
      <c r="B92" s="1">
        <v>80001001</v>
      </c>
      <c r="C92" s="1" t="s">
        <v>2319</v>
      </c>
      <c r="D92" s="1">
        <v>80002001</v>
      </c>
      <c r="E92" s="1" t="s">
        <v>2380</v>
      </c>
      <c r="F92" s="1">
        <v>80003001</v>
      </c>
      <c r="G92" s="1" t="s">
        <v>2411</v>
      </c>
      <c r="U92" s="1">
        <v>1</v>
      </c>
      <c r="V92" s="1">
        <f>1-U92</f>
        <v>0</v>
      </c>
      <c r="W92" s="1">
        <f>V92/2</f>
        <v>0</v>
      </c>
      <c r="X92" s="1">
        <f>V92*2</f>
        <v>0</v>
      </c>
      <c r="AE92" s="13">
        <f t="shared" si="3"/>
        <v>1</v>
      </c>
      <c r="AF92">
        <v>80001027</v>
      </c>
      <c r="AG92" t="s">
        <v>2387</v>
      </c>
      <c r="AI92">
        <v>80002021</v>
      </c>
      <c r="AJ92">
        <v>1</v>
      </c>
    </row>
    <row r="93" spans="1:36" ht="20.100000000000001" customHeight="1">
      <c r="B93" s="1">
        <v>80001002</v>
      </c>
      <c r="C93" s="1" t="s">
        <v>674</v>
      </c>
      <c r="D93" s="1">
        <v>80002002</v>
      </c>
      <c r="E93" s="1" t="s">
        <v>2386</v>
      </c>
      <c r="F93" s="1">
        <v>80003002</v>
      </c>
      <c r="G93" s="1" t="s">
        <v>2412</v>
      </c>
      <c r="U93" s="1">
        <v>0.9</v>
      </c>
      <c r="V93" s="1">
        <f t="shared" ref="V93:V101" si="5">1-U93</f>
        <v>9.9999999999999978E-2</v>
      </c>
      <c r="W93" s="1">
        <f>V93/4</f>
        <v>2.4999999999999994E-2</v>
      </c>
      <c r="X93" s="1">
        <f>V93/2.5</f>
        <v>3.9999999999999994E-2</v>
      </c>
      <c r="AE93" s="13">
        <f t="shared" si="3"/>
        <v>2</v>
      </c>
      <c r="AF93">
        <v>80001028</v>
      </c>
      <c r="AG93" t="s">
        <v>2381</v>
      </c>
      <c r="AI93">
        <v>80001010</v>
      </c>
      <c r="AJ93">
        <v>1</v>
      </c>
    </row>
    <row r="94" spans="1:36" ht="20.100000000000001" customHeight="1">
      <c r="B94" s="1">
        <v>80001003</v>
      </c>
      <c r="C94" s="1" t="s">
        <v>2266</v>
      </c>
      <c r="D94" s="1">
        <v>80002003</v>
      </c>
      <c r="E94" s="1" t="s">
        <v>2392</v>
      </c>
      <c r="F94" s="1">
        <v>80003003</v>
      </c>
      <c r="G94" s="1" t="s">
        <v>2413</v>
      </c>
      <c r="U94" s="1">
        <v>0.8</v>
      </c>
      <c r="V94" s="1">
        <f t="shared" si="5"/>
        <v>0.19999999999999996</v>
      </c>
      <c r="W94" s="1">
        <f t="shared" ref="W94:W101" si="6">V94/4</f>
        <v>4.9999999999999989E-2</v>
      </c>
      <c r="X94" s="1">
        <f t="shared" ref="X94:X101" si="7">V94/2.5</f>
        <v>7.9999999999999988E-2</v>
      </c>
      <c r="AE94" s="13">
        <f t="shared" si="3"/>
        <v>2</v>
      </c>
      <c r="AF94">
        <v>80002001</v>
      </c>
      <c r="AG94" t="s">
        <v>2380</v>
      </c>
      <c r="AI94">
        <v>80001009</v>
      </c>
      <c r="AJ94">
        <v>1</v>
      </c>
    </row>
    <row r="95" spans="1:36" ht="20.100000000000001" customHeight="1">
      <c r="B95" s="1">
        <v>80001004</v>
      </c>
      <c r="C95" s="1" t="s">
        <v>2330</v>
      </c>
      <c r="D95" s="1">
        <v>80002004</v>
      </c>
      <c r="E95" s="1" t="s">
        <v>2396</v>
      </c>
      <c r="F95" s="1">
        <v>80003004</v>
      </c>
      <c r="G95" s="1" t="s">
        <v>2414</v>
      </c>
      <c r="U95" s="1">
        <v>0.7</v>
      </c>
      <c r="V95" s="1">
        <f t="shared" si="5"/>
        <v>0.30000000000000004</v>
      </c>
      <c r="W95" s="1">
        <f t="shared" si="6"/>
        <v>7.5000000000000011E-2</v>
      </c>
      <c r="X95" s="1">
        <f t="shared" si="7"/>
        <v>0.12000000000000002</v>
      </c>
      <c r="AE95" s="13">
        <f t="shared" si="3"/>
        <v>1</v>
      </c>
      <c r="AF95">
        <v>80002002</v>
      </c>
      <c r="AG95" t="s">
        <v>2386</v>
      </c>
      <c r="AI95">
        <v>80001012</v>
      </c>
      <c r="AJ95">
        <v>1</v>
      </c>
    </row>
    <row r="96" spans="1:36" ht="20.100000000000001" customHeight="1">
      <c r="B96" s="1">
        <v>80001005</v>
      </c>
      <c r="C96" s="1" t="s">
        <v>2292</v>
      </c>
      <c r="D96" s="1">
        <v>80002005</v>
      </c>
      <c r="E96" s="1" t="s">
        <v>2415</v>
      </c>
      <c r="F96" s="1">
        <v>80003005</v>
      </c>
      <c r="G96" s="1" t="s">
        <v>2416</v>
      </c>
      <c r="U96" s="1">
        <v>0.6</v>
      </c>
      <c r="V96" s="1">
        <f t="shared" si="5"/>
        <v>0.4</v>
      </c>
      <c r="W96" s="1">
        <f t="shared" si="6"/>
        <v>0.1</v>
      </c>
      <c r="X96" s="1">
        <f t="shared" si="7"/>
        <v>0.16</v>
      </c>
      <c r="AE96" s="13">
        <f t="shared" si="3"/>
        <v>2</v>
      </c>
      <c r="AF96">
        <v>80002003</v>
      </c>
      <c r="AG96" t="s">
        <v>2392</v>
      </c>
      <c r="AI96">
        <v>80001004</v>
      </c>
      <c r="AJ96">
        <v>1</v>
      </c>
    </row>
    <row r="97" spans="2:36" ht="20.100000000000001" customHeight="1">
      <c r="B97" s="1">
        <v>80001006</v>
      </c>
      <c r="C97" s="1" t="s">
        <v>2337</v>
      </c>
      <c r="D97" s="1">
        <v>80002006</v>
      </c>
      <c r="E97" s="1" t="s">
        <v>2374</v>
      </c>
      <c r="F97" s="1">
        <v>80003006</v>
      </c>
      <c r="G97" s="1" t="s">
        <v>2417</v>
      </c>
      <c r="U97" s="1">
        <v>0.5</v>
      </c>
      <c r="V97" s="1">
        <f t="shared" si="5"/>
        <v>0.5</v>
      </c>
      <c r="W97" s="1">
        <f t="shared" si="6"/>
        <v>0.125</v>
      </c>
      <c r="X97" s="1">
        <f t="shared" si="7"/>
        <v>0.2</v>
      </c>
      <c r="AE97" s="13">
        <f t="shared" si="3"/>
        <v>1</v>
      </c>
      <c r="AF97">
        <v>80002004</v>
      </c>
      <c r="AG97" t="s">
        <v>2396</v>
      </c>
      <c r="AI97">
        <v>80001017</v>
      </c>
      <c r="AJ97">
        <v>1</v>
      </c>
    </row>
    <row r="98" spans="2:36" ht="20.100000000000001" customHeight="1">
      <c r="B98" s="1">
        <v>80001007</v>
      </c>
      <c r="C98" s="1" t="s">
        <v>1278</v>
      </c>
      <c r="D98" s="1">
        <v>80002007</v>
      </c>
      <c r="E98" s="1" t="s">
        <v>2373</v>
      </c>
      <c r="F98" s="1">
        <v>80003007</v>
      </c>
      <c r="G98" s="1" t="s">
        <v>2418</v>
      </c>
      <c r="U98" s="1">
        <v>0.4</v>
      </c>
      <c r="V98" s="1">
        <f t="shared" si="5"/>
        <v>0.6</v>
      </c>
      <c r="W98" s="1">
        <f t="shared" si="6"/>
        <v>0.15</v>
      </c>
      <c r="X98" s="1">
        <f t="shared" si="7"/>
        <v>0.24</v>
      </c>
      <c r="AE98" s="13">
        <f t="shared" si="3"/>
        <v>0</v>
      </c>
      <c r="AF98">
        <v>80002005</v>
      </c>
      <c r="AG98" t="s">
        <v>2415</v>
      </c>
      <c r="AI98">
        <v>80001015</v>
      </c>
      <c r="AJ98">
        <v>1</v>
      </c>
    </row>
    <row r="99" spans="2:36" ht="20.100000000000001" customHeight="1">
      <c r="B99" s="1">
        <v>80001008</v>
      </c>
      <c r="C99" s="1" t="s">
        <v>2343</v>
      </c>
      <c r="D99" s="1">
        <v>80002008</v>
      </c>
      <c r="E99" s="1" t="s">
        <v>2406</v>
      </c>
      <c r="F99" s="1">
        <v>80003008</v>
      </c>
      <c r="G99" s="1" t="s">
        <v>2419</v>
      </c>
      <c r="U99" s="1">
        <v>0.3</v>
      </c>
      <c r="V99" s="1">
        <f t="shared" si="5"/>
        <v>0.7</v>
      </c>
      <c r="W99" s="1">
        <f t="shared" si="6"/>
        <v>0.17499999999999999</v>
      </c>
      <c r="X99" s="1">
        <f t="shared" si="7"/>
        <v>0.27999999999999997</v>
      </c>
      <c r="AE99" s="13">
        <f t="shared" si="3"/>
        <v>1</v>
      </c>
      <c r="AF99">
        <v>80002006</v>
      </c>
      <c r="AG99" t="s">
        <v>2723</v>
      </c>
      <c r="AI99">
        <v>80001006</v>
      </c>
      <c r="AJ99">
        <v>1</v>
      </c>
    </row>
    <row r="100" spans="2:36" ht="20.100000000000001" customHeight="1">
      <c r="B100" s="1">
        <v>80001009</v>
      </c>
      <c r="C100" s="1" t="s">
        <v>1282</v>
      </c>
      <c r="D100" s="1">
        <v>80002009</v>
      </c>
      <c r="E100" s="1" t="s">
        <v>2400</v>
      </c>
      <c r="F100" s="1">
        <v>80003009</v>
      </c>
      <c r="G100" s="1" t="s">
        <v>2420</v>
      </c>
      <c r="U100" s="1">
        <v>0.2</v>
      </c>
      <c r="V100" s="1">
        <f t="shared" si="5"/>
        <v>0.8</v>
      </c>
      <c r="W100" s="1">
        <f t="shared" si="6"/>
        <v>0.2</v>
      </c>
      <c r="X100" s="1">
        <f t="shared" si="7"/>
        <v>0.32</v>
      </c>
      <c r="AE100" s="13">
        <f t="shared" si="3"/>
        <v>1</v>
      </c>
      <c r="AF100">
        <v>80002007</v>
      </c>
      <c r="AG100" t="s">
        <v>2373</v>
      </c>
      <c r="AI100">
        <v>80001011</v>
      </c>
      <c r="AJ100">
        <v>1</v>
      </c>
    </row>
    <row r="101" spans="2:36" ht="20.100000000000001" customHeight="1">
      <c r="B101" s="1">
        <v>80001010</v>
      </c>
      <c r="C101" s="1" t="s">
        <v>765</v>
      </c>
      <c r="D101" s="1">
        <v>80002010</v>
      </c>
      <c r="E101" s="1" t="s">
        <v>2391</v>
      </c>
      <c r="F101" s="1">
        <v>80003010</v>
      </c>
      <c r="G101" s="1" t="s">
        <v>2421</v>
      </c>
      <c r="U101" s="1">
        <v>0.1</v>
      </c>
      <c r="V101" s="1">
        <f t="shared" si="5"/>
        <v>0.9</v>
      </c>
      <c r="W101" s="1">
        <f t="shared" si="6"/>
        <v>0.22500000000000001</v>
      </c>
      <c r="X101" s="1">
        <f t="shared" si="7"/>
        <v>0.36</v>
      </c>
      <c r="AE101" s="13">
        <f t="shared" si="3"/>
        <v>0</v>
      </c>
      <c r="AF101">
        <v>80002008</v>
      </c>
      <c r="AG101" t="s">
        <v>2406</v>
      </c>
      <c r="AI101">
        <v>80002001</v>
      </c>
      <c r="AJ101">
        <v>1</v>
      </c>
    </row>
    <row r="102" spans="2:36">
      <c r="B102" s="1">
        <v>80001011</v>
      </c>
      <c r="C102" s="1" t="s">
        <v>2347</v>
      </c>
      <c r="D102" s="1">
        <v>80002011</v>
      </c>
      <c r="E102" s="1" t="s">
        <v>2409</v>
      </c>
      <c r="F102" s="1"/>
      <c r="G102" s="1"/>
      <c r="AE102" s="13">
        <f t="shared" si="3"/>
        <v>1</v>
      </c>
      <c r="AF102">
        <v>80002009</v>
      </c>
      <c r="AG102" t="s">
        <v>2400</v>
      </c>
      <c r="AI102">
        <v>80001002</v>
      </c>
      <c r="AJ102">
        <v>1</v>
      </c>
    </row>
    <row r="103" spans="2:36">
      <c r="B103" s="1">
        <v>80001012</v>
      </c>
      <c r="C103" s="1" t="s">
        <v>2349</v>
      </c>
      <c r="D103" s="1">
        <v>80002012</v>
      </c>
      <c r="E103" s="1" t="s">
        <v>2422</v>
      </c>
      <c r="F103" s="1"/>
      <c r="G103" s="1"/>
      <c r="AE103" s="13">
        <f t="shared" si="3"/>
        <v>1</v>
      </c>
      <c r="AF103">
        <v>80002010</v>
      </c>
      <c r="AG103" t="s">
        <v>2391</v>
      </c>
      <c r="AI103">
        <v>80001015</v>
      </c>
      <c r="AJ103">
        <v>1</v>
      </c>
    </row>
    <row r="104" spans="2:36">
      <c r="B104" s="1">
        <v>80001013</v>
      </c>
      <c r="C104" s="1" t="s">
        <v>2351</v>
      </c>
      <c r="D104" s="1">
        <v>80002013</v>
      </c>
      <c r="E104" s="1" t="s">
        <v>2401</v>
      </c>
      <c r="F104" s="1"/>
      <c r="G104" s="1"/>
      <c r="AE104" s="13">
        <f t="shared" si="3"/>
        <v>0</v>
      </c>
      <c r="AF104">
        <v>80002011</v>
      </c>
      <c r="AG104" t="s">
        <v>2409</v>
      </c>
      <c r="AI104">
        <v>80002010</v>
      </c>
      <c r="AJ104">
        <v>1</v>
      </c>
    </row>
    <row r="105" spans="2:36">
      <c r="B105" s="1">
        <v>80001014</v>
      </c>
      <c r="C105" s="1" t="s">
        <v>678</v>
      </c>
      <c r="D105" s="1">
        <v>80002014</v>
      </c>
      <c r="E105" s="1" t="s">
        <v>2405</v>
      </c>
      <c r="F105" s="1"/>
      <c r="G105" s="1"/>
      <c r="AE105" s="13">
        <f t="shared" si="3"/>
        <v>0</v>
      </c>
      <c r="AF105">
        <v>80002012</v>
      </c>
      <c r="AG105" t="s">
        <v>2422</v>
      </c>
      <c r="AI105">
        <v>80002004</v>
      </c>
      <c r="AJ105">
        <v>1</v>
      </c>
    </row>
    <row r="106" spans="2:36">
      <c r="B106" s="1">
        <v>80001015</v>
      </c>
      <c r="C106" s="1" t="s">
        <v>2354</v>
      </c>
      <c r="D106" s="1">
        <v>80002015</v>
      </c>
      <c r="E106" s="1" t="s">
        <v>2377</v>
      </c>
      <c r="F106" s="1"/>
      <c r="G106" s="1"/>
      <c r="AE106" s="13">
        <f t="shared" si="3"/>
        <v>1</v>
      </c>
      <c r="AF106">
        <v>80002013</v>
      </c>
      <c r="AG106" t="s">
        <v>2401</v>
      </c>
      <c r="AI106">
        <v>80002009</v>
      </c>
      <c r="AJ106">
        <v>1</v>
      </c>
    </row>
    <row r="107" spans="2:36">
      <c r="B107" s="1">
        <v>80001016</v>
      </c>
      <c r="C107" s="1" t="s">
        <v>12</v>
      </c>
      <c r="D107" s="1">
        <v>80002016</v>
      </c>
      <c r="E107" s="1" t="s">
        <v>2397</v>
      </c>
      <c r="F107" s="1"/>
      <c r="G107" s="1"/>
      <c r="AE107" s="13">
        <f t="shared" si="3"/>
        <v>0</v>
      </c>
      <c r="AF107">
        <v>80002014</v>
      </c>
      <c r="AG107" t="s">
        <v>2405</v>
      </c>
      <c r="AI107">
        <v>80001014</v>
      </c>
      <c r="AJ107">
        <v>1</v>
      </c>
    </row>
    <row r="108" spans="2:36">
      <c r="B108" s="1">
        <v>80001017</v>
      </c>
      <c r="C108" s="1" t="s">
        <v>1599</v>
      </c>
      <c r="D108" s="1">
        <v>80002017</v>
      </c>
      <c r="E108" s="1" t="s">
        <v>2404</v>
      </c>
      <c r="F108" s="1"/>
      <c r="G108" s="1"/>
      <c r="AE108" s="13">
        <f t="shared" si="3"/>
        <v>1</v>
      </c>
      <c r="AF108">
        <v>80002015</v>
      </c>
      <c r="AG108" t="s">
        <v>2377</v>
      </c>
      <c r="AI108">
        <v>80001018</v>
      </c>
      <c r="AJ108">
        <v>1</v>
      </c>
    </row>
    <row r="109" spans="2:36">
      <c r="B109" s="1">
        <v>80001018</v>
      </c>
      <c r="C109" s="1" t="s">
        <v>2358</v>
      </c>
      <c r="D109" s="1">
        <v>80002018</v>
      </c>
      <c r="E109" s="1" t="s">
        <v>2375</v>
      </c>
      <c r="F109" s="1"/>
      <c r="G109" s="1"/>
      <c r="AE109" s="13">
        <f t="shared" si="3"/>
        <v>1</v>
      </c>
      <c r="AF109">
        <v>80002016</v>
      </c>
      <c r="AG109" t="s">
        <v>2397</v>
      </c>
      <c r="AI109">
        <v>80001004</v>
      </c>
      <c r="AJ109">
        <v>1</v>
      </c>
    </row>
    <row r="110" spans="2:36">
      <c r="B110" s="1">
        <v>80001019</v>
      </c>
      <c r="C110" s="1" t="s">
        <v>2360</v>
      </c>
      <c r="D110" s="1">
        <v>80002019</v>
      </c>
      <c r="E110" s="1" t="s">
        <v>2384</v>
      </c>
      <c r="F110" s="1"/>
      <c r="G110" s="1"/>
      <c r="AE110" s="13">
        <f t="shared" si="3"/>
        <v>0</v>
      </c>
      <c r="AF110">
        <v>80002017</v>
      </c>
      <c r="AG110" t="s">
        <v>2404</v>
      </c>
      <c r="AI110">
        <v>80002007</v>
      </c>
      <c r="AJ110">
        <v>1</v>
      </c>
    </row>
    <row r="111" spans="2:36">
      <c r="B111" s="1">
        <v>80001020</v>
      </c>
      <c r="C111" s="1" t="s">
        <v>2362</v>
      </c>
      <c r="D111" s="1">
        <v>80002020</v>
      </c>
      <c r="E111" s="1" t="s">
        <v>2423</v>
      </c>
      <c r="F111" s="1"/>
      <c r="G111" s="1"/>
      <c r="AE111" s="13">
        <f t="shared" si="3"/>
        <v>2</v>
      </c>
      <c r="AF111">
        <v>80002018</v>
      </c>
      <c r="AG111" t="s">
        <v>2375</v>
      </c>
      <c r="AI111">
        <v>80001008</v>
      </c>
      <c r="AJ111">
        <v>1</v>
      </c>
    </row>
    <row r="112" spans="2:36">
      <c r="B112" s="1">
        <v>80001021</v>
      </c>
      <c r="C112" s="1" t="s">
        <v>1783</v>
      </c>
      <c r="D112" s="1">
        <v>80002021</v>
      </c>
      <c r="E112" s="1" t="s">
        <v>2388</v>
      </c>
      <c r="J112" s="13"/>
      <c r="K112" s="13" t="s">
        <v>2424</v>
      </c>
      <c r="AE112" s="13">
        <f t="shared" si="3"/>
        <v>1</v>
      </c>
      <c r="AF112">
        <v>80002019</v>
      </c>
      <c r="AG112" t="s">
        <v>2384</v>
      </c>
      <c r="AI112">
        <v>80001010</v>
      </c>
      <c r="AJ112">
        <v>1</v>
      </c>
    </row>
    <row r="113" spans="2:36">
      <c r="B113" s="1">
        <v>80001022</v>
      </c>
      <c r="C113" s="1" t="s">
        <v>2376</v>
      </c>
      <c r="D113" s="1">
        <v>80002022</v>
      </c>
      <c r="E113" s="1" t="s">
        <v>2382</v>
      </c>
      <c r="J113" s="13">
        <v>1</v>
      </c>
      <c r="K113" s="13">
        <v>1</v>
      </c>
      <c r="AE113" s="13">
        <f t="shared" si="3"/>
        <v>0</v>
      </c>
      <c r="AF113">
        <v>80002020</v>
      </c>
      <c r="AG113" t="s">
        <v>2423</v>
      </c>
      <c r="AI113">
        <v>80002018</v>
      </c>
      <c r="AJ113">
        <v>1</v>
      </c>
    </row>
    <row r="114" spans="2:36">
      <c r="B114" s="1">
        <v>80001023</v>
      </c>
      <c r="C114" s="1" t="s">
        <v>429</v>
      </c>
      <c r="D114" s="1">
        <v>80002023</v>
      </c>
      <c r="E114" s="1" t="s">
        <v>2398</v>
      </c>
      <c r="J114" s="13">
        <v>2</v>
      </c>
      <c r="K114" s="13">
        <v>0.8</v>
      </c>
      <c r="L114">
        <v>0.2</v>
      </c>
      <c r="AE114" s="13">
        <f t="shared" si="3"/>
        <v>2</v>
      </c>
      <c r="AF114">
        <v>80002021</v>
      </c>
      <c r="AG114" t="s">
        <v>2388</v>
      </c>
      <c r="AI114">
        <v>80002015</v>
      </c>
      <c r="AJ114">
        <v>1</v>
      </c>
    </row>
    <row r="115" spans="2:36">
      <c r="B115" s="1">
        <v>80001024</v>
      </c>
      <c r="C115" s="1" t="s">
        <v>2378</v>
      </c>
      <c r="D115" s="1">
        <v>80002024</v>
      </c>
      <c r="E115" s="1" t="s">
        <v>2408</v>
      </c>
      <c r="J115" s="13">
        <v>3</v>
      </c>
      <c r="K115" s="13">
        <v>0.6</v>
      </c>
      <c r="L115">
        <v>0.4</v>
      </c>
      <c r="AE115" s="13">
        <f t="shared" si="3"/>
        <v>1</v>
      </c>
      <c r="AF115">
        <v>80002022</v>
      </c>
      <c r="AG115" t="s">
        <v>2382</v>
      </c>
      <c r="AI115">
        <v>80001014</v>
      </c>
      <c r="AJ115">
        <v>1</v>
      </c>
    </row>
    <row r="116" spans="2:36">
      <c r="B116" s="1">
        <v>80001025</v>
      </c>
      <c r="C116" s="1" t="s">
        <v>2402</v>
      </c>
      <c r="D116" s="1">
        <v>80002025</v>
      </c>
      <c r="E116" s="1" t="s">
        <v>2390</v>
      </c>
      <c r="AE116" s="13">
        <f t="shared" si="3"/>
        <v>1</v>
      </c>
      <c r="AF116">
        <v>80002023</v>
      </c>
      <c r="AG116" t="s">
        <v>2398</v>
      </c>
      <c r="AI116">
        <v>80002001</v>
      </c>
      <c r="AJ116">
        <v>1</v>
      </c>
    </row>
    <row r="117" spans="2:36">
      <c r="B117" s="1">
        <v>80001026</v>
      </c>
      <c r="C117" s="1" t="s">
        <v>2393</v>
      </c>
      <c r="D117" s="1">
        <v>80002026</v>
      </c>
      <c r="E117" s="1" t="s">
        <v>2425</v>
      </c>
      <c r="AE117" s="13">
        <f t="shared" si="3"/>
        <v>0</v>
      </c>
      <c r="AF117">
        <v>80002024</v>
      </c>
      <c r="AG117" t="s">
        <v>2408</v>
      </c>
      <c r="AI117">
        <v>80002002</v>
      </c>
      <c r="AJ117">
        <v>1</v>
      </c>
    </row>
    <row r="118" spans="2:36">
      <c r="B118" s="1">
        <v>80001027</v>
      </c>
      <c r="C118" s="1" t="s">
        <v>2387</v>
      </c>
      <c r="D118" s="1">
        <v>80002027</v>
      </c>
      <c r="E118" s="1" t="s">
        <v>2394</v>
      </c>
      <c r="AE118" s="13">
        <f t="shared" si="3"/>
        <v>1</v>
      </c>
      <c r="AF118">
        <v>80002025</v>
      </c>
      <c r="AG118" t="s">
        <v>2390</v>
      </c>
      <c r="AI118">
        <v>80002003</v>
      </c>
      <c r="AJ118">
        <v>1</v>
      </c>
    </row>
    <row r="119" spans="2:36">
      <c r="B119" s="1">
        <v>80001028</v>
      </c>
      <c r="C119" s="1" t="s">
        <v>2381</v>
      </c>
      <c r="D119" s="1">
        <v>80002028</v>
      </c>
      <c r="E119" s="1" t="s">
        <v>2410</v>
      </c>
      <c r="AE119" s="13">
        <f t="shared" si="3"/>
        <v>0</v>
      </c>
      <c r="AF119">
        <v>80002026</v>
      </c>
      <c r="AG119" t="s">
        <v>2425</v>
      </c>
      <c r="AI119">
        <v>80002016</v>
      </c>
      <c r="AJ119">
        <v>1</v>
      </c>
    </row>
    <row r="120" spans="2:36">
      <c r="AE120" s="13">
        <f t="shared" si="3"/>
        <v>1</v>
      </c>
      <c r="AF120">
        <v>80002027</v>
      </c>
      <c r="AG120" t="s">
        <v>2394</v>
      </c>
      <c r="AI120">
        <v>80002013</v>
      </c>
      <c r="AJ120">
        <v>1</v>
      </c>
    </row>
    <row r="121" spans="2:36">
      <c r="AE121" s="13">
        <f t="shared" si="3"/>
        <v>0</v>
      </c>
      <c r="AF121">
        <v>80002028</v>
      </c>
      <c r="AG121" t="s">
        <v>2410</v>
      </c>
      <c r="AI121">
        <v>80001015</v>
      </c>
      <c r="AJ121">
        <v>1</v>
      </c>
    </row>
    <row r="122" spans="2:36">
      <c r="AJ122">
        <v>1</v>
      </c>
    </row>
    <row r="123" spans="2:36">
      <c r="AI123">
        <v>80001007</v>
      </c>
      <c r="AJ123">
        <v>1</v>
      </c>
    </row>
    <row r="124" spans="2:36">
      <c r="AI124">
        <v>80001023</v>
      </c>
      <c r="AJ124">
        <v>1</v>
      </c>
    </row>
    <row r="125" spans="2:36">
      <c r="AI125">
        <v>80001021</v>
      </c>
      <c r="AJ125">
        <v>1</v>
      </c>
    </row>
    <row r="126" spans="2:36">
      <c r="AI126">
        <v>80002006</v>
      </c>
      <c r="AJ126">
        <v>1</v>
      </c>
    </row>
    <row r="127" spans="2:36">
      <c r="AI127">
        <v>80001022</v>
      </c>
      <c r="AJ127">
        <v>1</v>
      </c>
    </row>
    <row r="128" spans="2:36">
      <c r="AI128">
        <v>80001024</v>
      </c>
      <c r="AJ128">
        <v>1</v>
      </c>
    </row>
    <row r="129" spans="35:36">
      <c r="AI129">
        <v>80001028</v>
      </c>
      <c r="AJ129">
        <v>1</v>
      </c>
    </row>
    <row r="130" spans="35:36">
      <c r="AI130">
        <v>80001023</v>
      </c>
      <c r="AJ130">
        <v>1</v>
      </c>
    </row>
    <row r="131" spans="35:36">
      <c r="AI131">
        <v>80001027</v>
      </c>
      <c r="AJ131">
        <v>1</v>
      </c>
    </row>
    <row r="132" spans="35:36">
      <c r="AI132">
        <v>80001026</v>
      </c>
      <c r="AJ132">
        <v>1</v>
      </c>
    </row>
    <row r="133" spans="35:36">
      <c r="AI133">
        <v>80001028</v>
      </c>
      <c r="AJ133">
        <v>1</v>
      </c>
    </row>
    <row r="134" spans="35:36">
      <c r="AI134">
        <v>80001025</v>
      </c>
      <c r="AJ134">
        <v>1</v>
      </c>
    </row>
    <row r="135" spans="35:36">
      <c r="AI135">
        <v>80002022</v>
      </c>
      <c r="AJ135">
        <v>1</v>
      </c>
    </row>
    <row r="136" spans="35:36">
      <c r="AI136">
        <v>80002019</v>
      </c>
      <c r="AJ136">
        <v>1</v>
      </c>
    </row>
    <row r="137" spans="35:36">
      <c r="AI137">
        <v>80002021</v>
      </c>
      <c r="AJ137">
        <v>1</v>
      </c>
    </row>
    <row r="138" spans="35:36">
      <c r="AI138">
        <v>80002027</v>
      </c>
      <c r="AJ138">
        <v>1</v>
      </c>
    </row>
    <row r="139" spans="35:36">
      <c r="AI139">
        <v>80002023</v>
      </c>
      <c r="AJ139">
        <v>1</v>
      </c>
    </row>
    <row r="140" spans="35:36">
      <c r="AI140">
        <v>80002003</v>
      </c>
      <c r="AJ140">
        <v>1</v>
      </c>
    </row>
  </sheetData>
  <phoneticPr fontId="35" type="noConversion"/>
  <pageMargins left="0.69930555555555596" right="0.69930555555555596" top="0.75" bottom="0.75" header="0.3" footer="0.3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20"/>
  <sheetViews>
    <sheetView workbookViewId="0">
      <selection activeCell="P36" sqref="P32:P36"/>
    </sheetView>
  </sheetViews>
  <sheetFormatPr defaultColWidth="9" defaultRowHeight="14.25"/>
  <cols>
    <col min="1" max="7" width="9" style="13"/>
    <col min="14" max="14" width="12.375" customWidth="1"/>
    <col min="15" max="15" width="13" customWidth="1"/>
    <col min="16" max="16" width="108.625" customWidth="1"/>
  </cols>
  <sheetData>
    <row r="1" spans="1:24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  <c r="N1" s="5"/>
      <c r="O1" s="5"/>
      <c r="P1" s="5"/>
      <c r="Q1" s="5"/>
      <c r="R1" s="5"/>
      <c r="S1" s="5"/>
      <c r="T1" s="5"/>
    </row>
    <row r="2" spans="1:24" ht="20.100000000000001" customHeight="1">
      <c r="A2" s="1">
        <v>1</v>
      </c>
      <c r="B2" s="1">
        <v>1.375</v>
      </c>
      <c r="C2" s="1">
        <v>2.75</v>
      </c>
      <c r="D2" s="1">
        <f>$B2*总表!D$4</f>
        <v>1443.75</v>
      </c>
      <c r="E2" s="1">
        <f>$C2*总表!E$4</f>
        <v>275</v>
      </c>
      <c r="F2" s="1">
        <f>$C2*总表!F$4</f>
        <v>82.5</v>
      </c>
      <c r="G2" s="1">
        <f>$C2*总表!G$4</f>
        <v>82.5</v>
      </c>
      <c r="N2" s="1"/>
      <c r="O2" s="1" t="s">
        <v>2316</v>
      </c>
      <c r="P2" s="5"/>
      <c r="Q2" s="5"/>
      <c r="R2" s="5"/>
      <c r="S2" s="5"/>
      <c r="T2" s="5"/>
    </row>
    <row r="3" spans="1:24" ht="20.100000000000001" customHeight="1">
      <c r="A3" s="1">
        <v>2</v>
      </c>
      <c r="B3" s="1">
        <f>B2+0.125</f>
        <v>1.5</v>
      </c>
      <c r="C3" s="1">
        <f>C2+0.25</f>
        <v>3</v>
      </c>
      <c r="D3" s="1">
        <f>$B3*总表!D$4</f>
        <v>1575</v>
      </c>
      <c r="E3" s="1">
        <f>$C3*总表!E$4</f>
        <v>300</v>
      </c>
      <c r="F3" s="1">
        <f>$C3*总表!F$4</f>
        <v>90</v>
      </c>
      <c r="G3" s="1">
        <f>$C3*总表!G$4</f>
        <v>90</v>
      </c>
      <c r="I3" s="1">
        <f>D3-D2</f>
        <v>131.25</v>
      </c>
      <c r="J3" s="1">
        <f t="shared" ref="J3:L3" si="0">E3-E2</f>
        <v>25</v>
      </c>
      <c r="K3" s="1">
        <f t="shared" si="0"/>
        <v>7.5</v>
      </c>
      <c r="L3" s="1">
        <f t="shared" si="0"/>
        <v>7.5</v>
      </c>
      <c r="N3" s="1"/>
      <c r="O3" s="1" t="s">
        <v>742</v>
      </c>
      <c r="P3" s="1" t="s">
        <v>2426</v>
      </c>
      <c r="Q3" s="5"/>
      <c r="R3" s="5"/>
      <c r="S3" s="14" t="s">
        <v>750</v>
      </c>
      <c r="T3" s="5"/>
    </row>
    <row r="4" spans="1:24" ht="20.100000000000001" customHeight="1">
      <c r="A4" s="1">
        <v>3</v>
      </c>
      <c r="B4" s="1">
        <f t="shared" ref="B4:B67" si="1">B3+0.125</f>
        <v>1.625</v>
      </c>
      <c r="C4" s="1">
        <f t="shared" ref="C4" si="2">C3+0.25</f>
        <v>3.25</v>
      </c>
      <c r="D4" s="1">
        <f>$B4*总表!D$4</f>
        <v>1706.25</v>
      </c>
      <c r="E4" s="1">
        <f>$C4*总表!E$4</f>
        <v>325</v>
      </c>
      <c r="F4" s="1">
        <f>$C4*总表!F$4</f>
        <v>97.5</v>
      </c>
      <c r="G4" s="1">
        <f>$C4*总表!G$4</f>
        <v>97.5</v>
      </c>
      <c r="I4" s="1"/>
      <c r="J4" s="1"/>
      <c r="K4" s="1"/>
      <c r="L4" s="1"/>
      <c r="N4" s="1"/>
      <c r="O4" s="1" t="s">
        <v>744</v>
      </c>
      <c r="P4" s="1" t="s">
        <v>2427</v>
      </c>
      <c r="Q4" s="5"/>
      <c r="R4" s="5"/>
      <c r="S4" s="14" t="s">
        <v>747</v>
      </c>
      <c r="T4" s="5"/>
    </row>
    <row r="5" spans="1:24" ht="20.100000000000001" customHeight="1">
      <c r="A5" s="1">
        <v>4</v>
      </c>
      <c r="B5" s="1">
        <f t="shared" si="1"/>
        <v>1.75</v>
      </c>
      <c r="C5" s="1">
        <f t="shared" ref="C5" si="3">C4+0.25</f>
        <v>3.5</v>
      </c>
      <c r="D5" s="1">
        <f>$B5*总表!D$4</f>
        <v>1837.5</v>
      </c>
      <c r="E5" s="1">
        <f>$C5*总表!E$4</f>
        <v>350</v>
      </c>
      <c r="F5" s="1">
        <f>$C5*总表!F$4</f>
        <v>105</v>
      </c>
      <c r="G5" s="1">
        <f>$C5*总表!G$4</f>
        <v>105</v>
      </c>
      <c r="I5" s="1">
        <v>2887.5</v>
      </c>
      <c r="J5" s="1">
        <v>500</v>
      </c>
      <c r="K5" s="1">
        <v>41</v>
      </c>
      <c r="L5" s="1">
        <v>41</v>
      </c>
      <c r="N5" s="1"/>
      <c r="O5" s="1" t="s">
        <v>750</v>
      </c>
      <c r="P5" s="1" t="s">
        <v>2428</v>
      </c>
      <c r="Q5" s="5"/>
      <c r="R5" s="5"/>
      <c r="S5" s="14" t="s">
        <v>742</v>
      </c>
      <c r="T5" s="5"/>
    </row>
    <row r="6" spans="1:24" ht="20.100000000000001" customHeight="1">
      <c r="A6" s="1">
        <v>5</v>
      </c>
      <c r="B6" s="1">
        <f t="shared" si="1"/>
        <v>1.875</v>
      </c>
      <c r="C6" s="1">
        <f t="shared" ref="C6" si="4">C5+0.25</f>
        <v>3.75</v>
      </c>
      <c r="D6" s="1">
        <f>$B6*总表!D$4</f>
        <v>1968.75</v>
      </c>
      <c r="E6" s="1">
        <f>$C6*总表!E$4</f>
        <v>375</v>
      </c>
      <c r="F6" s="1">
        <f>$C6*总表!F$4</f>
        <v>112.5</v>
      </c>
      <c r="G6" s="1">
        <f>$C6*总表!G$4</f>
        <v>112.5</v>
      </c>
      <c r="I6" s="1">
        <f>I5-I3</f>
        <v>2756.25</v>
      </c>
      <c r="J6" s="1">
        <f t="shared" ref="J6:L6" si="5">J5-J3</f>
        <v>475</v>
      </c>
      <c r="K6" s="1">
        <f t="shared" si="5"/>
        <v>33.5</v>
      </c>
      <c r="L6" s="1">
        <f t="shared" si="5"/>
        <v>33.5</v>
      </c>
      <c r="N6" s="1"/>
      <c r="O6" s="1" t="s">
        <v>748</v>
      </c>
      <c r="P6" s="1" t="s">
        <v>2429</v>
      </c>
      <c r="Q6" s="5"/>
      <c r="R6" s="5"/>
      <c r="S6" s="14" t="s">
        <v>744</v>
      </c>
      <c r="T6" s="5"/>
    </row>
    <row r="7" spans="1:24" ht="20.100000000000001" customHeight="1">
      <c r="A7" s="1">
        <v>6</v>
      </c>
      <c r="B7" s="1">
        <f t="shared" si="1"/>
        <v>2</v>
      </c>
      <c r="C7" s="1">
        <f t="shared" ref="C7" si="6">C6+0.25</f>
        <v>4</v>
      </c>
      <c r="D7" s="1">
        <f>$B7*总表!D$4</f>
        <v>2100</v>
      </c>
      <c r="E7" s="1">
        <f>$C7*总表!E$4</f>
        <v>400</v>
      </c>
      <c r="F7" s="1">
        <f>$C7*总表!F$4</f>
        <v>120</v>
      </c>
      <c r="G7" s="1">
        <f>$C7*总表!G$4</f>
        <v>120</v>
      </c>
      <c r="N7" s="1"/>
      <c r="O7" s="5"/>
      <c r="P7" s="5"/>
      <c r="Q7" s="5"/>
      <c r="R7" s="5"/>
      <c r="S7" s="14" t="s">
        <v>748</v>
      </c>
      <c r="T7" s="5"/>
    </row>
    <row r="8" spans="1:24" ht="20.100000000000001" customHeight="1">
      <c r="A8" s="1">
        <v>7</v>
      </c>
      <c r="B8" s="1">
        <f t="shared" si="1"/>
        <v>2.125</v>
      </c>
      <c r="C8" s="1">
        <f t="shared" ref="C8" si="7">C7+0.25</f>
        <v>4.25</v>
      </c>
      <c r="D8" s="1">
        <f>$B8*总表!D$4</f>
        <v>2231.25</v>
      </c>
      <c r="E8" s="1">
        <f>$C8*总表!E$4</f>
        <v>425</v>
      </c>
      <c r="F8" s="1">
        <f>$C8*总表!F$4</f>
        <v>127.5</v>
      </c>
      <c r="G8" s="1">
        <f>$C8*总表!G$4</f>
        <v>127.5</v>
      </c>
      <c r="N8" s="1"/>
      <c r="O8" s="1" t="s">
        <v>2430</v>
      </c>
      <c r="P8" s="1">
        <f>4*5+1*5</f>
        <v>25</v>
      </c>
      <c r="Q8" s="5"/>
      <c r="R8" s="5"/>
      <c r="S8" s="5"/>
      <c r="T8" s="5"/>
    </row>
    <row r="9" spans="1:24" ht="20.100000000000001" customHeight="1">
      <c r="A9" s="1">
        <v>8</v>
      </c>
      <c r="B9" s="1">
        <f t="shared" si="1"/>
        <v>2.25</v>
      </c>
      <c r="C9" s="1">
        <f t="shared" ref="C9" si="8">C8+0.25</f>
        <v>4.5</v>
      </c>
      <c r="D9" s="1">
        <f>$B9*总表!D$4</f>
        <v>2362.5</v>
      </c>
      <c r="E9" s="1">
        <f>$C9*总表!E$4</f>
        <v>450</v>
      </c>
      <c r="F9" s="1">
        <f>$C9*总表!F$4</f>
        <v>135</v>
      </c>
      <c r="G9" s="1">
        <f>$C9*总表!G$4</f>
        <v>135</v>
      </c>
      <c r="N9" s="1"/>
      <c r="O9" s="5"/>
      <c r="P9" s="1"/>
      <c r="Q9" s="5"/>
      <c r="R9" s="5"/>
      <c r="S9" s="5"/>
      <c r="T9" s="5"/>
    </row>
    <row r="10" spans="1:24" ht="20.100000000000001" customHeight="1">
      <c r="A10" s="1">
        <v>9</v>
      </c>
      <c r="B10" s="1">
        <f t="shared" si="1"/>
        <v>2.375</v>
      </c>
      <c r="C10" s="1">
        <f t="shared" ref="C10" si="9">C9+0.25</f>
        <v>4.75</v>
      </c>
      <c r="D10" s="1">
        <f>$B10*总表!D$4</f>
        <v>2493.75</v>
      </c>
      <c r="E10" s="1">
        <f>$C10*总表!E$4</f>
        <v>475</v>
      </c>
      <c r="F10" s="1">
        <f>$C10*总表!F$4</f>
        <v>142.5</v>
      </c>
      <c r="G10" s="1">
        <f>$C10*总表!G$4</f>
        <v>142.5</v>
      </c>
      <c r="N10" s="1"/>
      <c r="O10" s="5"/>
      <c r="P10" s="1"/>
      <c r="Q10" s="5"/>
      <c r="R10" s="5"/>
      <c r="S10" s="5"/>
      <c r="T10" s="5"/>
    </row>
    <row r="11" spans="1:24" ht="20.100000000000001" customHeight="1">
      <c r="A11" s="1">
        <v>10</v>
      </c>
      <c r="B11" s="1">
        <f t="shared" si="1"/>
        <v>2.5</v>
      </c>
      <c r="C11" s="1">
        <f t="shared" ref="C11" si="10">C10+0.25</f>
        <v>5</v>
      </c>
      <c r="D11" s="1">
        <f>$B11*总表!D$4</f>
        <v>2625</v>
      </c>
      <c r="E11" s="1">
        <f>$C11*总表!E$4</f>
        <v>500</v>
      </c>
      <c r="F11" s="1">
        <f>$C11*总表!F$4</f>
        <v>150</v>
      </c>
      <c r="G11" s="1">
        <f>$C11*总表!G$4</f>
        <v>150</v>
      </c>
      <c r="N11" s="1"/>
      <c r="P11" s="13">
        <v>6</v>
      </c>
    </row>
    <row r="12" spans="1:24" ht="20.100000000000001" customHeight="1">
      <c r="A12" s="1">
        <v>11</v>
      </c>
      <c r="B12" s="1">
        <f t="shared" si="1"/>
        <v>2.625</v>
      </c>
      <c r="C12" s="1">
        <f t="shared" ref="C12" si="11">C11+0.25</f>
        <v>5.25</v>
      </c>
      <c r="D12" s="1">
        <f>$B12*总表!D$4</f>
        <v>2756.25</v>
      </c>
      <c r="E12" s="1">
        <f>$C12*总表!E$4</f>
        <v>525</v>
      </c>
      <c r="F12" s="1">
        <f>$C12*总表!F$4</f>
        <v>157.5</v>
      </c>
      <c r="G12" s="1">
        <f>$C12*总表!G$4</f>
        <v>157.5</v>
      </c>
      <c r="N12" s="1"/>
      <c r="P12" s="13"/>
      <c r="R12" s="5"/>
      <c r="S12" s="5"/>
      <c r="T12" s="5"/>
      <c r="U12" s="5"/>
      <c r="V12" s="5"/>
      <c r="W12" s="5"/>
      <c r="X12" s="5"/>
    </row>
    <row r="13" spans="1:24" ht="20.100000000000001" customHeight="1">
      <c r="A13" s="1">
        <v>12</v>
      </c>
      <c r="B13" s="1">
        <f t="shared" si="1"/>
        <v>2.75</v>
      </c>
      <c r="C13" s="1">
        <f t="shared" ref="C13" si="12">C12+0.25</f>
        <v>5.5</v>
      </c>
      <c r="D13" s="1">
        <f>$B13*总表!D$4</f>
        <v>2887.5</v>
      </c>
      <c r="E13" s="1">
        <f>$C13*总表!E$4</f>
        <v>550</v>
      </c>
      <c r="F13" s="1">
        <f>$C13*总表!F$4</f>
        <v>165</v>
      </c>
      <c r="G13" s="1">
        <f>$C13*总表!G$4</f>
        <v>165</v>
      </c>
      <c r="N13" s="1"/>
      <c r="P13" s="13"/>
      <c r="R13" s="5"/>
      <c r="S13" s="1">
        <v>1500</v>
      </c>
      <c r="T13" s="1">
        <v>1280</v>
      </c>
      <c r="U13" s="1">
        <f>S13-T13</f>
        <v>220</v>
      </c>
      <c r="V13" s="1">
        <f>U13/750</f>
        <v>0.29333333333333333</v>
      </c>
      <c r="W13" s="1">
        <f>1-V13</f>
        <v>0.70666666666666667</v>
      </c>
      <c r="X13" s="5"/>
    </row>
    <row r="14" spans="1:24" ht="20.100000000000001" customHeight="1">
      <c r="A14" s="1">
        <v>13</v>
      </c>
      <c r="B14" s="1">
        <f t="shared" si="1"/>
        <v>2.875</v>
      </c>
      <c r="C14" s="1">
        <f t="shared" ref="C14" si="13">C13+0.25</f>
        <v>5.75</v>
      </c>
      <c r="D14" s="1">
        <f>$B14*总表!D$4</f>
        <v>3018.75</v>
      </c>
      <c r="E14" s="1">
        <f>$C14*总表!E$4</f>
        <v>575</v>
      </c>
      <c r="F14" s="1">
        <f>$C14*总表!F$4</f>
        <v>172.5</v>
      </c>
      <c r="G14" s="1">
        <f>$C14*总表!G$4</f>
        <v>172.5</v>
      </c>
      <c r="N14" s="1"/>
      <c r="P14" s="13">
        <v>2</v>
      </c>
      <c r="R14" s="5"/>
      <c r="S14" s="1">
        <v>1500</v>
      </c>
      <c r="T14" s="1">
        <v>1380</v>
      </c>
      <c r="U14" s="1">
        <f t="shared" ref="U14:U16" si="14">S14-T14</f>
        <v>120</v>
      </c>
      <c r="V14" s="1">
        <f t="shared" ref="V14:V16" si="15">U14/750</f>
        <v>0.16</v>
      </c>
      <c r="W14" s="1">
        <f t="shared" ref="W14:W16" si="16">1-V14</f>
        <v>0.84</v>
      </c>
      <c r="X14" s="5"/>
    </row>
    <row r="15" spans="1:24" ht="20.100000000000001" customHeight="1">
      <c r="A15" s="1">
        <v>14</v>
      </c>
      <c r="B15" s="1">
        <f t="shared" si="1"/>
        <v>3</v>
      </c>
      <c r="C15" s="1">
        <f t="shared" ref="C15" si="17">C14+0.25</f>
        <v>6</v>
      </c>
      <c r="D15" s="1">
        <f>$B15*总表!D$4</f>
        <v>3150</v>
      </c>
      <c r="E15" s="1">
        <f>$C15*总表!E$4</f>
        <v>600</v>
      </c>
      <c r="F15" s="1">
        <f>$C15*总表!F$4</f>
        <v>180</v>
      </c>
      <c r="G15" s="1">
        <f>$C15*总表!G$4</f>
        <v>180</v>
      </c>
      <c r="N15" s="1"/>
      <c r="P15" s="13"/>
      <c r="R15" s="5"/>
      <c r="S15" s="1">
        <v>1500</v>
      </c>
      <c r="T15" s="1">
        <v>1480</v>
      </c>
      <c r="U15" s="1">
        <f t="shared" si="14"/>
        <v>20</v>
      </c>
      <c r="V15" s="1">
        <f t="shared" si="15"/>
        <v>2.6666666666666668E-2</v>
      </c>
      <c r="W15" s="1">
        <f t="shared" si="16"/>
        <v>0.97333333333333338</v>
      </c>
      <c r="X15" s="5"/>
    </row>
    <row r="16" spans="1:24" ht="20.100000000000001" customHeight="1">
      <c r="A16" s="1">
        <v>15</v>
      </c>
      <c r="B16" s="1">
        <f t="shared" si="1"/>
        <v>3.125</v>
      </c>
      <c r="C16" s="1">
        <f t="shared" ref="C16" si="18">C15+0.25</f>
        <v>6.25</v>
      </c>
      <c r="D16" s="1">
        <f>$B16*总表!D$4</f>
        <v>3281.25</v>
      </c>
      <c r="E16" s="1">
        <f>$C16*总表!E$4</f>
        <v>625</v>
      </c>
      <c r="F16" s="1">
        <f>$C16*总表!F$4</f>
        <v>187.5</v>
      </c>
      <c r="G16" s="1">
        <f>$C16*总表!G$4</f>
        <v>187.5</v>
      </c>
      <c r="N16" s="1"/>
      <c r="P16" s="13"/>
      <c r="R16" s="5"/>
      <c r="S16" s="1">
        <v>1500</v>
      </c>
      <c r="T16" s="1">
        <v>1280</v>
      </c>
      <c r="U16" s="1">
        <f t="shared" si="14"/>
        <v>220</v>
      </c>
      <c r="V16" s="1">
        <f t="shared" si="15"/>
        <v>0.29333333333333333</v>
      </c>
      <c r="W16" s="1">
        <f t="shared" si="16"/>
        <v>0.70666666666666667</v>
      </c>
      <c r="X16" s="5"/>
    </row>
    <row r="17" spans="1:24" ht="20.100000000000001" customHeight="1">
      <c r="A17" s="1">
        <v>16</v>
      </c>
      <c r="B17" s="1">
        <f t="shared" si="1"/>
        <v>3.25</v>
      </c>
      <c r="C17" s="1">
        <f t="shared" ref="C17" si="19">C16+0.25</f>
        <v>6.5</v>
      </c>
      <c r="D17" s="1">
        <f>$B17*总表!D$4</f>
        <v>3412.5</v>
      </c>
      <c r="E17" s="1">
        <f>$C17*总表!E$4</f>
        <v>650</v>
      </c>
      <c r="F17" s="1">
        <f>$C17*总表!F$4</f>
        <v>195</v>
      </c>
      <c r="G17" s="1">
        <f>$C17*总表!G$4</f>
        <v>195</v>
      </c>
      <c r="N17" s="1"/>
      <c r="R17" s="5"/>
      <c r="S17" s="5"/>
      <c r="T17" s="5"/>
      <c r="U17" s="5"/>
      <c r="V17" s="5"/>
      <c r="W17" s="5"/>
      <c r="X17" s="5"/>
    </row>
    <row r="18" spans="1:24" ht="20.100000000000001" customHeight="1">
      <c r="A18" s="1">
        <v>17</v>
      </c>
      <c r="B18" s="1">
        <f t="shared" si="1"/>
        <v>3.375</v>
      </c>
      <c r="C18" s="1">
        <f t="shared" ref="C18" si="20">C17+0.25</f>
        <v>6.75</v>
      </c>
      <c r="D18" s="1">
        <f>$B18*总表!D$4</f>
        <v>3543.75</v>
      </c>
      <c r="E18" s="1">
        <f>$C18*总表!E$4</f>
        <v>675</v>
      </c>
      <c r="F18" s="1">
        <f>$C18*总表!F$4</f>
        <v>202.5</v>
      </c>
      <c r="G18" s="1">
        <f>$C18*总表!G$4</f>
        <v>202.5</v>
      </c>
      <c r="N18" s="1"/>
      <c r="P18" s="106" t="s">
        <v>2816</v>
      </c>
    </row>
    <row r="19" spans="1:24" ht="20.100000000000001" customHeight="1">
      <c r="A19" s="1">
        <v>18</v>
      </c>
      <c r="B19" s="1">
        <f t="shared" si="1"/>
        <v>3.5</v>
      </c>
      <c r="C19" s="1">
        <f t="shared" ref="C19" si="21">C18+0.25</f>
        <v>7</v>
      </c>
      <c r="D19" s="1">
        <f>$B19*总表!D$4</f>
        <v>3675</v>
      </c>
      <c r="E19" s="1">
        <f>$C19*总表!E$4</f>
        <v>700</v>
      </c>
      <c r="F19" s="1">
        <f>$C19*总表!F$4</f>
        <v>210</v>
      </c>
      <c r="G19" s="1">
        <f>$C19*总表!G$4</f>
        <v>210</v>
      </c>
      <c r="N19" s="1"/>
    </row>
    <row r="20" spans="1:24" ht="20.100000000000001" customHeight="1">
      <c r="A20" s="1">
        <v>19</v>
      </c>
      <c r="B20" s="1">
        <f t="shared" si="1"/>
        <v>3.625</v>
      </c>
      <c r="C20" s="1">
        <f t="shared" ref="C20" si="22">C19+0.25</f>
        <v>7.25</v>
      </c>
      <c r="D20" s="1">
        <f>$B20*总表!D$4</f>
        <v>3806.25</v>
      </c>
      <c r="E20" s="1">
        <f>$C20*总表!E$4</f>
        <v>725</v>
      </c>
      <c r="F20" s="1">
        <f>$C20*总表!F$4</f>
        <v>217.5</v>
      </c>
      <c r="G20" s="1">
        <f>$C20*总表!G$4</f>
        <v>217.5</v>
      </c>
      <c r="N20" s="1"/>
      <c r="O20" s="1"/>
      <c r="P20" s="1"/>
      <c r="Q20" s="1"/>
      <c r="R20" s="13"/>
    </row>
    <row r="21" spans="1:24" ht="20.100000000000001" customHeight="1">
      <c r="A21" s="1">
        <v>20</v>
      </c>
      <c r="B21" s="1">
        <f t="shared" si="1"/>
        <v>3.75</v>
      </c>
      <c r="C21" s="1">
        <f t="shared" ref="C21" si="23">C20+0.25</f>
        <v>7.5</v>
      </c>
      <c r="D21" s="1">
        <f>$B21*总表!D$4</f>
        <v>3937.5</v>
      </c>
      <c r="E21" s="1">
        <f>$C21*总表!E$4</f>
        <v>750</v>
      </c>
      <c r="F21" s="1">
        <f>$C21*总表!F$4</f>
        <v>225</v>
      </c>
      <c r="G21" s="1">
        <f>$C21*总表!G$4</f>
        <v>225</v>
      </c>
      <c r="N21" s="1"/>
      <c r="O21" s="1" t="s">
        <v>2262</v>
      </c>
      <c r="P21" s="7"/>
      <c r="Q21" s="1"/>
      <c r="R21" s="13"/>
    </row>
    <row r="22" spans="1:24" ht="20.100000000000001" customHeight="1">
      <c r="A22" s="1">
        <v>21</v>
      </c>
      <c r="B22" s="1">
        <f t="shared" si="1"/>
        <v>3.875</v>
      </c>
      <c r="C22" s="1">
        <f t="shared" ref="C22" si="24">C21+0.25</f>
        <v>7.75</v>
      </c>
      <c r="D22" s="1">
        <f>$B22*总表!D$4</f>
        <v>4068.75</v>
      </c>
      <c r="E22" s="1">
        <f>$C22*总表!E$4</f>
        <v>775</v>
      </c>
      <c r="F22" s="1">
        <f>$C22*总表!F$4</f>
        <v>232.5</v>
      </c>
      <c r="G22" s="1">
        <f>$C22*总表!G$4</f>
        <v>232.5</v>
      </c>
      <c r="N22" s="1" t="s">
        <v>2431</v>
      </c>
      <c r="O22" s="1" t="s">
        <v>2432</v>
      </c>
      <c r="P22" s="7" t="s">
        <v>2433</v>
      </c>
      <c r="Q22" s="1"/>
      <c r="R22" s="13"/>
    </row>
    <row r="23" spans="1:24" ht="20.100000000000001" customHeight="1">
      <c r="A23" s="1">
        <v>22</v>
      </c>
      <c r="B23" s="1">
        <f t="shared" si="1"/>
        <v>4</v>
      </c>
      <c r="C23" s="1">
        <f t="shared" ref="C23" si="25">C22+0.25</f>
        <v>8</v>
      </c>
      <c r="D23" s="1">
        <f>$B23*总表!D$4</f>
        <v>4200</v>
      </c>
      <c r="E23" s="1">
        <f>$C23*总表!E$4</f>
        <v>800</v>
      </c>
      <c r="F23" s="1">
        <f>$C23*总表!F$4</f>
        <v>240</v>
      </c>
      <c r="G23" s="1">
        <f>$C23*总表!G$4</f>
        <v>240</v>
      </c>
      <c r="N23" s="1" t="s">
        <v>2376</v>
      </c>
      <c r="O23" s="1" t="s">
        <v>2434</v>
      </c>
      <c r="P23" s="7" t="s">
        <v>2435</v>
      </c>
      <c r="Q23" s="1"/>
      <c r="R23" s="13"/>
    </row>
    <row r="24" spans="1:24" ht="20.100000000000001" customHeight="1">
      <c r="A24" s="1">
        <v>23</v>
      </c>
      <c r="B24" s="1">
        <f t="shared" si="1"/>
        <v>4.125</v>
      </c>
      <c r="C24" s="1">
        <f t="shared" ref="C24" si="26">C23+0.25</f>
        <v>8.25</v>
      </c>
      <c r="D24" s="1">
        <f>$B24*总表!D$4</f>
        <v>4331.25</v>
      </c>
      <c r="E24" s="1">
        <f>$C24*总表!E$4</f>
        <v>825</v>
      </c>
      <c r="F24" s="1">
        <f>$C24*总表!F$4</f>
        <v>247.5</v>
      </c>
      <c r="G24" s="1">
        <f>$C24*总表!G$4</f>
        <v>247.5</v>
      </c>
      <c r="N24" s="1" t="s">
        <v>429</v>
      </c>
      <c r="O24" s="1" t="s">
        <v>429</v>
      </c>
      <c r="P24" s="7" t="s">
        <v>2436</v>
      </c>
      <c r="Q24" s="1"/>
      <c r="R24" s="13"/>
    </row>
    <row r="25" spans="1:24" ht="20.100000000000001" customHeight="1">
      <c r="A25" s="1">
        <v>24</v>
      </c>
      <c r="B25" s="1">
        <f t="shared" si="1"/>
        <v>4.25</v>
      </c>
      <c r="C25" s="1">
        <f t="shared" ref="C25" si="27">C24+0.25</f>
        <v>8.5</v>
      </c>
      <c r="D25" s="1">
        <f>$B25*总表!D$4</f>
        <v>4462.5</v>
      </c>
      <c r="E25" s="1">
        <f>$C25*总表!E$4</f>
        <v>850</v>
      </c>
      <c r="F25" s="1">
        <f>$C25*总表!F$4</f>
        <v>255</v>
      </c>
      <c r="G25" s="1">
        <f>$C25*总表!G$4</f>
        <v>255</v>
      </c>
      <c r="N25" s="1" t="s">
        <v>2378</v>
      </c>
      <c r="O25" s="1" t="s">
        <v>2437</v>
      </c>
      <c r="P25" s="7" t="s">
        <v>2438</v>
      </c>
      <c r="Q25" s="1"/>
      <c r="R25" s="13"/>
    </row>
    <row r="26" spans="1:24" ht="20.100000000000001" customHeight="1">
      <c r="A26" s="1">
        <v>25</v>
      </c>
      <c r="B26" s="1">
        <f t="shared" si="1"/>
        <v>4.375</v>
      </c>
      <c r="C26" s="1">
        <f t="shared" ref="C26" si="28">C25+0.25</f>
        <v>8.75</v>
      </c>
      <c r="D26" s="1">
        <f>$B26*总表!D$4</f>
        <v>4593.75</v>
      </c>
      <c r="E26" s="1">
        <f>$C26*总表!E$4</f>
        <v>875</v>
      </c>
      <c r="F26" s="1">
        <f>$C26*总表!F$4</f>
        <v>262.5</v>
      </c>
      <c r="G26" s="1">
        <f>$C26*总表!G$4</f>
        <v>262.5</v>
      </c>
      <c r="N26" s="1" t="s">
        <v>2402</v>
      </c>
      <c r="O26" s="1" t="s">
        <v>2439</v>
      </c>
      <c r="P26" s="7" t="s">
        <v>2440</v>
      </c>
      <c r="Q26" s="1"/>
      <c r="R26" s="13"/>
    </row>
    <row r="27" spans="1:24" ht="20.100000000000001" customHeight="1">
      <c r="A27" s="1">
        <v>26</v>
      </c>
      <c r="B27" s="1">
        <f t="shared" si="1"/>
        <v>4.5</v>
      </c>
      <c r="C27" s="1">
        <f t="shared" ref="C27" si="29">C26+0.25</f>
        <v>9</v>
      </c>
      <c r="D27" s="1">
        <f>$B27*总表!D$4</f>
        <v>4725</v>
      </c>
      <c r="E27" s="1">
        <f>$C27*总表!E$4</f>
        <v>900</v>
      </c>
      <c r="F27" s="1">
        <f>$C27*总表!F$4</f>
        <v>270</v>
      </c>
      <c r="G27" s="1">
        <f>$C27*总表!G$4</f>
        <v>270</v>
      </c>
      <c r="N27" s="1" t="s">
        <v>2758</v>
      </c>
      <c r="O27" s="1" t="s">
        <v>2441</v>
      </c>
      <c r="P27" s="7" t="s">
        <v>2442</v>
      </c>
    </row>
    <row r="28" spans="1:24" ht="20.100000000000001" customHeight="1">
      <c r="A28" s="1">
        <v>27</v>
      </c>
      <c r="B28" s="1">
        <f t="shared" si="1"/>
        <v>4.625</v>
      </c>
      <c r="C28" s="1">
        <f t="shared" ref="C28" si="30">C27+0.25</f>
        <v>9.25</v>
      </c>
      <c r="D28" s="1">
        <f>$B28*总表!D$4</f>
        <v>4856.25</v>
      </c>
      <c r="E28" s="1">
        <f>$C28*总表!E$4</f>
        <v>925</v>
      </c>
      <c r="F28" s="1">
        <f>$C28*总表!F$4</f>
        <v>277.5</v>
      </c>
      <c r="G28" s="1">
        <f>$C28*总表!G$4</f>
        <v>277.5</v>
      </c>
      <c r="N28" s="1" t="s">
        <v>2387</v>
      </c>
      <c r="P28" s="7" t="s">
        <v>2443</v>
      </c>
    </row>
    <row r="29" spans="1:24" ht="20.100000000000001" customHeight="1">
      <c r="A29" s="1">
        <v>28</v>
      </c>
      <c r="B29" s="1">
        <f t="shared" si="1"/>
        <v>4.75</v>
      </c>
      <c r="C29" s="1">
        <f t="shared" ref="C29" si="31">C28+0.25</f>
        <v>9.5</v>
      </c>
      <c r="D29" s="1">
        <f>$B29*总表!D$4</f>
        <v>4987.5</v>
      </c>
      <c r="E29" s="1">
        <f>$C29*总表!E$4</f>
        <v>950</v>
      </c>
      <c r="F29" s="1">
        <f>$C29*总表!F$4</f>
        <v>285</v>
      </c>
      <c r="G29" s="1">
        <f>$C29*总表!G$4</f>
        <v>285</v>
      </c>
      <c r="N29" s="1" t="s">
        <v>2444</v>
      </c>
      <c r="P29" s="7" t="s">
        <v>2445</v>
      </c>
    </row>
    <row r="30" spans="1:24" ht="20.100000000000001" customHeight="1">
      <c r="A30" s="1">
        <v>29</v>
      </c>
      <c r="B30" s="1">
        <f t="shared" si="1"/>
        <v>4.875</v>
      </c>
      <c r="C30" s="1">
        <f t="shared" ref="C30" si="32">C29+0.25</f>
        <v>9.75</v>
      </c>
      <c r="D30" s="1">
        <f>$B30*总表!D$4</f>
        <v>5118.75</v>
      </c>
      <c r="E30" s="1">
        <f>$C30*总表!E$4</f>
        <v>975</v>
      </c>
      <c r="F30" s="1">
        <f>$C30*总表!F$4</f>
        <v>292.5</v>
      </c>
      <c r="G30" s="1">
        <f>$C30*总表!G$4</f>
        <v>292.5</v>
      </c>
      <c r="N30" s="1"/>
    </row>
    <row r="31" spans="1:24" ht="20.100000000000001" customHeight="1">
      <c r="A31" s="1">
        <v>30</v>
      </c>
      <c r="B31" s="1">
        <f t="shared" si="1"/>
        <v>5</v>
      </c>
      <c r="C31" s="1">
        <f t="shared" ref="C31" si="33">C30+0.25</f>
        <v>10</v>
      </c>
      <c r="D31" s="1">
        <f>$B31*总表!D$4</f>
        <v>5250</v>
      </c>
      <c r="E31" s="1">
        <f>$C31*总表!E$4</f>
        <v>1000</v>
      </c>
      <c r="F31" s="1">
        <f>$C31*总表!F$4</f>
        <v>300</v>
      </c>
      <c r="G31" s="1">
        <f>$C31*总表!G$4</f>
        <v>300</v>
      </c>
      <c r="M31" s="1"/>
      <c r="N31" s="1"/>
      <c r="O31" s="1"/>
      <c r="P31" s="1"/>
      <c r="Q31" s="1"/>
    </row>
    <row r="32" spans="1:24" ht="20.100000000000001" customHeight="1">
      <c r="A32" s="1">
        <v>31</v>
      </c>
      <c r="B32" s="1">
        <f t="shared" si="1"/>
        <v>5.125</v>
      </c>
      <c r="C32" s="1">
        <f t="shared" ref="C32" si="34">C31+0.25</f>
        <v>10.25</v>
      </c>
      <c r="D32" s="1">
        <f>$B32*总表!D$4</f>
        <v>5381.25</v>
      </c>
      <c r="E32" s="1">
        <f>$C32*总表!E$4</f>
        <v>1025</v>
      </c>
      <c r="F32" s="1">
        <f>$C32*总表!F$4</f>
        <v>307.5</v>
      </c>
      <c r="G32" s="1">
        <f>$C32*总表!G$4</f>
        <v>307.5</v>
      </c>
      <c r="M32" s="1"/>
      <c r="N32" s="1"/>
      <c r="O32" s="1" t="s">
        <v>2446</v>
      </c>
      <c r="P32" s="1"/>
      <c r="Q32" s="1"/>
    </row>
    <row r="33" spans="1:20" ht="20.100000000000001" customHeight="1">
      <c r="A33" s="1">
        <v>32</v>
      </c>
      <c r="B33" s="1">
        <f t="shared" si="1"/>
        <v>5.25</v>
      </c>
      <c r="C33" s="1">
        <f t="shared" ref="C33" si="35">C32+0.25</f>
        <v>10.5</v>
      </c>
      <c r="D33" s="1">
        <f>$B33*总表!D$4</f>
        <v>5512.5</v>
      </c>
      <c r="E33" s="1">
        <f>$C33*总表!E$4</f>
        <v>1050</v>
      </c>
      <c r="F33" s="1">
        <f>$C33*总表!F$4</f>
        <v>315</v>
      </c>
      <c r="G33" s="1">
        <f>$C33*总表!G$4</f>
        <v>315</v>
      </c>
      <c r="M33" s="1"/>
      <c r="N33" s="1"/>
      <c r="O33" s="1" t="s">
        <v>38</v>
      </c>
      <c r="P33" s="1" t="s">
        <v>2447</v>
      </c>
      <c r="Q33" s="1"/>
    </row>
    <row r="34" spans="1:20" ht="20.100000000000001" customHeight="1">
      <c r="A34" s="1">
        <v>33</v>
      </c>
      <c r="B34" s="1">
        <f t="shared" si="1"/>
        <v>5.375</v>
      </c>
      <c r="C34" s="1">
        <f t="shared" ref="C34" si="36">C33+0.25</f>
        <v>10.75</v>
      </c>
      <c r="D34" s="1">
        <f>$B34*总表!D$4</f>
        <v>5643.75</v>
      </c>
      <c r="E34" s="1">
        <f>$C34*总表!E$4</f>
        <v>1075</v>
      </c>
      <c r="F34" s="1">
        <f>$C34*总表!F$4</f>
        <v>322.5</v>
      </c>
      <c r="G34" s="1">
        <f>$C34*总表!G$4</f>
        <v>322.5</v>
      </c>
      <c r="M34" s="1"/>
      <c r="N34" s="1"/>
      <c r="O34" s="1" t="s">
        <v>2284</v>
      </c>
      <c r="P34" s="1" t="s">
        <v>2448</v>
      </c>
      <c r="Q34" s="1"/>
    </row>
    <row r="35" spans="1:20" ht="20.100000000000001" customHeight="1">
      <c r="A35" s="1">
        <v>34</v>
      </c>
      <c r="B35" s="1">
        <f t="shared" si="1"/>
        <v>5.5</v>
      </c>
      <c r="C35" s="1">
        <f t="shared" ref="C35" si="37">C34+0.25</f>
        <v>11</v>
      </c>
      <c r="D35" s="1">
        <f>$B35*总表!D$4</f>
        <v>5775</v>
      </c>
      <c r="E35" s="1">
        <f>$C35*总表!E$4</f>
        <v>1100</v>
      </c>
      <c r="F35" s="1">
        <f>$C35*总表!F$4</f>
        <v>330</v>
      </c>
      <c r="G35" s="1">
        <f>$C35*总表!G$4</f>
        <v>330</v>
      </c>
      <c r="M35" s="1"/>
      <c r="N35" s="1" t="s">
        <v>2449</v>
      </c>
      <c r="O35" s="1" t="s">
        <v>463</v>
      </c>
      <c r="P35" s="1" t="s">
        <v>2450</v>
      </c>
      <c r="Q35" s="1"/>
    </row>
    <row r="36" spans="1:20" ht="20.100000000000001" customHeight="1">
      <c r="A36" s="1">
        <v>35</v>
      </c>
      <c r="B36" s="1">
        <f t="shared" si="1"/>
        <v>5.625</v>
      </c>
      <c r="C36" s="1">
        <f t="shared" ref="C36" si="38">C35+0.25</f>
        <v>11.25</v>
      </c>
      <c r="D36" s="1">
        <f>$B36*总表!D$4</f>
        <v>5906.25</v>
      </c>
      <c r="E36" s="1">
        <f>$C36*总表!E$4</f>
        <v>1125</v>
      </c>
      <c r="F36" s="1">
        <f>$C36*总表!F$4</f>
        <v>337.5</v>
      </c>
      <c r="G36" s="1">
        <f>$C36*总表!G$4</f>
        <v>337.5</v>
      </c>
      <c r="M36" s="1"/>
      <c r="N36" s="1"/>
      <c r="O36" s="1"/>
      <c r="P36" s="1"/>
      <c r="Q36" s="1"/>
    </row>
    <row r="37" spans="1:20" ht="20.100000000000001" customHeight="1">
      <c r="A37" s="1">
        <v>36</v>
      </c>
      <c r="B37" s="1">
        <f t="shared" si="1"/>
        <v>5.75</v>
      </c>
      <c r="C37" s="1">
        <f t="shared" ref="C37" si="39">C36+0.25</f>
        <v>11.5</v>
      </c>
      <c r="D37" s="1">
        <f>$B37*总表!D$4</f>
        <v>6037.5</v>
      </c>
      <c r="E37" s="1">
        <f>$C37*总表!E$4</f>
        <v>1150</v>
      </c>
      <c r="F37" s="1">
        <f>$C37*总表!F$4</f>
        <v>345</v>
      </c>
      <c r="G37" s="1">
        <f>$C37*总表!G$4</f>
        <v>345</v>
      </c>
      <c r="N37" s="1"/>
      <c r="O37" s="1" t="s">
        <v>2804</v>
      </c>
      <c r="P37" s="7" t="s">
        <v>2765</v>
      </c>
    </row>
    <row r="38" spans="1:20" ht="20.100000000000001" customHeight="1">
      <c r="A38" s="1">
        <v>37</v>
      </c>
      <c r="B38" s="1">
        <f t="shared" si="1"/>
        <v>5.875</v>
      </c>
      <c r="C38" s="1">
        <f t="shared" ref="C38" si="40">C37+0.25</f>
        <v>11.75</v>
      </c>
      <c r="D38" s="1">
        <f>$B38*总表!D$4</f>
        <v>6168.75</v>
      </c>
      <c r="E38" s="1">
        <f>$C38*总表!E$4</f>
        <v>1175</v>
      </c>
      <c r="F38" s="1">
        <f>$C38*总表!F$4</f>
        <v>352.5</v>
      </c>
      <c r="G38" s="1">
        <f>$C38*总表!G$4</f>
        <v>352.5</v>
      </c>
      <c r="N38" s="1"/>
      <c r="O38" s="1" t="s">
        <v>2760</v>
      </c>
      <c r="P38" s="7" t="s">
        <v>2809</v>
      </c>
      <c r="S38" s="1" t="s">
        <v>2757</v>
      </c>
      <c r="T38" s="7" t="s">
        <v>2762</v>
      </c>
    </row>
    <row r="39" spans="1:20" ht="20.100000000000001" customHeight="1">
      <c r="A39" s="1">
        <v>38</v>
      </c>
      <c r="B39" s="1">
        <f t="shared" si="1"/>
        <v>6</v>
      </c>
      <c r="C39" s="1">
        <f t="shared" ref="C39" si="41">C38+0.25</f>
        <v>12</v>
      </c>
      <c r="D39" s="1">
        <f>$B39*总表!D$4</f>
        <v>6300</v>
      </c>
      <c r="E39" s="1">
        <f>$C39*总表!E$4</f>
        <v>1200</v>
      </c>
      <c r="F39" s="1">
        <f>$C39*总表!F$4</f>
        <v>360</v>
      </c>
      <c r="G39" s="1">
        <f>$C39*总表!G$4</f>
        <v>360</v>
      </c>
      <c r="N39" s="1"/>
      <c r="P39" s="25" t="s">
        <v>2769</v>
      </c>
    </row>
    <row r="40" spans="1:20" ht="20.100000000000001" customHeight="1">
      <c r="A40" s="1">
        <v>39</v>
      </c>
      <c r="B40" s="1">
        <f t="shared" si="1"/>
        <v>6.125</v>
      </c>
      <c r="C40" s="1">
        <f t="shared" ref="C40" si="42">C39+0.25</f>
        <v>12.25</v>
      </c>
      <c r="D40" s="1">
        <f>$B40*总表!D$4</f>
        <v>6431.25</v>
      </c>
      <c r="E40" s="1">
        <f>$C40*总表!E$4</f>
        <v>1225</v>
      </c>
      <c r="F40" s="1">
        <f>$C40*总表!F$4</f>
        <v>367.5</v>
      </c>
      <c r="G40" s="1">
        <f>$C40*总表!G$4</f>
        <v>367.5</v>
      </c>
      <c r="L40" s="1">
        <v>1</v>
      </c>
      <c r="M40" s="1">
        <v>1000101</v>
      </c>
      <c r="N40" s="1" t="s">
        <v>2317</v>
      </c>
      <c r="O40" s="1"/>
      <c r="P40" s="1"/>
      <c r="Q40" s="29"/>
      <c r="R40" s="29" t="s">
        <v>2721</v>
      </c>
      <c r="S40" s="29"/>
      <c r="T40" s="29"/>
    </row>
    <row r="41" spans="1:20" ht="20.100000000000001" customHeight="1">
      <c r="A41" s="1">
        <v>40</v>
      </c>
      <c r="B41" s="1">
        <f t="shared" si="1"/>
        <v>6.25</v>
      </c>
      <c r="C41" s="1">
        <f t="shared" ref="C41" si="43">C40+0.25</f>
        <v>12.5</v>
      </c>
      <c r="D41" s="1">
        <f>$B41*总表!D$4</f>
        <v>6562.5</v>
      </c>
      <c r="E41" s="1">
        <f>$C41*总表!E$4</f>
        <v>1250</v>
      </c>
      <c r="F41" s="1">
        <f>$C41*总表!F$4</f>
        <v>375</v>
      </c>
      <c r="G41" s="1">
        <f>$C41*总表!G$4</f>
        <v>375</v>
      </c>
      <c r="L41" s="1">
        <v>1</v>
      </c>
      <c r="M41" s="1">
        <v>1000201</v>
      </c>
      <c r="N41" s="1" t="s">
        <v>2321</v>
      </c>
      <c r="O41" s="1"/>
      <c r="P41" s="1"/>
      <c r="Q41" s="29"/>
      <c r="R41" s="29"/>
      <c r="S41" s="29"/>
      <c r="T41" s="29"/>
    </row>
    <row r="42" spans="1:20" ht="20.100000000000001" customHeight="1">
      <c r="A42" s="1">
        <v>41</v>
      </c>
      <c r="B42" s="1">
        <f t="shared" si="1"/>
        <v>6.375</v>
      </c>
      <c r="C42" s="1">
        <f t="shared" ref="C42" si="44">C41+0.25</f>
        <v>12.75</v>
      </c>
      <c r="D42" s="1">
        <f>$B42*总表!D$4</f>
        <v>6693.75</v>
      </c>
      <c r="E42" s="1">
        <f>$C42*总表!E$4</f>
        <v>1275</v>
      </c>
      <c r="F42" s="1">
        <f>$C42*总表!F$4</f>
        <v>382.5</v>
      </c>
      <c r="G42" s="1">
        <f>$C42*总表!G$4</f>
        <v>382.5</v>
      </c>
      <c r="L42" s="1">
        <v>1</v>
      </c>
      <c r="M42" s="1">
        <v>1000301</v>
      </c>
      <c r="N42" s="1" t="s">
        <v>2325</v>
      </c>
      <c r="O42" s="1"/>
      <c r="P42" s="1"/>
      <c r="Q42" s="29"/>
      <c r="R42" s="29"/>
      <c r="S42" s="29"/>
      <c r="T42" s="29"/>
    </row>
    <row r="43" spans="1:20" ht="20.100000000000001" customHeight="1">
      <c r="A43" s="1">
        <v>42</v>
      </c>
      <c r="B43" s="1">
        <f t="shared" si="1"/>
        <v>6.5</v>
      </c>
      <c r="C43" s="1">
        <f t="shared" ref="C43" si="45">C42+0.25</f>
        <v>13</v>
      </c>
      <c r="D43" s="1">
        <f>$B43*总表!D$4</f>
        <v>6825</v>
      </c>
      <c r="E43" s="1">
        <f>$C43*总表!E$4</f>
        <v>1300</v>
      </c>
      <c r="F43" s="1">
        <f>$C43*总表!F$4</f>
        <v>390</v>
      </c>
      <c r="G43" s="1">
        <f>$C43*总表!G$4</f>
        <v>390</v>
      </c>
      <c r="L43" s="1">
        <v>2</v>
      </c>
      <c r="M43" s="1">
        <v>1000401</v>
      </c>
      <c r="N43" s="1" t="s">
        <v>2328</v>
      </c>
      <c r="O43" s="1" t="s">
        <v>2720</v>
      </c>
      <c r="P43" s="7" t="s">
        <v>2810</v>
      </c>
      <c r="R43" s="29"/>
      <c r="S43" s="29"/>
      <c r="T43" s="29"/>
    </row>
    <row r="44" spans="1:20" ht="20.100000000000001" customHeight="1">
      <c r="A44" s="1">
        <v>43</v>
      </c>
      <c r="B44" s="1">
        <f t="shared" si="1"/>
        <v>6.625</v>
      </c>
      <c r="C44" s="1">
        <f t="shared" ref="C44" si="46">C43+0.25</f>
        <v>13.25</v>
      </c>
      <c r="D44" s="1">
        <f>$B44*总表!D$4</f>
        <v>6956.25</v>
      </c>
      <c r="E44" s="1">
        <f>$C44*总表!E$4</f>
        <v>1325</v>
      </c>
      <c r="F44" s="1">
        <f>$C44*总表!F$4</f>
        <v>397.5</v>
      </c>
      <c r="G44" s="1">
        <f>$C44*总表!G$4</f>
        <v>397.5</v>
      </c>
      <c r="L44" s="1">
        <v>2</v>
      </c>
      <c r="M44" s="1">
        <v>1000501</v>
      </c>
      <c r="N44" s="1" t="s">
        <v>2332</v>
      </c>
      <c r="O44" s="1"/>
      <c r="P44" s="1"/>
      <c r="Q44" s="29"/>
      <c r="R44" s="29"/>
      <c r="S44" s="29"/>
      <c r="T44" s="29"/>
    </row>
    <row r="45" spans="1:20" ht="20.100000000000001" customHeight="1">
      <c r="A45" s="1">
        <v>44</v>
      </c>
      <c r="B45" s="1">
        <f t="shared" si="1"/>
        <v>6.75</v>
      </c>
      <c r="C45" s="1">
        <f t="shared" ref="C45" si="47">C44+0.25</f>
        <v>13.5</v>
      </c>
      <c r="D45" s="1">
        <f>$B45*总表!D$4</f>
        <v>7087.5</v>
      </c>
      <c r="E45" s="1">
        <f>$C45*总表!E$4</f>
        <v>1350</v>
      </c>
      <c r="F45" s="1">
        <f>$C45*总表!F$4</f>
        <v>405</v>
      </c>
      <c r="G45" s="1">
        <f>$C45*总表!G$4</f>
        <v>405</v>
      </c>
      <c r="L45" s="1">
        <v>2</v>
      </c>
      <c r="M45" s="1">
        <v>1000601</v>
      </c>
      <c r="N45" s="1" t="s">
        <v>2335</v>
      </c>
      <c r="O45" s="1"/>
      <c r="P45" s="1"/>
      <c r="Q45" s="29"/>
      <c r="R45" s="29"/>
      <c r="S45" s="29"/>
      <c r="T45" s="29"/>
    </row>
    <row r="46" spans="1:20" ht="20.100000000000001" customHeight="1">
      <c r="A46" s="1">
        <v>45</v>
      </c>
      <c r="B46" s="1">
        <f t="shared" si="1"/>
        <v>6.875</v>
      </c>
      <c r="C46" s="1">
        <f t="shared" ref="C46" si="48">C45+0.25</f>
        <v>13.75</v>
      </c>
      <c r="D46" s="1">
        <f>$B46*总表!D$4</f>
        <v>7218.75</v>
      </c>
      <c r="E46" s="1">
        <f>$C46*总表!E$4</f>
        <v>1375</v>
      </c>
      <c r="F46" s="1">
        <f>$C46*总表!F$4</f>
        <v>412.5</v>
      </c>
      <c r="G46" s="1">
        <f>$C46*总表!G$4</f>
        <v>412.5</v>
      </c>
      <c r="L46" s="1">
        <v>2</v>
      </c>
      <c r="M46" s="1">
        <v>1000701</v>
      </c>
      <c r="N46" s="1" t="s">
        <v>2339</v>
      </c>
      <c r="O46" s="1" t="s">
        <v>2761</v>
      </c>
      <c r="P46" s="7" t="s">
        <v>2812</v>
      </c>
      <c r="Q46" s="29"/>
      <c r="R46" s="29"/>
      <c r="S46" s="29"/>
      <c r="T46" s="29"/>
    </row>
    <row r="47" spans="1:20" ht="20.100000000000001" customHeight="1">
      <c r="A47" s="1">
        <v>46</v>
      </c>
      <c r="B47" s="1">
        <f t="shared" si="1"/>
        <v>7</v>
      </c>
      <c r="C47" s="1">
        <f t="shared" ref="C47" si="49">C46+0.25</f>
        <v>14</v>
      </c>
      <c r="D47" s="1">
        <f>$B47*总表!D$4</f>
        <v>7350</v>
      </c>
      <c r="E47" s="1">
        <f>$C47*总表!E$4</f>
        <v>1400</v>
      </c>
      <c r="F47" s="1">
        <f>$C47*总表!F$4</f>
        <v>420</v>
      </c>
      <c r="G47" s="1">
        <f>$C47*总表!G$4</f>
        <v>420</v>
      </c>
      <c r="L47" s="1">
        <v>2</v>
      </c>
      <c r="M47" s="1">
        <v>1000801</v>
      </c>
      <c r="N47" s="1" t="s">
        <v>2342</v>
      </c>
      <c r="O47" s="1"/>
      <c r="P47" s="7"/>
      <c r="Q47" s="29"/>
      <c r="R47" s="29"/>
      <c r="S47" s="29"/>
      <c r="T47" s="29"/>
    </row>
    <row r="48" spans="1:20" ht="20.100000000000001" customHeight="1">
      <c r="A48" s="1">
        <v>47</v>
      </c>
      <c r="B48" s="1">
        <f t="shared" si="1"/>
        <v>7.125</v>
      </c>
      <c r="C48" s="1">
        <f t="shared" ref="C48" si="50">C47+0.25</f>
        <v>14.25</v>
      </c>
      <c r="D48" s="1">
        <f>$B48*总表!D$4</f>
        <v>7481.25</v>
      </c>
      <c r="E48" s="1">
        <f>$C48*总表!E$4</f>
        <v>1425</v>
      </c>
      <c r="F48" s="1">
        <f>$C48*总表!F$4</f>
        <v>427.5</v>
      </c>
      <c r="G48" s="1">
        <f>$C48*总表!G$4</f>
        <v>427.5</v>
      </c>
      <c r="L48" s="1">
        <v>2</v>
      </c>
      <c r="M48" s="1">
        <v>1000901</v>
      </c>
      <c r="N48" s="1" t="s">
        <v>2379</v>
      </c>
      <c r="Q48" s="29"/>
      <c r="R48" s="29"/>
      <c r="S48" s="29"/>
      <c r="T48" s="29"/>
    </row>
    <row r="49" spans="1:24" ht="20.100000000000001" customHeight="1">
      <c r="A49" s="1">
        <v>48</v>
      </c>
      <c r="B49" s="1">
        <f t="shared" si="1"/>
        <v>7.25</v>
      </c>
      <c r="C49" s="1">
        <f t="shared" ref="C49" si="51">C48+0.25</f>
        <v>14.5</v>
      </c>
      <c r="D49" s="1">
        <f>$B49*总表!D$4</f>
        <v>7612.5</v>
      </c>
      <c r="E49" s="1">
        <f>$C49*总表!E$4</f>
        <v>1450</v>
      </c>
      <c r="F49" s="1">
        <f>$C49*总表!F$4</f>
        <v>435</v>
      </c>
      <c r="G49" s="1">
        <f>$C49*总表!G$4</f>
        <v>435</v>
      </c>
      <c r="L49" s="1">
        <v>3</v>
      </c>
      <c r="M49" s="1">
        <v>1001001</v>
      </c>
      <c r="N49" s="1" t="s">
        <v>2383</v>
      </c>
      <c r="O49" s="1" t="s">
        <v>2759</v>
      </c>
      <c r="P49" s="7" t="s">
        <v>2811</v>
      </c>
      <c r="Q49" s="29"/>
      <c r="R49" s="29"/>
      <c r="S49" s="29"/>
      <c r="T49" s="29"/>
    </row>
    <row r="50" spans="1:24" ht="20.100000000000001" customHeight="1">
      <c r="A50" s="1">
        <v>49</v>
      </c>
      <c r="B50" s="1">
        <f t="shared" si="1"/>
        <v>7.375</v>
      </c>
      <c r="C50" s="1">
        <f t="shared" ref="C50" si="52">C49+0.25</f>
        <v>14.75</v>
      </c>
      <c r="D50" s="1">
        <f>$B50*总表!D$4</f>
        <v>7743.75</v>
      </c>
      <c r="E50" s="1">
        <f>$C50*总表!E$4</f>
        <v>1475</v>
      </c>
      <c r="F50" s="1">
        <f>$C50*总表!F$4</f>
        <v>442.5</v>
      </c>
      <c r="G50" s="1">
        <f>$C50*总表!G$4</f>
        <v>442.5</v>
      </c>
      <c r="L50" s="1">
        <v>3</v>
      </c>
      <c r="M50" s="1">
        <v>1001101</v>
      </c>
      <c r="N50" s="1" t="s">
        <v>2385</v>
      </c>
      <c r="Q50" s="29"/>
      <c r="R50" s="29"/>
      <c r="S50" s="29"/>
      <c r="T50" s="29"/>
    </row>
    <row r="51" spans="1:24" ht="20.100000000000001" customHeight="1">
      <c r="A51" s="1">
        <v>50</v>
      </c>
      <c r="B51" s="1">
        <f t="shared" si="1"/>
        <v>7.5</v>
      </c>
      <c r="C51" s="1">
        <f t="shared" ref="C51" si="53">C50+0.25</f>
        <v>15</v>
      </c>
      <c r="D51" s="1">
        <f>$B51*总表!D$4</f>
        <v>7875</v>
      </c>
      <c r="E51" s="1">
        <f>$C51*总表!E$4</f>
        <v>1500</v>
      </c>
      <c r="F51" s="1">
        <f>$C51*总表!F$4</f>
        <v>450</v>
      </c>
      <c r="G51" s="1">
        <f>$C51*总表!G$4</f>
        <v>450</v>
      </c>
      <c r="L51" s="1">
        <v>3</v>
      </c>
      <c r="M51" s="1">
        <v>1001201</v>
      </c>
      <c r="N51" s="1" t="s">
        <v>2389</v>
      </c>
      <c r="Q51" s="29"/>
      <c r="R51" s="29"/>
      <c r="S51" s="29"/>
      <c r="T51" s="29"/>
    </row>
    <row r="52" spans="1:24" ht="20.100000000000001" customHeight="1">
      <c r="A52" s="1">
        <v>51</v>
      </c>
      <c r="B52" s="1">
        <f t="shared" si="1"/>
        <v>7.625</v>
      </c>
      <c r="C52" s="1">
        <f t="shared" ref="C52" si="54">C51+0.25</f>
        <v>15.25</v>
      </c>
      <c r="D52" s="1">
        <f>$B52*总表!D$4</f>
        <v>8006.25</v>
      </c>
      <c r="E52" s="1">
        <f>$C52*总表!E$4</f>
        <v>1525</v>
      </c>
      <c r="F52" s="1">
        <f>$C52*总表!F$4</f>
        <v>457.5</v>
      </c>
      <c r="G52" s="1">
        <f>$C52*总表!G$4</f>
        <v>457.5</v>
      </c>
      <c r="L52" s="1">
        <v>3</v>
      </c>
      <c r="M52" s="1">
        <v>1001301</v>
      </c>
      <c r="N52" s="1" t="s">
        <v>2395</v>
      </c>
      <c r="O52" s="1" t="s">
        <v>2768</v>
      </c>
      <c r="P52" s="7" t="s">
        <v>2813</v>
      </c>
      <c r="Q52" s="29"/>
      <c r="R52" s="29"/>
      <c r="S52" s="29"/>
      <c r="T52" s="29"/>
    </row>
    <row r="53" spans="1:24" ht="20.100000000000001" customHeight="1">
      <c r="A53" s="1">
        <v>52</v>
      </c>
      <c r="B53" s="1">
        <f t="shared" si="1"/>
        <v>7.75</v>
      </c>
      <c r="C53" s="1">
        <f t="shared" ref="C53" si="55">C52+0.25</f>
        <v>15.5</v>
      </c>
      <c r="D53" s="1">
        <f>$B53*总表!D$4</f>
        <v>8137.5</v>
      </c>
      <c r="E53" s="1">
        <f>$C53*总表!E$4</f>
        <v>1550</v>
      </c>
      <c r="F53" s="1">
        <f>$C53*总表!F$4</f>
        <v>465</v>
      </c>
      <c r="G53" s="1">
        <f>$C53*总表!G$4</f>
        <v>465</v>
      </c>
      <c r="L53" s="1">
        <v>3</v>
      </c>
      <c r="M53" s="1">
        <v>1001401</v>
      </c>
      <c r="N53" s="1" t="s">
        <v>2766</v>
      </c>
      <c r="O53" s="1" t="s">
        <v>2815</v>
      </c>
      <c r="P53" s="3" t="s">
        <v>2814</v>
      </c>
      <c r="Q53" s="29"/>
      <c r="R53" s="29"/>
      <c r="S53" s="29"/>
      <c r="T53" s="29"/>
    </row>
    <row r="54" spans="1:24" ht="20.100000000000001" customHeight="1">
      <c r="A54" s="1">
        <v>53</v>
      </c>
      <c r="B54" s="1">
        <f t="shared" si="1"/>
        <v>7.875</v>
      </c>
      <c r="C54" s="1">
        <f t="shared" ref="C54" si="56">C53+0.25</f>
        <v>15.75</v>
      </c>
      <c r="D54" s="1">
        <f>$B54*总表!D$4</f>
        <v>8268.75</v>
      </c>
      <c r="E54" s="1">
        <f>$C54*总表!E$4</f>
        <v>1575</v>
      </c>
      <c r="F54" s="1">
        <f>$C54*总表!F$4</f>
        <v>472.5</v>
      </c>
      <c r="G54" s="1">
        <f>$C54*总表!G$4</f>
        <v>472.5</v>
      </c>
      <c r="L54" s="1">
        <v>3</v>
      </c>
      <c r="M54" s="1">
        <v>1009101</v>
      </c>
      <c r="N54" s="1" t="s">
        <v>2717</v>
      </c>
      <c r="O54" s="1" t="s">
        <v>2764</v>
      </c>
      <c r="P54" s="7" t="s">
        <v>2824</v>
      </c>
      <c r="Q54" s="29"/>
      <c r="R54" s="29"/>
      <c r="S54" s="29"/>
      <c r="T54" s="29"/>
    </row>
    <row r="55" spans="1:24" ht="20.100000000000001" customHeight="1">
      <c r="A55" s="1">
        <v>54</v>
      </c>
      <c r="B55" s="1">
        <f t="shared" si="1"/>
        <v>8</v>
      </c>
      <c r="C55" s="1">
        <f t="shared" ref="C55" si="57">C54+0.25</f>
        <v>16</v>
      </c>
      <c r="D55" s="1">
        <f>$B55*总表!D$4</f>
        <v>8400</v>
      </c>
      <c r="E55" s="1">
        <f>$C55*总表!E$4</f>
        <v>1600</v>
      </c>
      <c r="F55" s="1">
        <f>$C55*总表!F$4</f>
        <v>480</v>
      </c>
      <c r="G55" s="1">
        <f>$C55*总表!G$4</f>
        <v>480</v>
      </c>
      <c r="L55" s="1">
        <v>3</v>
      </c>
      <c r="M55" s="1">
        <v>1009201</v>
      </c>
      <c r="N55" s="1" t="s">
        <v>2718</v>
      </c>
      <c r="O55" s="1" t="s">
        <v>2808</v>
      </c>
      <c r="P55" s="7" t="s">
        <v>2826</v>
      </c>
      <c r="Q55" s="29"/>
      <c r="R55" s="29" t="s">
        <v>2818</v>
      </c>
      <c r="S55" s="29"/>
      <c r="T55" s="29"/>
    </row>
    <row r="56" spans="1:24" ht="20.100000000000001" customHeight="1">
      <c r="A56" s="1">
        <v>55</v>
      </c>
      <c r="B56" s="1">
        <f t="shared" si="1"/>
        <v>8.125</v>
      </c>
      <c r="C56" s="1">
        <f t="shared" ref="C56" si="58">C55+0.25</f>
        <v>16.25</v>
      </c>
      <c r="D56" s="1">
        <f>$B56*总表!D$4</f>
        <v>8531.25</v>
      </c>
      <c r="E56" s="1">
        <f>$C56*总表!E$4</f>
        <v>1625</v>
      </c>
      <c r="F56" s="1">
        <f>$C56*总表!F$4</f>
        <v>487.5</v>
      </c>
      <c r="G56" s="1">
        <f>$C56*总表!G$4</f>
        <v>487.5</v>
      </c>
      <c r="L56" s="1">
        <v>3</v>
      </c>
      <c r="M56" s="1">
        <v>1009301</v>
      </c>
      <c r="N56" s="1" t="s">
        <v>2719</v>
      </c>
      <c r="O56" s="1" t="s">
        <v>2763</v>
      </c>
      <c r="P56" s="7" t="s">
        <v>2827</v>
      </c>
      <c r="Q56" s="29"/>
      <c r="R56" s="29"/>
      <c r="S56" s="29"/>
      <c r="T56" s="29"/>
    </row>
    <row r="57" spans="1:24" ht="20.100000000000001" customHeight="1">
      <c r="A57" s="1">
        <v>56</v>
      </c>
      <c r="B57" s="1">
        <f t="shared" si="1"/>
        <v>8.25</v>
      </c>
      <c r="C57" s="1">
        <f t="shared" ref="C57" si="59">C56+0.25</f>
        <v>16.5</v>
      </c>
      <c r="D57" s="1">
        <f>$B57*总表!D$4</f>
        <v>8662.5</v>
      </c>
      <c r="E57" s="1">
        <f>$C57*总表!E$4</f>
        <v>1650</v>
      </c>
      <c r="F57" s="1">
        <f>$C57*总表!F$4</f>
        <v>495</v>
      </c>
      <c r="G57" s="1">
        <f>$C57*总表!G$4</f>
        <v>495</v>
      </c>
      <c r="L57" s="1">
        <v>5</v>
      </c>
      <c r="M57" s="1">
        <v>2000001</v>
      </c>
      <c r="N57" s="1" t="s">
        <v>2714</v>
      </c>
      <c r="O57" s="1"/>
      <c r="P57" s="7" t="s">
        <v>2805</v>
      </c>
      <c r="Q57" s="7" t="s">
        <v>2807</v>
      </c>
      <c r="R57" s="29"/>
      <c r="S57" s="29"/>
      <c r="X57" s="1" t="s">
        <v>2806</v>
      </c>
    </row>
    <row r="58" spans="1:24" ht="20.100000000000001" customHeight="1">
      <c r="A58" s="1">
        <v>57</v>
      </c>
      <c r="B58" s="1">
        <f t="shared" si="1"/>
        <v>8.375</v>
      </c>
      <c r="C58" s="1">
        <f t="shared" ref="C58" si="60">C57+0.25</f>
        <v>16.75</v>
      </c>
      <c r="D58" s="1">
        <f>$B58*总表!D$4</f>
        <v>8793.75</v>
      </c>
      <c r="E58" s="1">
        <f>$C58*总表!E$4</f>
        <v>1675</v>
      </c>
      <c r="F58" s="1">
        <f>$C58*总表!F$4</f>
        <v>502.5</v>
      </c>
      <c r="G58" s="1">
        <f>$C58*总表!G$4</f>
        <v>502.5</v>
      </c>
      <c r="L58" s="1">
        <v>5</v>
      </c>
      <c r="M58" s="1">
        <v>2000002</v>
      </c>
      <c r="N58" s="1" t="s">
        <v>2715</v>
      </c>
      <c r="O58" s="1"/>
      <c r="P58" s="7" t="s">
        <v>2447</v>
      </c>
      <c r="R58" s="29"/>
      <c r="S58" s="29"/>
      <c r="T58" s="29"/>
      <c r="X58" s="1" t="s">
        <v>2806</v>
      </c>
    </row>
    <row r="59" spans="1:24" ht="20.100000000000001" customHeight="1">
      <c r="A59" s="1">
        <v>58</v>
      </c>
      <c r="B59" s="1">
        <f t="shared" si="1"/>
        <v>8.5</v>
      </c>
      <c r="C59" s="1">
        <f t="shared" ref="C59" si="61">C58+0.25</f>
        <v>17</v>
      </c>
      <c r="D59" s="1">
        <f>$B59*总表!D$4</f>
        <v>8925</v>
      </c>
      <c r="E59" s="1">
        <f>$C59*总表!E$4</f>
        <v>1700</v>
      </c>
      <c r="F59" s="1">
        <f>$C59*总表!F$4</f>
        <v>510</v>
      </c>
      <c r="G59" s="1">
        <f>$C59*总表!G$4</f>
        <v>510</v>
      </c>
      <c r="L59" s="1">
        <v>5</v>
      </c>
      <c r="M59" s="1">
        <v>2000003</v>
      </c>
      <c r="N59" s="1" t="s">
        <v>2716</v>
      </c>
      <c r="O59" s="1"/>
      <c r="P59" s="7" t="s">
        <v>2448</v>
      </c>
      <c r="R59" s="29"/>
      <c r="S59" s="29"/>
      <c r="T59" s="29"/>
      <c r="X59" s="1" t="s">
        <v>2806</v>
      </c>
    </row>
    <row r="60" spans="1:24" ht="20.100000000000001" customHeight="1">
      <c r="A60" s="1">
        <v>59</v>
      </c>
      <c r="B60" s="1">
        <f t="shared" si="1"/>
        <v>8.625</v>
      </c>
      <c r="C60" s="1">
        <f t="shared" ref="C60" si="62">C59+0.25</f>
        <v>17.25</v>
      </c>
      <c r="D60" s="1">
        <f>$B60*总表!D$4</f>
        <v>9056.25</v>
      </c>
      <c r="E60" s="1">
        <f>$C60*总表!E$4</f>
        <v>1725</v>
      </c>
      <c r="F60" s="1">
        <f>$C60*总表!F$4</f>
        <v>517.5</v>
      </c>
      <c r="G60" s="1">
        <f>$C60*总表!G$4</f>
        <v>517.5</v>
      </c>
      <c r="N60" s="1"/>
    </row>
    <row r="61" spans="1:24" s="3" customFormat="1" ht="20.100000000000001" customHeight="1">
      <c r="A61" s="1">
        <v>60</v>
      </c>
      <c r="B61" s="1">
        <f t="shared" si="1"/>
        <v>8.75</v>
      </c>
      <c r="C61" s="1">
        <f t="shared" ref="C61" si="63">C60+0.25</f>
        <v>17.5</v>
      </c>
      <c r="D61" s="1">
        <f>$B61*总表!D$4</f>
        <v>9187.5</v>
      </c>
      <c r="E61" s="1">
        <f>$C61*总表!E$4</f>
        <v>1750</v>
      </c>
      <c r="F61" s="1">
        <f>$C61*总表!F$4</f>
        <v>525</v>
      </c>
      <c r="G61" s="1">
        <f>$C61*总表!G$4</f>
        <v>525</v>
      </c>
      <c r="N61" s="1"/>
      <c r="P61" s="3" t="s">
        <v>2825</v>
      </c>
      <c r="Q61" s="3" t="s">
        <v>2817</v>
      </c>
    </row>
    <row r="62" spans="1:24" s="3" customFormat="1" ht="20.100000000000001" customHeight="1">
      <c r="A62" s="1">
        <v>61</v>
      </c>
      <c r="B62" s="1">
        <f t="shared" si="1"/>
        <v>8.875</v>
      </c>
      <c r="C62" s="1">
        <f t="shared" ref="C62" si="64">C61+0.25</f>
        <v>17.75</v>
      </c>
      <c r="D62" s="1">
        <f>$B62*总表!D$4</f>
        <v>9318.75</v>
      </c>
      <c r="E62" s="1">
        <f>$C62*总表!E$4</f>
        <v>1775</v>
      </c>
      <c r="F62" s="1">
        <f>$C62*总表!F$4</f>
        <v>532.5</v>
      </c>
      <c r="G62" s="1">
        <f>$C62*总表!G$4</f>
        <v>532.5</v>
      </c>
      <c r="M62" s="1">
        <v>80001001</v>
      </c>
      <c r="N62" s="1" t="s">
        <v>2319</v>
      </c>
      <c r="P62" s="3" t="s">
        <v>2320</v>
      </c>
    </row>
    <row r="63" spans="1:24" s="3" customFormat="1" ht="20.100000000000001" customHeight="1">
      <c r="A63" s="1">
        <v>62</v>
      </c>
      <c r="B63" s="1">
        <f t="shared" si="1"/>
        <v>9</v>
      </c>
      <c r="C63" s="1">
        <f t="shared" ref="C63" si="65">C62+0.25</f>
        <v>18</v>
      </c>
      <c r="D63" s="1">
        <f>$B63*总表!D$4</f>
        <v>9450</v>
      </c>
      <c r="E63" s="1">
        <f>$C63*总表!E$4</f>
        <v>1800</v>
      </c>
      <c r="F63" s="1">
        <f>$C63*总表!F$4</f>
        <v>540</v>
      </c>
      <c r="G63" s="1">
        <f>$C63*总表!G$4</f>
        <v>540</v>
      </c>
      <c r="M63" s="1">
        <v>80001002</v>
      </c>
      <c r="N63" s="1" t="s">
        <v>674</v>
      </c>
      <c r="P63" s="3" t="s">
        <v>2324</v>
      </c>
      <c r="U63" s="7" t="s">
        <v>2767</v>
      </c>
    </row>
    <row r="64" spans="1:24" s="3" customFormat="1" ht="20.100000000000001" customHeight="1">
      <c r="A64" s="1">
        <v>63</v>
      </c>
      <c r="B64" s="1">
        <f t="shared" si="1"/>
        <v>9.125</v>
      </c>
      <c r="C64" s="1">
        <f t="shared" ref="C64" si="66">C63+0.25</f>
        <v>18.25</v>
      </c>
      <c r="D64" s="1">
        <f>$B64*总表!D$4</f>
        <v>9581.25</v>
      </c>
      <c r="E64" s="1">
        <f>$C64*总表!E$4</f>
        <v>1825</v>
      </c>
      <c r="F64" s="1">
        <f>$C64*总表!F$4</f>
        <v>547.5</v>
      </c>
      <c r="G64" s="1">
        <f>$C64*总表!G$4</f>
        <v>547.5</v>
      </c>
      <c r="M64" s="1">
        <v>80001003</v>
      </c>
      <c r="N64" s="1" t="s">
        <v>2266</v>
      </c>
      <c r="P64" s="3" t="s">
        <v>2327</v>
      </c>
    </row>
    <row r="65" spans="1:16" s="3" customFormat="1" ht="20.100000000000001" customHeight="1">
      <c r="A65" s="1">
        <v>64</v>
      </c>
      <c r="B65" s="1">
        <f t="shared" si="1"/>
        <v>9.25</v>
      </c>
      <c r="C65" s="1">
        <f t="shared" ref="C65" si="67">C64+0.25</f>
        <v>18.5</v>
      </c>
      <c r="D65" s="1">
        <f>$B65*总表!D$4</f>
        <v>9712.5</v>
      </c>
      <c r="E65" s="1">
        <f>$C65*总表!E$4</f>
        <v>1850</v>
      </c>
      <c r="F65" s="1">
        <f>$C65*总表!F$4</f>
        <v>555</v>
      </c>
      <c r="G65" s="1">
        <f>$C65*总表!G$4</f>
        <v>555</v>
      </c>
      <c r="M65" s="1">
        <v>80001004</v>
      </c>
      <c r="N65" s="1" t="s">
        <v>2330</v>
      </c>
      <c r="P65" s="3" t="s">
        <v>2875</v>
      </c>
    </row>
    <row r="66" spans="1:16" s="3" customFormat="1" ht="20.100000000000001" customHeight="1">
      <c r="A66" s="1">
        <v>65</v>
      </c>
      <c r="B66" s="1">
        <f t="shared" si="1"/>
        <v>9.375</v>
      </c>
      <c r="C66" s="1">
        <f t="shared" ref="C66" si="68">C65+0.25</f>
        <v>18.75</v>
      </c>
      <c r="D66" s="1">
        <f>$B66*总表!D$4</f>
        <v>9843.75</v>
      </c>
      <c r="E66" s="1">
        <f>$C66*总表!E$4</f>
        <v>1875</v>
      </c>
      <c r="F66" s="1">
        <f>$C66*总表!F$4</f>
        <v>562.5</v>
      </c>
      <c r="G66" s="1">
        <f>$C66*总表!G$4</f>
        <v>562.5</v>
      </c>
      <c r="M66" s="1">
        <v>80001005</v>
      </c>
      <c r="N66" s="1" t="s">
        <v>2292</v>
      </c>
      <c r="P66" s="3" t="s">
        <v>2334</v>
      </c>
    </row>
    <row r="67" spans="1:16" s="3" customFormat="1" ht="20.100000000000001" customHeight="1">
      <c r="A67" s="1">
        <v>66</v>
      </c>
      <c r="B67" s="1">
        <f t="shared" si="1"/>
        <v>9.5</v>
      </c>
      <c r="C67" s="1">
        <f t="shared" ref="C67" si="69">C66+0.25</f>
        <v>19</v>
      </c>
      <c r="D67" s="1">
        <f>$B67*总表!D$4</f>
        <v>9975</v>
      </c>
      <c r="E67" s="1">
        <f>$C67*总表!E$4</f>
        <v>1900</v>
      </c>
      <c r="F67" s="1">
        <f>$C67*总表!F$4</f>
        <v>570</v>
      </c>
      <c r="G67" s="1">
        <f>$C67*总表!G$4</f>
        <v>570</v>
      </c>
      <c r="M67" s="1">
        <v>80001006</v>
      </c>
      <c r="N67" s="1" t="s">
        <v>2722</v>
      </c>
      <c r="P67" s="3" t="s">
        <v>2724</v>
      </c>
    </row>
    <row r="68" spans="1:16" s="3" customFormat="1" ht="20.100000000000001" customHeight="1">
      <c r="A68" s="1">
        <v>67</v>
      </c>
      <c r="B68" s="1">
        <f t="shared" ref="B68:B71" si="70">B67+0.125</f>
        <v>9.625</v>
      </c>
      <c r="C68" s="1">
        <f t="shared" ref="C68" si="71">C67+0.25</f>
        <v>19.25</v>
      </c>
      <c r="D68" s="1">
        <f>$B68*总表!D$4</f>
        <v>10106.25</v>
      </c>
      <c r="E68" s="1">
        <f>$C68*总表!E$4</f>
        <v>1925</v>
      </c>
      <c r="F68" s="1">
        <f>$C68*总表!F$4</f>
        <v>577.5</v>
      </c>
      <c r="G68" s="1">
        <f>$C68*总表!G$4</f>
        <v>577.5</v>
      </c>
      <c r="M68" s="1">
        <v>80001007</v>
      </c>
      <c r="N68" s="1" t="s">
        <v>1278</v>
      </c>
      <c r="P68" s="3" t="s">
        <v>2341</v>
      </c>
    </row>
    <row r="69" spans="1:16" s="3" customFormat="1" ht="20.100000000000001" customHeight="1">
      <c r="A69" s="1">
        <v>68</v>
      </c>
      <c r="B69" s="1">
        <f t="shared" si="70"/>
        <v>9.75</v>
      </c>
      <c r="C69" s="1">
        <f t="shared" ref="C69" si="72">C68+0.25</f>
        <v>19.5</v>
      </c>
      <c r="D69" s="1">
        <f>$B69*总表!D$4</f>
        <v>10237.5</v>
      </c>
      <c r="E69" s="1">
        <f>$C69*总表!E$4</f>
        <v>1950</v>
      </c>
      <c r="F69" s="1">
        <f>$C69*总表!F$4</f>
        <v>585</v>
      </c>
      <c r="G69" s="1">
        <f>$C69*总表!G$4</f>
        <v>585</v>
      </c>
      <c r="M69" s="1">
        <v>80001008</v>
      </c>
      <c r="N69" s="1" t="s">
        <v>2343</v>
      </c>
      <c r="P69" s="3" t="s">
        <v>2819</v>
      </c>
    </row>
    <row r="70" spans="1:16" s="3" customFormat="1" ht="20.100000000000001" customHeight="1">
      <c r="A70" s="1">
        <v>69</v>
      </c>
      <c r="B70" s="1">
        <f t="shared" si="70"/>
        <v>9.875</v>
      </c>
      <c r="C70" s="1">
        <f t="shared" ref="C70" si="73">C69+0.25</f>
        <v>19.75</v>
      </c>
      <c r="D70" s="1">
        <f>$B70*总表!D$4</f>
        <v>10368.75</v>
      </c>
      <c r="E70" s="1">
        <f>$C70*总表!E$4</f>
        <v>1975</v>
      </c>
      <c r="F70" s="1">
        <f>$C70*总表!F$4</f>
        <v>592.5</v>
      </c>
      <c r="G70" s="1">
        <f>$C70*总表!G$4</f>
        <v>592.5</v>
      </c>
      <c r="M70" s="1">
        <v>80001009</v>
      </c>
      <c r="N70" s="1" t="s">
        <v>1282</v>
      </c>
      <c r="P70" s="3" t="s">
        <v>2820</v>
      </c>
    </row>
    <row r="71" spans="1:16" s="3" customFormat="1" ht="20.100000000000001" customHeight="1">
      <c r="A71" s="1">
        <v>70</v>
      </c>
      <c r="B71" s="1">
        <f t="shared" si="70"/>
        <v>10</v>
      </c>
      <c r="C71" s="1">
        <f t="shared" ref="C71" si="74">C70+0.25</f>
        <v>20</v>
      </c>
      <c r="D71" s="1">
        <f>$B71*总表!D$4</f>
        <v>10500</v>
      </c>
      <c r="E71" s="1">
        <f>$C71*总表!E$4</f>
        <v>2000</v>
      </c>
      <c r="F71" s="1">
        <f>$C71*总表!F$4</f>
        <v>600</v>
      </c>
      <c r="G71" s="1">
        <f>$C71*总表!G$4</f>
        <v>600</v>
      </c>
      <c r="M71" s="1">
        <v>80001010</v>
      </c>
      <c r="N71" s="1" t="s">
        <v>765</v>
      </c>
      <c r="P71" s="3" t="s">
        <v>2821</v>
      </c>
    </row>
    <row r="72" spans="1:16" s="3" customFormat="1" ht="20.100000000000001" customHeight="1">
      <c r="A72" s="1"/>
      <c r="B72" s="1"/>
      <c r="C72" s="1"/>
      <c r="D72" s="1"/>
      <c r="E72" s="1"/>
      <c r="F72" s="1"/>
      <c r="G72" s="1"/>
      <c r="M72" s="1">
        <v>80001011</v>
      </c>
      <c r="N72" s="1" t="s">
        <v>2347</v>
      </c>
      <c r="P72" s="3" t="s">
        <v>2348</v>
      </c>
    </row>
    <row r="73" spans="1:16" s="3" customFormat="1" ht="20.100000000000001" customHeight="1">
      <c r="A73" s="1"/>
      <c r="B73" s="1"/>
      <c r="C73" s="1"/>
      <c r="D73" s="1"/>
      <c r="E73" s="1"/>
      <c r="F73" s="1"/>
      <c r="G73" s="1"/>
      <c r="M73" s="1">
        <v>80001012</v>
      </c>
      <c r="N73" s="1" t="s">
        <v>2349</v>
      </c>
      <c r="P73" s="3" t="s">
        <v>2725</v>
      </c>
    </row>
    <row r="74" spans="1:16" s="3" customFormat="1" ht="20.100000000000001" customHeight="1">
      <c r="A74" s="1"/>
      <c r="B74" s="1"/>
      <c r="C74" s="1"/>
      <c r="D74" s="1"/>
      <c r="E74" s="1"/>
      <c r="F74" s="1"/>
      <c r="G74" s="1"/>
      <c r="M74" s="1">
        <v>80001013</v>
      </c>
      <c r="N74" s="1" t="s">
        <v>2351</v>
      </c>
      <c r="P74" s="3" t="s">
        <v>2726</v>
      </c>
    </row>
    <row r="75" spans="1:16" s="3" customFormat="1" ht="20.100000000000001" customHeight="1">
      <c r="A75" s="1"/>
      <c r="B75" s="1"/>
      <c r="C75" s="1"/>
      <c r="D75" s="1"/>
      <c r="E75" s="1"/>
      <c r="F75" s="1"/>
      <c r="G75" s="1"/>
      <c r="M75" s="1">
        <v>80001014</v>
      </c>
      <c r="N75" s="1" t="s">
        <v>678</v>
      </c>
      <c r="P75" s="3" t="s">
        <v>2353</v>
      </c>
    </row>
    <row r="76" spans="1:16" s="3" customFormat="1" ht="20.100000000000001" customHeight="1">
      <c r="A76" s="1"/>
      <c r="B76" s="1"/>
      <c r="C76" s="1"/>
      <c r="D76" s="1"/>
      <c r="E76" s="1"/>
      <c r="F76" s="1"/>
      <c r="G76" s="1"/>
      <c r="M76" s="1">
        <v>80001015</v>
      </c>
      <c r="N76" s="1" t="s">
        <v>2354</v>
      </c>
      <c r="P76" s="25" t="s">
        <v>2822</v>
      </c>
    </row>
    <row r="77" spans="1:16" s="3" customFormat="1" ht="20.100000000000001" customHeight="1">
      <c r="A77" s="1"/>
      <c r="B77" s="1"/>
      <c r="C77" s="1"/>
      <c r="D77" s="1"/>
      <c r="E77" s="1"/>
      <c r="F77" s="1"/>
      <c r="G77" s="1"/>
      <c r="M77" s="1">
        <v>80001016</v>
      </c>
      <c r="N77" s="1" t="s">
        <v>12</v>
      </c>
      <c r="P77" s="3" t="s">
        <v>2356</v>
      </c>
    </row>
    <row r="78" spans="1:16" s="3" customFormat="1" ht="20.100000000000001" customHeight="1">
      <c r="A78" s="1"/>
      <c r="B78" s="1"/>
      <c r="C78" s="1"/>
      <c r="D78" s="1"/>
      <c r="E78" s="1"/>
      <c r="F78" s="1"/>
      <c r="G78" s="1"/>
      <c r="M78" s="1">
        <v>80001017</v>
      </c>
      <c r="N78" s="1" t="s">
        <v>1599</v>
      </c>
      <c r="P78" s="3" t="s">
        <v>2727</v>
      </c>
    </row>
    <row r="79" spans="1:16" s="3" customFormat="1" ht="20.100000000000001" customHeight="1">
      <c r="A79" s="1"/>
      <c r="B79" s="1"/>
      <c r="C79" s="1"/>
      <c r="D79" s="1"/>
      <c r="E79" s="1"/>
      <c r="F79" s="1"/>
      <c r="G79" s="1"/>
      <c r="M79" s="1">
        <v>80001018</v>
      </c>
      <c r="N79" s="1" t="s">
        <v>2358</v>
      </c>
      <c r="P79" s="3" t="s">
        <v>2359</v>
      </c>
    </row>
    <row r="80" spans="1:16" s="3" customFormat="1" ht="20.100000000000001" customHeight="1">
      <c r="A80" s="1"/>
      <c r="B80" s="1"/>
      <c r="C80" s="1"/>
      <c r="D80" s="1"/>
      <c r="E80" s="1"/>
      <c r="F80" s="1"/>
      <c r="G80" s="1"/>
      <c r="M80" s="1">
        <v>80001019</v>
      </c>
      <c r="N80" s="1" t="s">
        <v>2360</v>
      </c>
      <c r="P80" s="3" t="s">
        <v>2361</v>
      </c>
    </row>
    <row r="81" spans="1:16" s="3" customFormat="1" ht="20.100000000000001" customHeight="1">
      <c r="A81" s="1"/>
      <c r="B81" s="1"/>
      <c r="C81" s="1"/>
      <c r="D81" s="1"/>
      <c r="E81" s="1"/>
      <c r="F81" s="1"/>
      <c r="G81" s="1"/>
      <c r="M81" s="1">
        <v>80001020</v>
      </c>
      <c r="N81" s="1" t="s">
        <v>2362</v>
      </c>
      <c r="P81" s="3" t="s">
        <v>2363</v>
      </c>
    </row>
    <row r="82" spans="1:16" s="3" customFormat="1" ht="20.100000000000001" customHeight="1">
      <c r="A82" s="1"/>
      <c r="B82" s="1"/>
      <c r="C82" s="1"/>
      <c r="D82" s="1"/>
      <c r="E82" s="1"/>
      <c r="F82" s="1"/>
      <c r="G82" s="1"/>
      <c r="M82" s="1">
        <v>80001021</v>
      </c>
      <c r="N82" s="1" t="s">
        <v>1783</v>
      </c>
      <c r="P82" s="3" t="s">
        <v>2728</v>
      </c>
    </row>
    <row r="83" spans="1:16" s="3" customFormat="1" ht="20.100000000000001" customHeight="1">
      <c r="A83" s="1"/>
      <c r="B83" s="1"/>
      <c r="C83" s="1"/>
      <c r="D83" s="1"/>
      <c r="E83" s="1"/>
      <c r="F83" s="1"/>
      <c r="G83" s="1"/>
      <c r="M83" s="1">
        <v>80001022</v>
      </c>
      <c r="N83" s="1" t="s">
        <v>2376</v>
      </c>
      <c r="P83" s="3" t="s">
        <v>2729</v>
      </c>
    </row>
    <row r="84" spans="1:16" s="3" customFormat="1" ht="20.100000000000001" customHeight="1">
      <c r="A84" s="1"/>
      <c r="B84" s="1"/>
      <c r="C84" s="1"/>
      <c r="D84" s="1"/>
      <c r="E84" s="1"/>
      <c r="F84" s="1"/>
      <c r="G84" s="1"/>
      <c r="M84" s="1">
        <v>80001023</v>
      </c>
      <c r="N84" s="1" t="s">
        <v>429</v>
      </c>
      <c r="P84" s="3" t="s">
        <v>2730</v>
      </c>
    </row>
    <row r="85" spans="1:16" s="3" customFormat="1" ht="20.100000000000001" customHeight="1">
      <c r="A85" s="1"/>
      <c r="B85" s="1"/>
      <c r="C85" s="1"/>
      <c r="D85" s="1"/>
      <c r="E85" s="1"/>
      <c r="F85" s="1"/>
      <c r="G85" s="1"/>
      <c r="M85" s="1">
        <v>80001024</v>
      </c>
      <c r="N85" s="1" t="s">
        <v>2378</v>
      </c>
      <c r="P85" s="3" t="s">
        <v>2731</v>
      </c>
    </row>
    <row r="86" spans="1:16" s="3" customFormat="1" ht="20.100000000000001" customHeight="1">
      <c r="A86" s="1"/>
      <c r="B86" s="1"/>
      <c r="C86" s="1"/>
      <c r="D86" s="1"/>
      <c r="E86" s="1"/>
      <c r="F86" s="1"/>
      <c r="G86" s="1"/>
      <c r="M86" s="1">
        <v>80001025</v>
      </c>
      <c r="N86" s="1" t="s">
        <v>2402</v>
      </c>
      <c r="P86" s="3" t="s">
        <v>2440</v>
      </c>
    </row>
    <row r="87" spans="1:16" s="3" customFormat="1" ht="20.100000000000001" customHeight="1">
      <c r="A87" s="1"/>
      <c r="B87" s="1"/>
      <c r="C87" s="1"/>
      <c r="D87" s="1"/>
      <c r="E87" s="1"/>
      <c r="F87" s="1"/>
      <c r="G87" s="1"/>
      <c r="M87" s="1">
        <v>80001026</v>
      </c>
      <c r="N87" s="1" t="s">
        <v>2393</v>
      </c>
      <c r="P87" s="3" t="s">
        <v>2732</v>
      </c>
    </row>
    <row r="88" spans="1:16" s="3" customFormat="1" ht="20.100000000000001" customHeight="1">
      <c r="A88" s="1"/>
      <c r="B88" s="1"/>
      <c r="C88" s="1"/>
      <c r="D88" s="1"/>
      <c r="E88" s="1"/>
      <c r="F88" s="1"/>
      <c r="G88" s="1"/>
      <c r="M88" s="1">
        <v>80001027</v>
      </c>
      <c r="N88" s="1" t="s">
        <v>2387</v>
      </c>
      <c r="P88" s="3" t="s">
        <v>2443</v>
      </c>
    </row>
    <row r="89" spans="1:16" s="3" customFormat="1" ht="20.100000000000001" customHeight="1">
      <c r="A89" s="1"/>
      <c r="B89" s="1"/>
      <c r="C89" s="1"/>
      <c r="D89" s="1"/>
      <c r="E89" s="1"/>
      <c r="F89" s="1"/>
      <c r="G89" s="1"/>
      <c r="M89" s="1">
        <v>80001028</v>
      </c>
      <c r="N89" s="1" t="s">
        <v>2381</v>
      </c>
      <c r="P89" s="3" t="s">
        <v>2445</v>
      </c>
    </row>
    <row r="90" spans="1:16" s="3" customFormat="1" ht="20.100000000000001" customHeight="1">
      <c r="A90" s="1"/>
      <c r="B90" s="1"/>
      <c r="C90" s="1"/>
      <c r="D90" s="1"/>
      <c r="E90" s="1"/>
      <c r="F90" s="1"/>
      <c r="G90" s="1"/>
      <c r="M90" s="1">
        <v>80002001</v>
      </c>
      <c r="N90" s="1" t="s">
        <v>2380</v>
      </c>
      <c r="P90" s="3" t="s">
        <v>2733</v>
      </c>
    </row>
    <row r="91" spans="1:16" s="3" customFormat="1" ht="20.100000000000001" customHeight="1">
      <c r="A91" s="1"/>
      <c r="B91" s="1"/>
      <c r="C91" s="1"/>
      <c r="D91" s="1"/>
      <c r="E91" s="1"/>
      <c r="F91" s="1"/>
      <c r="G91" s="1"/>
      <c r="M91" s="1">
        <v>80002002</v>
      </c>
      <c r="N91" s="1" t="s">
        <v>2386</v>
      </c>
      <c r="P91" s="3" t="s">
        <v>2734</v>
      </c>
    </row>
    <row r="92" spans="1:16" s="3" customFormat="1" ht="20.100000000000001" customHeight="1">
      <c r="A92" s="1"/>
      <c r="B92" s="1"/>
      <c r="C92" s="1"/>
      <c r="D92" s="1"/>
      <c r="E92" s="1"/>
      <c r="F92" s="1"/>
      <c r="G92" s="1"/>
      <c r="M92" s="1">
        <v>80002003</v>
      </c>
      <c r="N92" s="1" t="s">
        <v>2392</v>
      </c>
      <c r="P92" s="3" t="s">
        <v>2735</v>
      </c>
    </row>
    <row r="93" spans="1:16" s="3" customFormat="1" ht="20.100000000000001" customHeight="1">
      <c r="A93" s="1"/>
      <c r="B93" s="1"/>
      <c r="C93" s="1"/>
      <c r="D93" s="1"/>
      <c r="E93" s="1"/>
      <c r="F93" s="1"/>
      <c r="G93" s="1"/>
      <c r="M93" s="1">
        <v>80002004</v>
      </c>
      <c r="N93" s="1" t="s">
        <v>2396</v>
      </c>
      <c r="P93" s="3" t="s">
        <v>2736</v>
      </c>
    </row>
    <row r="94" spans="1:16" s="3" customFormat="1" ht="20.100000000000001" customHeight="1">
      <c r="A94" s="1"/>
      <c r="B94" s="1"/>
      <c r="C94" s="1"/>
      <c r="D94" s="1"/>
      <c r="E94" s="1"/>
      <c r="F94" s="1"/>
      <c r="G94" s="1"/>
      <c r="M94" s="1">
        <v>80002005</v>
      </c>
      <c r="N94" s="1" t="s">
        <v>2415</v>
      </c>
      <c r="P94" s="3" t="s">
        <v>2737</v>
      </c>
    </row>
    <row r="95" spans="1:16" s="3" customFormat="1" ht="20.100000000000001" customHeight="1">
      <c r="A95" s="1"/>
      <c r="B95" s="1"/>
      <c r="C95" s="1"/>
      <c r="D95" s="1"/>
      <c r="E95" s="1"/>
      <c r="F95" s="1"/>
      <c r="G95" s="1"/>
      <c r="M95" s="1">
        <v>80002006</v>
      </c>
      <c r="N95" s="1" t="s">
        <v>2723</v>
      </c>
      <c r="P95" s="3" t="s">
        <v>2738</v>
      </c>
    </row>
    <row r="96" spans="1:16" s="3" customFormat="1" ht="20.100000000000001" customHeight="1">
      <c r="A96" s="1"/>
      <c r="B96" s="1"/>
      <c r="C96" s="1"/>
      <c r="D96" s="1"/>
      <c r="E96" s="1"/>
      <c r="F96" s="1"/>
      <c r="G96" s="1"/>
      <c r="M96" s="1">
        <v>80002007</v>
      </c>
      <c r="N96" s="1" t="s">
        <v>2373</v>
      </c>
      <c r="P96" s="3" t="s">
        <v>2341</v>
      </c>
    </row>
    <row r="97" spans="1:16" s="3" customFormat="1" ht="20.100000000000001" customHeight="1">
      <c r="A97" s="1"/>
      <c r="B97" s="1"/>
      <c r="C97" s="1"/>
      <c r="D97" s="1"/>
      <c r="E97" s="1"/>
      <c r="F97" s="1"/>
      <c r="G97" s="1"/>
      <c r="M97" s="1">
        <v>80002008</v>
      </c>
      <c r="N97" s="1" t="s">
        <v>2406</v>
      </c>
      <c r="P97" s="3" t="s">
        <v>2739</v>
      </c>
    </row>
    <row r="98" spans="1:16" s="3" customFormat="1" ht="20.100000000000001" customHeight="1">
      <c r="A98" s="1"/>
      <c r="B98" s="1"/>
      <c r="C98" s="1"/>
      <c r="D98" s="1"/>
      <c r="E98" s="1"/>
      <c r="F98" s="1"/>
      <c r="G98" s="1"/>
      <c r="M98" s="1">
        <v>80002009</v>
      </c>
      <c r="N98" s="1" t="s">
        <v>2400</v>
      </c>
      <c r="P98" s="3" t="s">
        <v>2740</v>
      </c>
    </row>
    <row r="99" spans="1:16" s="3" customFormat="1" ht="20.100000000000001" customHeight="1">
      <c r="A99" s="1"/>
      <c r="B99" s="1"/>
      <c r="C99" s="1"/>
      <c r="D99" s="1"/>
      <c r="E99" s="1"/>
      <c r="F99" s="1"/>
      <c r="G99" s="1"/>
      <c r="M99" s="1">
        <v>80002010</v>
      </c>
      <c r="N99" s="1" t="s">
        <v>2391</v>
      </c>
      <c r="P99" s="3" t="s">
        <v>2741</v>
      </c>
    </row>
    <row r="100" spans="1:16" s="3" customFormat="1" ht="20.100000000000001" customHeight="1">
      <c r="A100" s="1"/>
      <c r="B100" s="1"/>
      <c r="C100" s="1"/>
      <c r="D100" s="1"/>
      <c r="E100" s="1"/>
      <c r="F100" s="1"/>
      <c r="G100" s="1"/>
      <c r="M100" s="1">
        <v>80002011</v>
      </c>
      <c r="N100" s="1" t="s">
        <v>2409</v>
      </c>
      <c r="P100" s="3" t="s">
        <v>2742</v>
      </c>
    </row>
    <row r="101" spans="1:16" s="3" customFormat="1" ht="20.100000000000001" customHeight="1">
      <c r="A101" s="1"/>
      <c r="B101" s="1"/>
      <c r="C101" s="1"/>
      <c r="D101" s="1"/>
      <c r="E101" s="1"/>
      <c r="F101" s="1"/>
      <c r="G101" s="1"/>
      <c r="M101" s="1">
        <v>80002012</v>
      </c>
      <c r="N101" s="1" t="s">
        <v>2422</v>
      </c>
      <c r="P101" s="3" t="s">
        <v>2350</v>
      </c>
    </row>
    <row r="102" spans="1:16" s="3" customFormat="1" ht="20.100000000000001" customHeight="1">
      <c r="A102" s="1"/>
      <c r="B102" s="1"/>
      <c r="C102" s="1"/>
      <c r="D102" s="1"/>
      <c r="E102" s="1"/>
      <c r="F102" s="1"/>
      <c r="G102" s="1"/>
      <c r="M102" s="1">
        <v>80002013</v>
      </c>
      <c r="N102" s="1" t="s">
        <v>2401</v>
      </c>
      <c r="P102" s="3" t="s">
        <v>2352</v>
      </c>
    </row>
    <row r="103" spans="1:16" s="3" customFormat="1" ht="20.100000000000001" customHeight="1">
      <c r="A103" s="1"/>
      <c r="B103" s="1"/>
      <c r="C103" s="1"/>
      <c r="D103" s="1"/>
      <c r="E103" s="1"/>
      <c r="F103" s="1"/>
      <c r="G103" s="1"/>
      <c r="M103" s="1">
        <v>80002014</v>
      </c>
      <c r="N103" s="1" t="s">
        <v>2405</v>
      </c>
      <c r="P103" s="3" t="s">
        <v>2743</v>
      </c>
    </row>
    <row r="104" spans="1:16" s="3" customFormat="1" ht="20.100000000000001" customHeight="1">
      <c r="A104" s="1"/>
      <c r="B104" s="1"/>
      <c r="C104" s="1"/>
      <c r="D104" s="1"/>
      <c r="E104" s="1"/>
      <c r="F104" s="1"/>
      <c r="G104" s="1"/>
      <c r="M104" s="1">
        <v>80002015</v>
      </c>
      <c r="N104" s="1" t="s">
        <v>2377</v>
      </c>
      <c r="P104" s="25" t="s">
        <v>2823</v>
      </c>
    </row>
    <row r="105" spans="1:16" s="3" customFormat="1" ht="20.100000000000001" customHeight="1">
      <c r="A105" s="1"/>
      <c r="B105" s="1"/>
      <c r="C105" s="1"/>
      <c r="D105" s="1"/>
      <c r="E105" s="1"/>
      <c r="F105" s="1"/>
      <c r="G105" s="1"/>
      <c r="M105" s="1">
        <v>80002016</v>
      </c>
      <c r="N105" s="1" t="s">
        <v>2397</v>
      </c>
      <c r="P105" s="3" t="s">
        <v>2744</v>
      </c>
    </row>
    <row r="106" spans="1:16" s="3" customFormat="1" ht="20.100000000000001" customHeight="1">
      <c r="A106" s="1"/>
      <c r="B106" s="1"/>
      <c r="C106" s="1"/>
      <c r="D106" s="1"/>
      <c r="E106" s="1"/>
      <c r="F106" s="1"/>
      <c r="G106" s="1"/>
      <c r="M106" s="1">
        <v>80002017</v>
      </c>
      <c r="N106" s="1" t="s">
        <v>2404</v>
      </c>
      <c r="P106" s="3" t="s">
        <v>2745</v>
      </c>
    </row>
    <row r="107" spans="1:16" s="3" customFormat="1" ht="20.100000000000001" customHeight="1">
      <c r="A107" s="1"/>
      <c r="B107" s="1"/>
      <c r="C107" s="1"/>
      <c r="D107" s="1"/>
      <c r="E107" s="1"/>
      <c r="F107" s="1"/>
      <c r="G107" s="1"/>
      <c r="M107" s="1">
        <v>80002018</v>
      </c>
      <c r="N107" s="1" t="s">
        <v>2375</v>
      </c>
      <c r="P107" s="3" t="s">
        <v>2746</v>
      </c>
    </row>
    <row r="108" spans="1:16" s="3" customFormat="1" ht="20.100000000000001" customHeight="1">
      <c r="A108" s="1"/>
      <c r="B108" s="1"/>
      <c r="C108" s="1"/>
      <c r="D108" s="1"/>
      <c r="E108" s="1"/>
      <c r="F108" s="1"/>
      <c r="G108" s="1"/>
      <c r="M108" s="1">
        <v>80002019</v>
      </c>
      <c r="N108" s="1" t="s">
        <v>2384</v>
      </c>
      <c r="P108" s="3" t="s">
        <v>2747</v>
      </c>
    </row>
    <row r="109" spans="1:16" s="3" customFormat="1" ht="20.100000000000001" customHeight="1">
      <c r="A109" s="1"/>
      <c r="B109" s="1"/>
      <c r="C109" s="1"/>
      <c r="D109" s="1"/>
      <c r="E109" s="1"/>
      <c r="F109" s="1"/>
      <c r="G109" s="1"/>
      <c r="M109" s="1">
        <v>80002020</v>
      </c>
      <c r="N109" s="1" t="s">
        <v>2423</v>
      </c>
      <c r="P109" s="3" t="s">
        <v>2748</v>
      </c>
    </row>
    <row r="110" spans="1:16" s="3" customFormat="1" ht="20.100000000000001" customHeight="1">
      <c r="A110" s="1"/>
      <c r="B110" s="1"/>
      <c r="C110" s="1"/>
      <c r="D110" s="1"/>
      <c r="E110" s="1"/>
      <c r="F110" s="1"/>
      <c r="G110" s="1"/>
      <c r="M110" s="1">
        <v>80002021</v>
      </c>
      <c r="N110" s="1" t="s">
        <v>2388</v>
      </c>
      <c r="P110" s="3" t="s">
        <v>2749</v>
      </c>
    </row>
    <row r="111" spans="1:16" s="3" customFormat="1" ht="20.100000000000001" customHeight="1">
      <c r="A111" s="1"/>
      <c r="B111" s="1"/>
      <c r="C111" s="1"/>
      <c r="D111" s="1"/>
      <c r="E111" s="1"/>
      <c r="F111" s="1"/>
      <c r="G111" s="1"/>
      <c r="M111" s="1">
        <v>80002022</v>
      </c>
      <c r="N111" s="1" t="s">
        <v>2382</v>
      </c>
      <c r="P111" s="3" t="s">
        <v>2750</v>
      </c>
    </row>
    <row r="112" spans="1:16" s="3" customFormat="1" ht="20.100000000000001" customHeight="1">
      <c r="A112" s="1"/>
      <c r="B112" s="1"/>
      <c r="C112" s="1"/>
      <c r="D112" s="1"/>
      <c r="E112" s="1"/>
      <c r="F112" s="1"/>
      <c r="G112" s="1"/>
      <c r="M112" s="1">
        <v>80002023</v>
      </c>
      <c r="N112" s="1" t="s">
        <v>2398</v>
      </c>
      <c r="P112" s="3" t="s">
        <v>2751</v>
      </c>
    </row>
    <row r="113" spans="1:16" s="3" customFormat="1" ht="20.100000000000001" customHeight="1">
      <c r="A113" s="1"/>
      <c r="B113" s="1"/>
      <c r="C113" s="1"/>
      <c r="D113" s="1"/>
      <c r="E113" s="1"/>
      <c r="F113" s="1"/>
      <c r="G113" s="1"/>
      <c r="M113" s="1">
        <v>80002024</v>
      </c>
      <c r="N113" s="1" t="s">
        <v>2408</v>
      </c>
      <c r="P113" s="3" t="s">
        <v>2752</v>
      </c>
    </row>
    <row r="114" spans="1:16" s="3" customFormat="1" ht="20.100000000000001" customHeight="1">
      <c r="A114" s="1"/>
      <c r="B114" s="1"/>
      <c r="C114" s="1"/>
      <c r="D114" s="1"/>
      <c r="E114" s="1"/>
      <c r="F114" s="1"/>
      <c r="G114" s="1"/>
      <c r="M114" s="1">
        <v>80002025</v>
      </c>
      <c r="N114" s="1" t="s">
        <v>2390</v>
      </c>
      <c r="P114" s="3" t="s">
        <v>2753</v>
      </c>
    </row>
    <row r="115" spans="1:16" s="3" customFormat="1" ht="20.100000000000001" customHeight="1">
      <c r="A115" s="1"/>
      <c r="B115" s="1"/>
      <c r="C115" s="1"/>
      <c r="D115" s="1"/>
      <c r="E115" s="1"/>
      <c r="F115" s="1"/>
      <c r="G115" s="1"/>
      <c r="M115" s="1">
        <v>80002026</v>
      </c>
      <c r="N115" s="1" t="s">
        <v>2425</v>
      </c>
      <c r="P115" s="3" t="s">
        <v>2754</v>
      </c>
    </row>
    <row r="116" spans="1:16" s="3" customFormat="1" ht="20.100000000000001" customHeight="1">
      <c r="A116" s="1"/>
      <c r="B116" s="1"/>
      <c r="C116" s="1"/>
      <c r="D116" s="1"/>
      <c r="E116" s="1"/>
      <c r="F116" s="1"/>
      <c r="G116" s="1"/>
      <c r="M116" s="1">
        <v>80002027</v>
      </c>
      <c r="N116" s="1" t="s">
        <v>2394</v>
      </c>
      <c r="P116" s="3" t="s">
        <v>2755</v>
      </c>
    </row>
    <row r="117" spans="1:16" s="3" customFormat="1" ht="20.100000000000001" customHeight="1">
      <c r="A117" s="1"/>
      <c r="B117" s="1"/>
      <c r="C117" s="1"/>
      <c r="D117" s="1"/>
      <c r="E117" s="1"/>
      <c r="F117" s="1"/>
      <c r="G117" s="1"/>
      <c r="M117" s="1">
        <v>80002028</v>
      </c>
      <c r="N117" s="1" t="s">
        <v>2410</v>
      </c>
      <c r="P117" s="3" t="s">
        <v>2756</v>
      </c>
    </row>
    <row r="118" spans="1:16" s="3" customFormat="1" ht="20.100000000000001" customHeight="1">
      <c r="A118" s="1"/>
      <c r="B118" s="1"/>
      <c r="C118" s="1"/>
      <c r="D118" s="1"/>
      <c r="E118" s="1"/>
      <c r="F118" s="1"/>
      <c r="G118" s="1"/>
      <c r="M118" s="1"/>
    </row>
    <row r="119" spans="1:16" s="3" customFormat="1" ht="20.100000000000001" customHeight="1">
      <c r="A119" s="1"/>
      <c r="B119" s="1"/>
      <c r="C119" s="1"/>
      <c r="D119" s="1"/>
      <c r="E119" s="1"/>
      <c r="F119" s="1"/>
      <c r="G119" s="1"/>
      <c r="M119" s="1"/>
    </row>
    <row r="120" spans="1:16" s="3" customFormat="1" ht="20.100000000000001" customHeight="1">
      <c r="A120" s="1"/>
      <c r="B120" s="1"/>
      <c r="C120" s="1"/>
      <c r="D120" s="1"/>
      <c r="E120" s="1"/>
      <c r="F120" s="1"/>
      <c r="G120" s="1"/>
    </row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V200"/>
  <sheetViews>
    <sheetView workbookViewId="0">
      <selection activeCell="G1" sqref="A1:G1048576"/>
    </sheetView>
  </sheetViews>
  <sheetFormatPr defaultColWidth="9" defaultRowHeight="14.25"/>
  <cols>
    <col min="1" max="7" width="9" style="13"/>
    <col min="35" max="35" width="11.75" bestFit="1" customWidth="1"/>
    <col min="39" max="39" width="15" bestFit="1" customWidth="1"/>
  </cols>
  <sheetData>
    <row r="1" spans="1:40" s="5" customFormat="1" ht="20.100000000000001" customHeight="1">
      <c r="A1" s="1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  <c r="L1" s="4" t="s">
        <v>2451</v>
      </c>
      <c r="M1" s="4" t="s">
        <v>897</v>
      </c>
      <c r="N1" s="4" t="s">
        <v>2</v>
      </c>
      <c r="O1" s="4" t="s">
        <v>3</v>
      </c>
      <c r="P1" s="4" t="s">
        <v>28</v>
      </c>
      <c r="Q1" s="4" t="s">
        <v>29</v>
      </c>
      <c r="S1" s="4" t="s">
        <v>2452</v>
      </c>
      <c r="T1" s="4" t="s">
        <v>25</v>
      </c>
      <c r="U1" s="4" t="s">
        <v>26</v>
      </c>
      <c r="V1" s="4" t="s">
        <v>2453</v>
      </c>
    </row>
    <row r="2" spans="1:40" s="5" customFormat="1" ht="20.100000000000001" customHeight="1">
      <c r="A2" s="1">
        <v>1</v>
      </c>
      <c r="B2" s="1">
        <v>3</v>
      </c>
      <c r="C2" s="1">
        <v>3</v>
      </c>
      <c r="D2" s="1">
        <f>$B2*总表!D$4</f>
        <v>3150</v>
      </c>
      <c r="E2" s="1">
        <f>$C2*总表!E$4</f>
        <v>300</v>
      </c>
      <c r="F2" s="1">
        <f>$C2*总表!F$4</f>
        <v>90</v>
      </c>
      <c r="G2" s="1">
        <f>$C2*总表!G$4</f>
        <v>90</v>
      </c>
      <c r="L2" s="1">
        <v>1</v>
      </c>
      <c r="M2" s="1">
        <v>2</v>
      </c>
      <c r="N2" s="1">
        <f>LOOKUP($M2,$A:$A,D:D)</f>
        <v>4200</v>
      </c>
      <c r="O2" s="1">
        <f t="shared" ref="O2:Q2" si="0">LOOKUP($M2,$A:$A,E:E)</f>
        <v>400</v>
      </c>
      <c r="P2" s="1">
        <f t="shared" si="0"/>
        <v>120</v>
      </c>
      <c r="Q2" s="1">
        <f t="shared" si="0"/>
        <v>120</v>
      </c>
      <c r="S2" s="1">
        <v>1</v>
      </c>
      <c r="T2" s="1">
        <v>3</v>
      </c>
      <c r="U2" s="1">
        <v>1</v>
      </c>
      <c r="V2" s="1">
        <v>1</v>
      </c>
      <c r="X2" s="1">
        <f>ROUND(LOOKUP($T2,$A:$A,D:D)*U2,0)</f>
        <v>5250</v>
      </c>
      <c r="Y2" s="1">
        <f>ROUND(LOOKUP($T2,$A:$A,E:E)*V2,0)</f>
        <v>500</v>
      </c>
      <c r="Z2" s="1">
        <f>ROUND(LOOKUP($T2,$A:$A,F:F),0)</f>
        <v>150</v>
      </c>
      <c r="AA2" s="1">
        <f>ROUND(LOOKUP($T2,$A:$A,G:G),0)</f>
        <v>150</v>
      </c>
      <c r="AC2" s="1"/>
      <c r="AE2" s="1">
        <f>880/5</f>
        <v>176</v>
      </c>
      <c r="AF2" s="1" t="s">
        <v>2891</v>
      </c>
    </row>
    <row r="3" spans="1:40" s="5" customFormat="1" ht="20.100000000000001" customHeight="1">
      <c r="A3" s="1">
        <v>2</v>
      </c>
      <c r="B3" s="1">
        <f>B2+1</f>
        <v>4</v>
      </c>
      <c r="C3" s="1">
        <f>C2+1</f>
        <v>4</v>
      </c>
      <c r="D3" s="1">
        <f>$B3*总表!D$4</f>
        <v>4200</v>
      </c>
      <c r="E3" s="1">
        <f>$C3*总表!E$4</f>
        <v>400</v>
      </c>
      <c r="F3" s="1">
        <f>$C3*总表!F$4</f>
        <v>120</v>
      </c>
      <c r="G3" s="1">
        <f>$C3*总表!G$4</f>
        <v>120</v>
      </c>
      <c r="L3" s="1">
        <v>2</v>
      </c>
      <c r="M3" s="1">
        <v>4</v>
      </c>
      <c r="N3" s="1">
        <f t="shared" ref="N3:N31" si="1">LOOKUP($M3,$A:$A,D:D)</f>
        <v>6300</v>
      </c>
      <c r="O3" s="1">
        <f t="shared" ref="O3:O31" si="2">LOOKUP($M3,$A:$A,E:E)</f>
        <v>600</v>
      </c>
      <c r="P3" s="1">
        <f t="shared" ref="P3:P31" si="3">LOOKUP($M3,$A:$A,F:F)</f>
        <v>180</v>
      </c>
      <c r="Q3" s="1">
        <f t="shared" ref="Q3:Q31" si="4">LOOKUP($M3,$A:$A,G:G)</f>
        <v>180</v>
      </c>
      <c r="S3" s="1">
        <v>1</v>
      </c>
      <c r="T3" s="1">
        <v>5</v>
      </c>
      <c r="U3" s="1">
        <v>1</v>
      </c>
      <c r="V3" s="1">
        <v>1</v>
      </c>
      <c r="X3" s="1">
        <f t="shared" ref="X3:X66" si="5">ROUND(LOOKUP($T3,$A:$A,D:D)*U3,0)</f>
        <v>7350</v>
      </c>
      <c r="Y3" s="1">
        <f t="shared" ref="Y3:Y66" si="6">ROUND(LOOKUP($T3,$A:$A,E:E)*V3,0)</f>
        <v>700</v>
      </c>
      <c r="Z3" s="1">
        <f t="shared" ref="Z3:Z66" si="7">ROUND(LOOKUP($T3,$A:$A,F:F),0)</f>
        <v>210</v>
      </c>
      <c r="AA3" s="1">
        <f t="shared" ref="AA3:AA66" si="8">ROUND(LOOKUP($T3,$A:$A,G:G),0)</f>
        <v>210</v>
      </c>
      <c r="AC3" s="1"/>
      <c r="AD3" s="1">
        <v>50</v>
      </c>
      <c r="AE3" s="1">
        <f>AD3*$AE$2</f>
        <v>8800</v>
      </c>
      <c r="AF3" s="1">
        <f>AE3/100</f>
        <v>88</v>
      </c>
    </row>
    <row r="4" spans="1:40" s="5" customFormat="1" ht="20.100000000000001" customHeight="1">
      <c r="A4" s="1">
        <v>3</v>
      </c>
      <c r="B4" s="1">
        <f t="shared" ref="B4:C65" si="9">B3+1</f>
        <v>5</v>
      </c>
      <c r="C4" s="1">
        <f t="shared" si="9"/>
        <v>5</v>
      </c>
      <c r="D4" s="1">
        <f>$B4*总表!D$4</f>
        <v>5250</v>
      </c>
      <c r="E4" s="1">
        <f>$C4*总表!E$4</f>
        <v>500</v>
      </c>
      <c r="F4" s="1">
        <f>$C4*总表!F$4</f>
        <v>150</v>
      </c>
      <c r="G4" s="1">
        <f>$C4*总表!G$4</f>
        <v>150</v>
      </c>
      <c r="L4" s="1">
        <v>3</v>
      </c>
      <c r="M4" s="1">
        <v>6</v>
      </c>
      <c r="N4" s="1">
        <f t="shared" si="1"/>
        <v>8400</v>
      </c>
      <c r="O4" s="1">
        <f t="shared" si="2"/>
        <v>800</v>
      </c>
      <c r="P4" s="1">
        <f t="shared" si="3"/>
        <v>240</v>
      </c>
      <c r="Q4" s="1">
        <f t="shared" si="4"/>
        <v>240</v>
      </c>
      <c r="S4" s="1">
        <v>1</v>
      </c>
      <c r="T4" s="1">
        <v>5</v>
      </c>
      <c r="U4" s="1">
        <v>1</v>
      </c>
      <c r="V4" s="1">
        <v>1</v>
      </c>
      <c r="X4" s="1">
        <f t="shared" si="5"/>
        <v>7350</v>
      </c>
      <c r="Y4" s="1">
        <f t="shared" si="6"/>
        <v>700</v>
      </c>
      <c r="Z4" s="1">
        <f t="shared" si="7"/>
        <v>210</v>
      </c>
      <c r="AA4" s="1">
        <f t="shared" si="8"/>
        <v>210</v>
      </c>
      <c r="AC4" s="1"/>
      <c r="AD4" s="1">
        <v>100</v>
      </c>
      <c r="AE4" s="1">
        <f t="shared" ref="AE4:AE10" si="10">AD4*$AE$2</f>
        <v>17600</v>
      </c>
      <c r="AF4" s="1">
        <f t="shared" ref="AF4:AF10" si="11">AE4/100</f>
        <v>176</v>
      </c>
    </row>
    <row r="5" spans="1:40" s="5" customFormat="1" ht="20.100000000000001" customHeight="1">
      <c r="A5" s="1">
        <v>4</v>
      </c>
      <c r="B5" s="1">
        <f t="shared" si="9"/>
        <v>6</v>
      </c>
      <c r="C5" s="1">
        <f t="shared" si="9"/>
        <v>6</v>
      </c>
      <c r="D5" s="1">
        <f>$B5*总表!D$4</f>
        <v>6300</v>
      </c>
      <c r="E5" s="1">
        <f>$C5*总表!E$4</f>
        <v>600</v>
      </c>
      <c r="F5" s="1">
        <f>$C5*总表!F$4</f>
        <v>180</v>
      </c>
      <c r="G5" s="1">
        <f>$C5*总表!G$4</f>
        <v>180</v>
      </c>
      <c r="L5" s="1">
        <v>4</v>
      </c>
      <c r="M5" s="1">
        <v>8</v>
      </c>
      <c r="N5" s="1">
        <f t="shared" si="1"/>
        <v>10500</v>
      </c>
      <c r="O5" s="1">
        <f t="shared" si="2"/>
        <v>1000</v>
      </c>
      <c r="P5" s="1">
        <f t="shared" si="3"/>
        <v>300</v>
      </c>
      <c r="Q5" s="1">
        <f t="shared" si="4"/>
        <v>300</v>
      </c>
      <c r="S5" s="1">
        <v>1</v>
      </c>
      <c r="T5" s="1">
        <v>5</v>
      </c>
      <c r="U5" s="1">
        <v>1</v>
      </c>
      <c r="V5" s="1">
        <v>1</v>
      </c>
      <c r="X5" s="1">
        <f t="shared" si="5"/>
        <v>7350</v>
      </c>
      <c r="Y5" s="1">
        <f t="shared" si="6"/>
        <v>700</v>
      </c>
      <c r="Z5" s="1">
        <f t="shared" si="7"/>
        <v>210</v>
      </c>
      <c r="AA5" s="1">
        <f t="shared" si="8"/>
        <v>210</v>
      </c>
      <c r="AC5" s="1"/>
      <c r="AD5" s="1">
        <v>200</v>
      </c>
      <c r="AE5" s="1">
        <f t="shared" si="10"/>
        <v>35200</v>
      </c>
      <c r="AF5" s="1">
        <f t="shared" si="11"/>
        <v>352</v>
      </c>
    </row>
    <row r="6" spans="1:40" s="5" customFormat="1" ht="20.100000000000001" customHeight="1">
      <c r="A6" s="1">
        <v>5</v>
      </c>
      <c r="B6" s="1">
        <f t="shared" si="9"/>
        <v>7</v>
      </c>
      <c r="C6" s="1">
        <f t="shared" si="9"/>
        <v>7</v>
      </c>
      <c r="D6" s="1">
        <f>$B6*总表!D$4</f>
        <v>7350</v>
      </c>
      <c r="E6" s="1">
        <f>$C6*总表!E$4</f>
        <v>700</v>
      </c>
      <c r="F6" s="1">
        <f>$C6*总表!F$4</f>
        <v>210</v>
      </c>
      <c r="G6" s="1">
        <f>$C6*总表!G$4</f>
        <v>210</v>
      </c>
      <c r="L6" s="1">
        <v>5</v>
      </c>
      <c r="M6" s="1">
        <v>10</v>
      </c>
      <c r="N6" s="1">
        <f t="shared" si="1"/>
        <v>12600</v>
      </c>
      <c r="O6" s="1">
        <f t="shared" si="2"/>
        <v>1200</v>
      </c>
      <c r="P6" s="1">
        <f t="shared" si="3"/>
        <v>360</v>
      </c>
      <c r="Q6" s="1">
        <f t="shared" si="4"/>
        <v>360</v>
      </c>
      <c r="S6" s="1">
        <v>3</v>
      </c>
      <c r="T6" s="1">
        <v>5</v>
      </c>
      <c r="U6" s="1">
        <v>2.5</v>
      </c>
      <c r="V6" s="1">
        <v>1.3</v>
      </c>
      <c r="X6" s="1">
        <f t="shared" si="5"/>
        <v>18375</v>
      </c>
      <c r="Y6" s="1">
        <f t="shared" si="6"/>
        <v>910</v>
      </c>
      <c r="Z6" s="1">
        <f t="shared" si="7"/>
        <v>210</v>
      </c>
      <c r="AA6" s="1">
        <f t="shared" si="8"/>
        <v>210</v>
      </c>
      <c r="AC6" s="1"/>
      <c r="AD6" s="1">
        <v>500</v>
      </c>
      <c r="AE6" s="1">
        <f t="shared" si="10"/>
        <v>88000</v>
      </c>
      <c r="AF6" s="1">
        <f t="shared" si="11"/>
        <v>880</v>
      </c>
    </row>
    <row r="7" spans="1:40" s="5" customFormat="1" ht="20.100000000000001" customHeight="1">
      <c r="A7" s="1">
        <v>6</v>
      </c>
      <c r="B7" s="1">
        <f t="shared" si="9"/>
        <v>8</v>
      </c>
      <c r="C7" s="1">
        <f t="shared" si="9"/>
        <v>8</v>
      </c>
      <c r="D7" s="1">
        <f>$B7*总表!D$4</f>
        <v>8400</v>
      </c>
      <c r="E7" s="1">
        <f>$C7*总表!E$4</f>
        <v>800</v>
      </c>
      <c r="F7" s="1">
        <f>$C7*总表!F$4</f>
        <v>240</v>
      </c>
      <c r="G7" s="1">
        <f>$C7*总表!G$4</f>
        <v>240</v>
      </c>
      <c r="L7" s="1">
        <v>6</v>
      </c>
      <c r="M7" s="1">
        <v>12</v>
      </c>
      <c r="N7" s="1">
        <f t="shared" si="1"/>
        <v>14700</v>
      </c>
      <c r="O7" s="1">
        <f t="shared" si="2"/>
        <v>1400</v>
      </c>
      <c r="P7" s="1">
        <f t="shared" si="3"/>
        <v>420</v>
      </c>
      <c r="Q7" s="1">
        <f t="shared" si="4"/>
        <v>420</v>
      </c>
      <c r="S7" s="1">
        <v>1</v>
      </c>
      <c r="T7" s="1">
        <v>8</v>
      </c>
      <c r="U7" s="1">
        <v>1</v>
      </c>
      <c r="V7" s="1">
        <v>1</v>
      </c>
      <c r="X7" s="1">
        <f t="shared" si="5"/>
        <v>10500</v>
      </c>
      <c r="Y7" s="1">
        <f t="shared" si="6"/>
        <v>1000</v>
      </c>
      <c r="Z7" s="1">
        <f t="shared" si="7"/>
        <v>300</v>
      </c>
      <c r="AA7" s="1">
        <f t="shared" si="8"/>
        <v>300</v>
      </c>
      <c r="AC7" s="1"/>
      <c r="AD7" s="1">
        <v>1000</v>
      </c>
      <c r="AE7" s="1">
        <f t="shared" si="10"/>
        <v>176000</v>
      </c>
      <c r="AF7" s="1">
        <f t="shared" si="11"/>
        <v>1760</v>
      </c>
      <c r="AH7" s="114">
        <v>11300008</v>
      </c>
      <c r="AI7" s="115" t="s">
        <v>2892</v>
      </c>
    </row>
    <row r="8" spans="1:40" s="5" customFormat="1" ht="20.100000000000001" customHeight="1">
      <c r="A8" s="1">
        <v>7</v>
      </c>
      <c r="B8" s="1">
        <f t="shared" si="9"/>
        <v>9</v>
      </c>
      <c r="C8" s="1">
        <f t="shared" si="9"/>
        <v>9</v>
      </c>
      <c r="D8" s="1">
        <f>$B8*总表!D$4</f>
        <v>9450</v>
      </c>
      <c r="E8" s="1">
        <f>$C8*总表!E$4</f>
        <v>900</v>
      </c>
      <c r="F8" s="1">
        <f>$C8*总表!F$4</f>
        <v>270</v>
      </c>
      <c r="G8" s="1">
        <f>$C8*总表!G$4</f>
        <v>270</v>
      </c>
      <c r="L8" s="1">
        <v>7</v>
      </c>
      <c r="M8" s="1">
        <v>14</v>
      </c>
      <c r="N8" s="1">
        <f t="shared" si="1"/>
        <v>16800</v>
      </c>
      <c r="O8" s="1">
        <f t="shared" si="2"/>
        <v>1600</v>
      </c>
      <c r="P8" s="1">
        <f t="shared" si="3"/>
        <v>480</v>
      </c>
      <c r="Q8" s="1">
        <f t="shared" si="4"/>
        <v>480</v>
      </c>
      <c r="S8" s="1">
        <v>1</v>
      </c>
      <c r="T8" s="1">
        <v>8</v>
      </c>
      <c r="U8" s="1">
        <v>1</v>
      </c>
      <c r="V8" s="1">
        <v>1</v>
      </c>
      <c r="X8" s="1">
        <f t="shared" si="5"/>
        <v>10500</v>
      </c>
      <c r="Y8" s="1">
        <f t="shared" si="6"/>
        <v>1000</v>
      </c>
      <c r="Z8" s="1">
        <f t="shared" si="7"/>
        <v>300</v>
      </c>
      <c r="AA8" s="1">
        <f t="shared" si="8"/>
        <v>300</v>
      </c>
      <c r="AC8" s="1"/>
      <c r="AD8" s="1">
        <v>2000</v>
      </c>
      <c r="AE8" s="1">
        <f t="shared" si="10"/>
        <v>352000</v>
      </c>
      <c r="AF8" s="1">
        <f t="shared" si="11"/>
        <v>3520</v>
      </c>
      <c r="AH8" s="114">
        <v>11300008</v>
      </c>
      <c r="AI8" s="115" t="s">
        <v>2892</v>
      </c>
    </row>
    <row r="9" spans="1:40" s="5" customFormat="1" ht="20.100000000000001" customHeight="1">
      <c r="A9" s="1">
        <v>8</v>
      </c>
      <c r="B9" s="1">
        <f t="shared" si="9"/>
        <v>10</v>
      </c>
      <c r="C9" s="1">
        <f t="shared" si="9"/>
        <v>10</v>
      </c>
      <c r="D9" s="1">
        <f>$B9*总表!D$4</f>
        <v>10500</v>
      </c>
      <c r="E9" s="1">
        <f>$C9*总表!E$4</f>
        <v>1000</v>
      </c>
      <c r="F9" s="1">
        <f>$C9*总表!F$4</f>
        <v>300</v>
      </c>
      <c r="G9" s="1">
        <f>$C9*总表!G$4</f>
        <v>300</v>
      </c>
      <c r="L9" s="1">
        <v>8</v>
      </c>
      <c r="M9" s="1">
        <v>16</v>
      </c>
      <c r="N9" s="1">
        <f t="shared" si="1"/>
        <v>18900</v>
      </c>
      <c r="O9" s="1">
        <f t="shared" si="2"/>
        <v>1800</v>
      </c>
      <c r="P9" s="1">
        <f t="shared" si="3"/>
        <v>540</v>
      </c>
      <c r="Q9" s="1">
        <f t="shared" si="4"/>
        <v>540</v>
      </c>
      <c r="S9" s="1">
        <v>3</v>
      </c>
      <c r="T9" s="1">
        <v>8</v>
      </c>
      <c r="U9" s="1">
        <v>2.5</v>
      </c>
      <c r="V9" s="1">
        <v>1.3</v>
      </c>
      <c r="X9" s="1">
        <f t="shared" si="5"/>
        <v>26250</v>
      </c>
      <c r="Y9" s="1">
        <f t="shared" si="6"/>
        <v>1300</v>
      </c>
      <c r="Z9" s="1">
        <f t="shared" si="7"/>
        <v>300</v>
      </c>
      <c r="AA9" s="1">
        <f t="shared" si="8"/>
        <v>300</v>
      </c>
      <c r="AC9" s="1"/>
      <c r="AD9" s="1">
        <v>3000</v>
      </c>
      <c r="AE9" s="1">
        <f t="shared" si="10"/>
        <v>528000</v>
      </c>
      <c r="AF9" s="1">
        <f t="shared" si="11"/>
        <v>5280</v>
      </c>
      <c r="AH9" s="114">
        <v>11300008</v>
      </c>
      <c r="AI9" s="115" t="s">
        <v>2892</v>
      </c>
    </row>
    <row r="10" spans="1:40" s="5" customFormat="1" ht="20.100000000000001" customHeight="1">
      <c r="A10" s="1">
        <v>9</v>
      </c>
      <c r="B10" s="1">
        <f t="shared" si="9"/>
        <v>11</v>
      </c>
      <c r="C10" s="1">
        <f t="shared" si="9"/>
        <v>11</v>
      </c>
      <c r="D10" s="1">
        <f>$B10*总表!D$4</f>
        <v>11550</v>
      </c>
      <c r="E10" s="1">
        <f>$C10*总表!E$4</f>
        <v>1100</v>
      </c>
      <c r="F10" s="1">
        <f>$C10*总表!F$4</f>
        <v>330</v>
      </c>
      <c r="G10" s="1">
        <f>$C10*总表!G$4</f>
        <v>330</v>
      </c>
      <c r="L10" s="1">
        <v>9</v>
      </c>
      <c r="M10" s="1">
        <v>18</v>
      </c>
      <c r="N10" s="1">
        <f t="shared" si="1"/>
        <v>21000</v>
      </c>
      <c r="O10" s="1">
        <f t="shared" si="2"/>
        <v>2000</v>
      </c>
      <c r="P10" s="1">
        <f t="shared" si="3"/>
        <v>600</v>
      </c>
      <c r="Q10" s="1">
        <f t="shared" si="4"/>
        <v>600</v>
      </c>
      <c r="S10" s="1">
        <v>1</v>
      </c>
      <c r="T10" s="1">
        <v>10</v>
      </c>
      <c r="U10" s="1">
        <v>1</v>
      </c>
      <c r="V10" s="1">
        <v>1</v>
      </c>
      <c r="X10" s="1">
        <f t="shared" si="5"/>
        <v>12600</v>
      </c>
      <c r="Y10" s="1">
        <f t="shared" si="6"/>
        <v>1200</v>
      </c>
      <c r="Z10" s="1">
        <f t="shared" si="7"/>
        <v>360</v>
      </c>
      <c r="AA10" s="1">
        <f t="shared" si="8"/>
        <v>360</v>
      </c>
      <c r="AC10" s="1"/>
      <c r="AD10" s="1">
        <v>5000</v>
      </c>
      <c r="AE10" s="1">
        <f t="shared" si="10"/>
        <v>880000</v>
      </c>
      <c r="AF10" s="1">
        <f t="shared" si="11"/>
        <v>8800</v>
      </c>
      <c r="AH10" s="114">
        <v>11300008</v>
      </c>
      <c r="AI10" s="115" t="s">
        <v>2892</v>
      </c>
    </row>
    <row r="11" spans="1:40" s="5" customFormat="1" ht="20.100000000000001" customHeight="1">
      <c r="A11" s="1">
        <v>10</v>
      </c>
      <c r="B11" s="1">
        <f t="shared" si="9"/>
        <v>12</v>
      </c>
      <c r="C11" s="1">
        <f t="shared" si="9"/>
        <v>12</v>
      </c>
      <c r="D11" s="1">
        <f>$B11*总表!D$4</f>
        <v>12600</v>
      </c>
      <c r="E11" s="1">
        <f>$C11*总表!E$4</f>
        <v>1200</v>
      </c>
      <c r="F11" s="1">
        <f>$C11*总表!F$4</f>
        <v>360</v>
      </c>
      <c r="G11" s="1">
        <f>$C11*总表!G$4</f>
        <v>360</v>
      </c>
      <c r="L11" s="1">
        <v>10</v>
      </c>
      <c r="M11" s="1">
        <v>20</v>
      </c>
      <c r="N11" s="1">
        <f t="shared" si="1"/>
        <v>23100</v>
      </c>
      <c r="O11" s="1">
        <f t="shared" si="2"/>
        <v>2200</v>
      </c>
      <c r="P11" s="1">
        <f t="shared" si="3"/>
        <v>660</v>
      </c>
      <c r="Q11" s="1">
        <f t="shared" si="4"/>
        <v>660</v>
      </c>
      <c r="S11" s="1">
        <v>1</v>
      </c>
      <c r="T11" s="1">
        <v>10</v>
      </c>
      <c r="U11" s="1">
        <v>1</v>
      </c>
      <c r="V11" s="1">
        <v>1</v>
      </c>
      <c r="X11" s="1">
        <f t="shared" si="5"/>
        <v>12600</v>
      </c>
      <c r="Y11" s="1">
        <f t="shared" si="6"/>
        <v>1200</v>
      </c>
      <c r="Z11" s="1">
        <f t="shared" si="7"/>
        <v>360</v>
      </c>
      <c r="AA11" s="1">
        <f t="shared" si="8"/>
        <v>360</v>
      </c>
      <c r="AC11" s="1"/>
      <c r="AD11" s="1"/>
      <c r="AE11" s="1"/>
      <c r="AF11" s="1"/>
      <c r="AL11" s="51">
        <v>10000142</v>
      </c>
      <c r="AM11" s="52" t="s">
        <v>2835</v>
      </c>
      <c r="AN11" s="5">
        <v>1</v>
      </c>
    </row>
    <row r="12" spans="1:40" s="5" customFormat="1" ht="20.100000000000001" customHeight="1">
      <c r="A12" s="1">
        <v>11</v>
      </c>
      <c r="B12" s="1">
        <f t="shared" si="9"/>
        <v>13</v>
      </c>
      <c r="C12" s="1">
        <f t="shared" si="9"/>
        <v>13</v>
      </c>
      <c r="D12" s="1">
        <f>$B12*总表!D$4</f>
        <v>13650</v>
      </c>
      <c r="E12" s="1">
        <f>$C12*总表!E$4</f>
        <v>1300</v>
      </c>
      <c r="F12" s="1">
        <f>$C12*总表!F$4</f>
        <v>390</v>
      </c>
      <c r="G12" s="1">
        <f>$C12*总表!G$4</f>
        <v>390</v>
      </c>
      <c r="L12" s="1">
        <v>11</v>
      </c>
      <c r="M12" s="1">
        <v>22</v>
      </c>
      <c r="N12" s="1">
        <f t="shared" si="1"/>
        <v>25200</v>
      </c>
      <c r="O12" s="1">
        <f t="shared" si="2"/>
        <v>2400</v>
      </c>
      <c r="P12" s="1">
        <f t="shared" si="3"/>
        <v>720</v>
      </c>
      <c r="Q12" s="1">
        <f t="shared" si="4"/>
        <v>720</v>
      </c>
      <c r="S12" s="1">
        <v>3</v>
      </c>
      <c r="T12" s="1">
        <v>10</v>
      </c>
      <c r="U12" s="1">
        <v>2.5</v>
      </c>
      <c r="V12" s="1">
        <v>1.3</v>
      </c>
      <c r="X12" s="1">
        <f t="shared" si="5"/>
        <v>31500</v>
      </c>
      <c r="Y12" s="1">
        <f t="shared" si="6"/>
        <v>1560</v>
      </c>
      <c r="Z12" s="1">
        <f t="shared" si="7"/>
        <v>360</v>
      </c>
      <c r="AA12" s="1">
        <f t="shared" si="8"/>
        <v>360</v>
      </c>
      <c r="AC12" s="1"/>
      <c r="AD12" s="1"/>
      <c r="AE12" s="1"/>
      <c r="AF12" s="1"/>
      <c r="AG12" s="1"/>
      <c r="AH12" s="1"/>
      <c r="AI12" s="1"/>
      <c r="AJ12" s="1"/>
      <c r="AK12" s="1"/>
    </row>
    <row r="13" spans="1:40" s="5" customFormat="1" ht="20.100000000000001" customHeight="1">
      <c r="A13" s="1">
        <v>12</v>
      </c>
      <c r="B13" s="1">
        <f t="shared" si="9"/>
        <v>14</v>
      </c>
      <c r="C13" s="1">
        <f t="shared" si="9"/>
        <v>14</v>
      </c>
      <c r="D13" s="1">
        <f>$B13*总表!D$4</f>
        <v>14700</v>
      </c>
      <c r="E13" s="1">
        <f>$C13*总表!E$4</f>
        <v>1400</v>
      </c>
      <c r="F13" s="1">
        <f>$C13*总表!F$4</f>
        <v>420</v>
      </c>
      <c r="G13" s="1">
        <f>$C13*总表!G$4</f>
        <v>420</v>
      </c>
      <c r="L13" s="1">
        <v>12</v>
      </c>
      <c r="M13" s="1">
        <v>24</v>
      </c>
      <c r="N13" s="1">
        <f t="shared" si="1"/>
        <v>27300</v>
      </c>
      <c r="O13" s="1">
        <f t="shared" si="2"/>
        <v>2600</v>
      </c>
      <c r="P13" s="1">
        <f t="shared" si="3"/>
        <v>780</v>
      </c>
      <c r="Q13" s="1">
        <f t="shared" si="4"/>
        <v>780</v>
      </c>
      <c r="S13" s="1">
        <v>1</v>
      </c>
      <c r="T13" s="1">
        <v>12</v>
      </c>
      <c r="U13" s="1">
        <v>1</v>
      </c>
      <c r="V13" s="1">
        <v>1</v>
      </c>
      <c r="X13" s="1">
        <f t="shared" si="5"/>
        <v>14700</v>
      </c>
      <c r="Y13" s="1">
        <f t="shared" si="6"/>
        <v>1400</v>
      </c>
      <c r="Z13" s="1">
        <f t="shared" si="7"/>
        <v>420</v>
      </c>
      <c r="AA13" s="1">
        <f t="shared" si="8"/>
        <v>420</v>
      </c>
      <c r="AC13" s="1"/>
      <c r="AD13" s="1"/>
      <c r="AE13" s="1"/>
      <c r="AF13" s="1"/>
      <c r="AG13" s="1"/>
      <c r="AH13" s="1"/>
      <c r="AI13" s="1"/>
      <c r="AJ13" s="1"/>
      <c r="AK13" s="1"/>
    </row>
    <row r="14" spans="1:40" s="5" customFormat="1" ht="20.100000000000001" customHeight="1">
      <c r="A14" s="1">
        <v>13</v>
      </c>
      <c r="B14" s="1">
        <f t="shared" si="9"/>
        <v>15</v>
      </c>
      <c r="C14" s="1">
        <f t="shared" si="9"/>
        <v>15</v>
      </c>
      <c r="D14" s="1">
        <f>$B14*总表!D$4</f>
        <v>15750</v>
      </c>
      <c r="E14" s="1">
        <f>$C14*总表!E$4</f>
        <v>1500</v>
      </c>
      <c r="F14" s="1">
        <f>$C14*总表!F$4</f>
        <v>450</v>
      </c>
      <c r="G14" s="1">
        <f>$C14*总表!G$4</f>
        <v>450</v>
      </c>
      <c r="L14" s="1">
        <v>13</v>
      </c>
      <c r="M14" s="1">
        <v>26</v>
      </c>
      <c r="N14" s="1">
        <f t="shared" si="1"/>
        <v>29400</v>
      </c>
      <c r="O14" s="1">
        <f t="shared" si="2"/>
        <v>2800</v>
      </c>
      <c r="P14" s="1">
        <f t="shared" si="3"/>
        <v>840</v>
      </c>
      <c r="Q14" s="1">
        <f t="shared" si="4"/>
        <v>840</v>
      </c>
      <c r="S14" s="1">
        <v>1</v>
      </c>
      <c r="T14" s="1">
        <v>12</v>
      </c>
      <c r="U14" s="1">
        <v>1</v>
      </c>
      <c r="V14" s="1">
        <v>1</v>
      </c>
      <c r="X14" s="1">
        <f t="shared" si="5"/>
        <v>14700</v>
      </c>
      <c r="Y14" s="1">
        <f t="shared" si="6"/>
        <v>1400</v>
      </c>
      <c r="Z14" s="1">
        <f t="shared" si="7"/>
        <v>420</v>
      </c>
      <c r="AA14" s="1">
        <f t="shared" si="8"/>
        <v>420</v>
      </c>
      <c r="AC14" s="1"/>
      <c r="AD14" s="1"/>
      <c r="AE14" s="1"/>
      <c r="AF14" s="1" t="s">
        <v>2893</v>
      </c>
      <c r="AG14" s="1"/>
      <c r="AH14" s="1"/>
      <c r="AI14" s="1"/>
      <c r="AJ14" s="1"/>
      <c r="AK14" s="1"/>
    </row>
    <row r="15" spans="1:40" s="5" customFormat="1" ht="20.100000000000001" customHeight="1">
      <c r="A15" s="1">
        <v>14</v>
      </c>
      <c r="B15" s="1">
        <f t="shared" si="9"/>
        <v>16</v>
      </c>
      <c r="C15" s="1">
        <f t="shared" si="9"/>
        <v>16</v>
      </c>
      <c r="D15" s="1">
        <f>$B15*总表!D$4</f>
        <v>16800</v>
      </c>
      <c r="E15" s="1">
        <f>$C15*总表!E$4</f>
        <v>1600</v>
      </c>
      <c r="F15" s="1">
        <f>$C15*总表!F$4</f>
        <v>480</v>
      </c>
      <c r="G15" s="1">
        <f>$C15*总表!G$4</f>
        <v>480</v>
      </c>
      <c r="L15" s="1">
        <v>14</v>
      </c>
      <c r="M15" s="1">
        <v>28</v>
      </c>
      <c r="N15" s="1">
        <f t="shared" si="1"/>
        <v>31500</v>
      </c>
      <c r="O15" s="1">
        <f t="shared" si="2"/>
        <v>3000</v>
      </c>
      <c r="P15" s="1">
        <f t="shared" si="3"/>
        <v>900</v>
      </c>
      <c r="Q15" s="1">
        <f t="shared" si="4"/>
        <v>900</v>
      </c>
      <c r="S15" s="1">
        <v>3</v>
      </c>
      <c r="T15" s="1">
        <v>12</v>
      </c>
      <c r="U15" s="1">
        <v>2.5</v>
      </c>
      <c r="V15" s="1">
        <v>1.3</v>
      </c>
      <c r="X15" s="1">
        <f t="shared" si="5"/>
        <v>36750</v>
      </c>
      <c r="Y15" s="1">
        <f t="shared" si="6"/>
        <v>1820</v>
      </c>
      <c r="Z15" s="1">
        <f t="shared" si="7"/>
        <v>420</v>
      </c>
      <c r="AA15" s="1">
        <f t="shared" si="8"/>
        <v>420</v>
      </c>
      <c r="AC15" s="1"/>
      <c r="AD15" s="1"/>
      <c r="AE15" s="1"/>
      <c r="AF15" s="1" t="s">
        <v>2893</v>
      </c>
      <c r="AG15" s="1"/>
      <c r="AH15" s="1"/>
      <c r="AI15" s="1"/>
      <c r="AJ15" s="1"/>
      <c r="AK15" s="1"/>
    </row>
    <row r="16" spans="1:40" s="5" customFormat="1" ht="20.100000000000001" customHeight="1">
      <c r="A16" s="1">
        <v>15</v>
      </c>
      <c r="B16" s="1">
        <f t="shared" si="9"/>
        <v>17</v>
      </c>
      <c r="C16" s="1">
        <f t="shared" si="9"/>
        <v>17</v>
      </c>
      <c r="D16" s="1">
        <f>$B16*总表!D$4</f>
        <v>17850</v>
      </c>
      <c r="E16" s="1">
        <f>$C16*总表!E$4</f>
        <v>1700</v>
      </c>
      <c r="F16" s="1">
        <f>$C16*总表!F$4</f>
        <v>510</v>
      </c>
      <c r="G16" s="1">
        <f>$C16*总表!G$4</f>
        <v>510</v>
      </c>
      <c r="L16" s="1">
        <v>15</v>
      </c>
      <c r="M16" s="1">
        <v>30</v>
      </c>
      <c r="N16" s="1">
        <f t="shared" si="1"/>
        <v>33600</v>
      </c>
      <c r="O16" s="1">
        <f t="shared" si="2"/>
        <v>3200</v>
      </c>
      <c r="P16" s="1">
        <f t="shared" si="3"/>
        <v>960</v>
      </c>
      <c r="Q16" s="1">
        <f t="shared" si="4"/>
        <v>960</v>
      </c>
      <c r="S16" s="1">
        <v>1</v>
      </c>
      <c r="T16" s="1">
        <v>15</v>
      </c>
      <c r="U16" s="1">
        <v>1</v>
      </c>
      <c r="V16" s="1">
        <v>1</v>
      </c>
      <c r="X16" s="1">
        <f t="shared" si="5"/>
        <v>17850</v>
      </c>
      <c r="Y16" s="1">
        <f t="shared" si="6"/>
        <v>1700</v>
      </c>
      <c r="Z16" s="1">
        <f t="shared" si="7"/>
        <v>510</v>
      </c>
      <c r="AA16" s="1">
        <f t="shared" si="8"/>
        <v>510</v>
      </c>
      <c r="AC16" s="1"/>
      <c r="AD16" s="1"/>
      <c r="AE16" s="1"/>
      <c r="AF16" s="1"/>
      <c r="AG16" s="1"/>
      <c r="AH16" s="1"/>
      <c r="AI16" s="1"/>
      <c r="AJ16" s="1"/>
      <c r="AK16" s="1"/>
    </row>
    <row r="17" spans="1:48" s="5" customFormat="1" ht="20.100000000000001" customHeight="1">
      <c r="A17" s="1">
        <v>16</v>
      </c>
      <c r="B17" s="1">
        <f t="shared" si="9"/>
        <v>18</v>
      </c>
      <c r="C17" s="1">
        <f t="shared" si="9"/>
        <v>18</v>
      </c>
      <c r="D17" s="1">
        <f>$B17*总表!D$4</f>
        <v>18900</v>
      </c>
      <c r="E17" s="1">
        <f>$C17*总表!E$4</f>
        <v>1800</v>
      </c>
      <c r="F17" s="1">
        <f>$C17*总表!F$4</f>
        <v>540</v>
      </c>
      <c r="G17" s="1">
        <f>$C17*总表!G$4</f>
        <v>540</v>
      </c>
      <c r="L17" s="1">
        <v>16</v>
      </c>
      <c r="M17" s="1">
        <v>32</v>
      </c>
      <c r="N17" s="1">
        <f t="shared" si="1"/>
        <v>35700</v>
      </c>
      <c r="O17" s="1">
        <f t="shared" si="2"/>
        <v>3400</v>
      </c>
      <c r="P17" s="1">
        <f t="shared" si="3"/>
        <v>1020</v>
      </c>
      <c r="Q17" s="1">
        <f t="shared" si="4"/>
        <v>1020</v>
      </c>
      <c r="S17" s="1">
        <v>1</v>
      </c>
      <c r="T17" s="1">
        <v>15</v>
      </c>
      <c r="U17" s="1">
        <v>1</v>
      </c>
      <c r="V17" s="1">
        <v>1</v>
      </c>
      <c r="X17" s="1">
        <f t="shared" si="5"/>
        <v>17850</v>
      </c>
      <c r="Y17" s="1">
        <f t="shared" si="6"/>
        <v>1700</v>
      </c>
      <c r="Z17" s="1">
        <f t="shared" si="7"/>
        <v>510</v>
      </c>
      <c r="AA17" s="1">
        <f t="shared" si="8"/>
        <v>510</v>
      </c>
      <c r="AC17" s="1"/>
      <c r="AD17" s="1"/>
      <c r="AE17" s="1"/>
      <c r="AF17" s="1"/>
      <c r="AG17" s="1"/>
      <c r="AH17" s="1"/>
      <c r="AI17" s="1"/>
      <c r="AJ17" s="1"/>
      <c r="AK17" s="1"/>
    </row>
    <row r="18" spans="1:48" s="5" customFormat="1" ht="20.100000000000001" customHeight="1">
      <c r="A18" s="1">
        <v>17</v>
      </c>
      <c r="B18" s="1">
        <f t="shared" si="9"/>
        <v>19</v>
      </c>
      <c r="C18" s="1">
        <f t="shared" si="9"/>
        <v>19</v>
      </c>
      <c r="D18" s="1">
        <f>$B18*总表!D$4</f>
        <v>19950</v>
      </c>
      <c r="E18" s="1">
        <f>$C18*总表!E$4</f>
        <v>1900</v>
      </c>
      <c r="F18" s="1">
        <f>$C18*总表!F$4</f>
        <v>570</v>
      </c>
      <c r="G18" s="1">
        <f>$C18*总表!G$4</f>
        <v>570</v>
      </c>
      <c r="L18" s="1">
        <v>17</v>
      </c>
      <c r="M18" s="1">
        <v>34</v>
      </c>
      <c r="N18" s="1">
        <f t="shared" si="1"/>
        <v>37800</v>
      </c>
      <c r="O18" s="1">
        <f t="shared" si="2"/>
        <v>3600</v>
      </c>
      <c r="P18" s="1">
        <f t="shared" si="3"/>
        <v>1080</v>
      </c>
      <c r="Q18" s="1">
        <f t="shared" si="4"/>
        <v>1080</v>
      </c>
      <c r="S18" s="1">
        <v>3</v>
      </c>
      <c r="T18" s="1">
        <v>15</v>
      </c>
      <c r="U18" s="1">
        <v>2.5</v>
      </c>
      <c r="V18" s="1">
        <v>1.3</v>
      </c>
      <c r="X18" s="1">
        <f t="shared" si="5"/>
        <v>44625</v>
      </c>
      <c r="Y18" s="1">
        <f t="shared" si="6"/>
        <v>2210</v>
      </c>
      <c r="Z18" s="1">
        <f t="shared" si="7"/>
        <v>510</v>
      </c>
      <c r="AA18" s="1">
        <f t="shared" si="8"/>
        <v>510</v>
      </c>
      <c r="AC18" s="1"/>
      <c r="AD18" s="1"/>
      <c r="AE18" s="1">
        <f>880/5</f>
        <v>176</v>
      </c>
      <c r="AF18" s="1" t="s">
        <v>2891</v>
      </c>
      <c r="AG18" s="1"/>
      <c r="AH18" s="1"/>
      <c r="AI18" s="1"/>
      <c r="AJ18" s="1"/>
      <c r="AK18" s="1"/>
      <c r="AL18" s="1"/>
      <c r="AM18" s="1"/>
      <c r="AN18" s="1"/>
    </row>
    <row r="19" spans="1:48" s="5" customFormat="1" ht="20.100000000000001" customHeight="1">
      <c r="A19" s="1">
        <v>18</v>
      </c>
      <c r="B19" s="1">
        <f t="shared" si="9"/>
        <v>20</v>
      </c>
      <c r="C19" s="1">
        <f t="shared" si="9"/>
        <v>20</v>
      </c>
      <c r="D19" s="1">
        <f>$B19*总表!D$4</f>
        <v>21000</v>
      </c>
      <c r="E19" s="1">
        <f>$C19*总表!E$4</f>
        <v>2000</v>
      </c>
      <c r="F19" s="1">
        <f>$C19*总表!F$4</f>
        <v>600</v>
      </c>
      <c r="G19" s="1">
        <f>$C19*总表!G$4</f>
        <v>600</v>
      </c>
      <c r="L19" s="1">
        <v>18</v>
      </c>
      <c r="M19" s="1">
        <v>36</v>
      </c>
      <c r="N19" s="1">
        <f t="shared" si="1"/>
        <v>39900</v>
      </c>
      <c r="O19" s="1">
        <f t="shared" si="2"/>
        <v>3800</v>
      </c>
      <c r="P19" s="1">
        <f t="shared" si="3"/>
        <v>1140</v>
      </c>
      <c r="Q19" s="1">
        <f t="shared" si="4"/>
        <v>1140</v>
      </c>
      <c r="S19" s="1">
        <v>1</v>
      </c>
      <c r="T19" s="1">
        <v>18</v>
      </c>
      <c r="U19" s="1">
        <v>1</v>
      </c>
      <c r="V19" s="1">
        <v>1</v>
      </c>
      <c r="X19" s="1">
        <f t="shared" si="5"/>
        <v>21000</v>
      </c>
      <c r="Y19" s="1">
        <f t="shared" si="6"/>
        <v>2000</v>
      </c>
      <c r="Z19" s="1">
        <f t="shared" si="7"/>
        <v>600</v>
      </c>
      <c r="AA19" s="1">
        <f t="shared" si="8"/>
        <v>600</v>
      </c>
      <c r="AC19" s="1"/>
      <c r="AD19" s="1">
        <v>30</v>
      </c>
      <c r="AE19" s="1">
        <f>AD19*$AE$2</f>
        <v>5280</v>
      </c>
      <c r="AF19" s="1">
        <f>AE19/100</f>
        <v>52.8</v>
      </c>
      <c r="AG19" s="1">
        <f>AE19</f>
        <v>5280</v>
      </c>
      <c r="AH19" s="1">
        <f>AG19*0.1</f>
        <v>528</v>
      </c>
      <c r="AI19" s="51">
        <v>1</v>
      </c>
      <c r="AJ19" s="51" t="s">
        <v>2894</v>
      </c>
      <c r="AK19" s="1">
        <v>200000</v>
      </c>
      <c r="AL19" s="51">
        <v>10000158</v>
      </c>
      <c r="AM19" s="51" t="s">
        <v>2830</v>
      </c>
      <c r="AN19" s="1">
        <v>1</v>
      </c>
      <c r="AV19" s="5" t="str">
        <f>AI19&amp;";"&amp;AK19&amp;"@"&amp;AL19&amp;";"&amp;AN19</f>
        <v>1;200000@10000158;1</v>
      </c>
    </row>
    <row r="20" spans="1:48" s="5" customFormat="1" ht="20.100000000000001" customHeight="1">
      <c r="A20" s="1">
        <v>19</v>
      </c>
      <c r="B20" s="1">
        <f t="shared" si="9"/>
        <v>21</v>
      </c>
      <c r="C20" s="1">
        <f t="shared" si="9"/>
        <v>21</v>
      </c>
      <c r="D20" s="1">
        <f>$B20*总表!D$4</f>
        <v>22050</v>
      </c>
      <c r="E20" s="1">
        <f>$C20*总表!E$4</f>
        <v>2100</v>
      </c>
      <c r="F20" s="1">
        <f>$C20*总表!F$4</f>
        <v>630</v>
      </c>
      <c r="G20" s="1">
        <f>$C20*总表!G$4</f>
        <v>630</v>
      </c>
      <c r="L20" s="1">
        <v>19</v>
      </c>
      <c r="M20" s="1">
        <v>38</v>
      </c>
      <c r="N20" s="1">
        <f t="shared" si="1"/>
        <v>42000</v>
      </c>
      <c r="O20" s="1">
        <f t="shared" si="2"/>
        <v>4000</v>
      </c>
      <c r="P20" s="1">
        <f t="shared" si="3"/>
        <v>1200</v>
      </c>
      <c r="Q20" s="1">
        <f t="shared" si="4"/>
        <v>1200</v>
      </c>
      <c r="S20" s="1">
        <v>1</v>
      </c>
      <c r="T20" s="1">
        <v>18</v>
      </c>
      <c r="U20" s="1">
        <v>1</v>
      </c>
      <c r="V20" s="1">
        <v>1</v>
      </c>
      <c r="X20" s="1">
        <f t="shared" si="5"/>
        <v>21000</v>
      </c>
      <c r="Y20" s="1">
        <f t="shared" si="6"/>
        <v>2000</v>
      </c>
      <c r="Z20" s="1">
        <f t="shared" si="7"/>
        <v>600</v>
      </c>
      <c r="AA20" s="1">
        <f t="shared" si="8"/>
        <v>600</v>
      </c>
      <c r="AC20" s="1"/>
      <c r="AD20" s="1">
        <v>80</v>
      </c>
      <c r="AE20" s="1">
        <f t="shared" ref="AE20:AE22" si="12">AD20*$AE$2</f>
        <v>14080</v>
      </c>
      <c r="AF20" s="1">
        <f t="shared" ref="AF20:AF22" si="13">AE20/100</f>
        <v>140.80000000000001</v>
      </c>
      <c r="AG20" s="1">
        <f>AE20-AE19</f>
        <v>8800</v>
      </c>
      <c r="AH20" s="1">
        <f t="shared" ref="AH20:AH22" si="14">AG20*0.1</f>
        <v>880</v>
      </c>
      <c r="AI20" s="51">
        <v>1</v>
      </c>
      <c r="AJ20" s="51" t="s">
        <v>2894</v>
      </c>
      <c r="AK20" s="1">
        <v>300000</v>
      </c>
      <c r="AL20" s="51">
        <v>10000158</v>
      </c>
      <c r="AM20" s="51" t="s">
        <v>2830</v>
      </c>
      <c r="AN20" s="1">
        <v>1</v>
      </c>
      <c r="AV20" s="5" t="str">
        <f t="shared" ref="AV20" si="15">AI20&amp;";"&amp;AK20&amp;"@"&amp;AL20&amp;";"&amp;AN20</f>
        <v>1;300000@10000158;1</v>
      </c>
    </row>
    <row r="21" spans="1:48" s="5" customFormat="1" ht="20.100000000000001" customHeight="1">
      <c r="A21" s="1">
        <v>20</v>
      </c>
      <c r="B21" s="1">
        <f t="shared" si="9"/>
        <v>22</v>
      </c>
      <c r="C21" s="1">
        <f t="shared" si="9"/>
        <v>22</v>
      </c>
      <c r="D21" s="1">
        <f>$B21*总表!D$4</f>
        <v>23100</v>
      </c>
      <c r="E21" s="1">
        <f>$C21*总表!E$4</f>
        <v>2200</v>
      </c>
      <c r="F21" s="1">
        <f>$C21*总表!F$4</f>
        <v>660</v>
      </c>
      <c r="G21" s="1">
        <f>$C21*总表!G$4</f>
        <v>660</v>
      </c>
      <c r="L21" s="1">
        <v>20</v>
      </c>
      <c r="M21" s="1">
        <v>40</v>
      </c>
      <c r="N21" s="1">
        <f t="shared" si="1"/>
        <v>44100</v>
      </c>
      <c r="O21" s="1">
        <f t="shared" si="2"/>
        <v>4200</v>
      </c>
      <c r="P21" s="1">
        <f t="shared" si="3"/>
        <v>1260</v>
      </c>
      <c r="Q21" s="1">
        <f t="shared" si="4"/>
        <v>1260</v>
      </c>
      <c r="S21" s="1">
        <v>3</v>
      </c>
      <c r="T21" s="1">
        <v>18</v>
      </c>
      <c r="U21" s="1">
        <v>2.5</v>
      </c>
      <c r="V21" s="1">
        <v>1.3</v>
      </c>
      <c r="X21" s="1">
        <f t="shared" si="5"/>
        <v>52500</v>
      </c>
      <c r="Y21" s="1">
        <f t="shared" si="6"/>
        <v>2600</v>
      </c>
      <c r="Z21" s="1">
        <f t="shared" si="7"/>
        <v>600</v>
      </c>
      <c r="AA21" s="1">
        <f t="shared" si="8"/>
        <v>600</v>
      </c>
      <c r="AC21" s="1"/>
      <c r="AD21" s="1">
        <v>150</v>
      </c>
      <c r="AE21" s="1">
        <f t="shared" si="12"/>
        <v>26400</v>
      </c>
      <c r="AF21" s="1">
        <f t="shared" si="13"/>
        <v>264</v>
      </c>
      <c r="AG21" s="1">
        <f t="shared" ref="AG21:AG22" si="16">AE21-AE20</f>
        <v>12320</v>
      </c>
      <c r="AH21" s="1">
        <f t="shared" si="14"/>
        <v>1232</v>
      </c>
      <c r="AI21" s="51">
        <v>1</v>
      </c>
      <c r="AJ21" s="51" t="s">
        <v>2894</v>
      </c>
      <c r="AK21" s="1">
        <v>500000</v>
      </c>
      <c r="AL21" s="51">
        <v>10000158</v>
      </c>
      <c r="AM21" s="51" t="s">
        <v>2830</v>
      </c>
      <c r="AN21" s="1">
        <v>1</v>
      </c>
      <c r="AO21" s="114">
        <v>11200000</v>
      </c>
      <c r="AP21" s="115" t="s">
        <v>2895</v>
      </c>
      <c r="AQ21" s="1">
        <v>1</v>
      </c>
      <c r="AV21" s="5" t="str">
        <f>AI21&amp;";"&amp;AK21&amp;"@"&amp;AL21&amp;";"&amp;AN21&amp;AO21&amp;";"&amp;AQ21</f>
        <v>1;500000@10000158;111200000;1</v>
      </c>
    </row>
    <row r="22" spans="1:48" s="5" customFormat="1" ht="20.100000000000001" customHeight="1">
      <c r="A22" s="1">
        <v>21</v>
      </c>
      <c r="B22" s="1">
        <f t="shared" si="9"/>
        <v>23</v>
      </c>
      <c r="C22" s="1">
        <f t="shared" si="9"/>
        <v>23</v>
      </c>
      <c r="D22" s="1">
        <f>$B22*总表!D$4</f>
        <v>24150</v>
      </c>
      <c r="E22" s="1">
        <f>$C22*总表!E$4</f>
        <v>2300</v>
      </c>
      <c r="F22" s="1">
        <f>$C22*总表!F$4</f>
        <v>690</v>
      </c>
      <c r="G22" s="1">
        <f>$C22*总表!G$4</f>
        <v>690</v>
      </c>
      <c r="L22" s="1">
        <v>21</v>
      </c>
      <c r="M22" s="1">
        <v>41</v>
      </c>
      <c r="N22" s="1">
        <f t="shared" si="1"/>
        <v>45150</v>
      </c>
      <c r="O22" s="1">
        <f t="shared" si="2"/>
        <v>4300</v>
      </c>
      <c r="P22" s="1">
        <f t="shared" si="3"/>
        <v>1290</v>
      </c>
      <c r="Q22" s="1">
        <f t="shared" si="4"/>
        <v>1290</v>
      </c>
      <c r="S22" s="1">
        <v>1</v>
      </c>
      <c r="T22" s="1">
        <v>20</v>
      </c>
      <c r="U22" s="1">
        <v>1</v>
      </c>
      <c r="V22" s="1">
        <v>1</v>
      </c>
      <c r="X22" s="1">
        <f t="shared" si="5"/>
        <v>23100</v>
      </c>
      <c r="Y22" s="1">
        <f t="shared" si="6"/>
        <v>2200</v>
      </c>
      <c r="Z22" s="1">
        <f t="shared" si="7"/>
        <v>660</v>
      </c>
      <c r="AA22" s="1">
        <f t="shared" si="8"/>
        <v>660</v>
      </c>
      <c r="AC22" s="1"/>
      <c r="AD22" s="1">
        <v>300</v>
      </c>
      <c r="AE22" s="1">
        <f t="shared" si="12"/>
        <v>52800</v>
      </c>
      <c r="AF22" s="1">
        <f t="shared" si="13"/>
        <v>528</v>
      </c>
      <c r="AG22" s="1">
        <f t="shared" si="16"/>
        <v>26400</v>
      </c>
      <c r="AH22" s="1">
        <f t="shared" si="14"/>
        <v>2640</v>
      </c>
      <c r="AI22" s="51">
        <v>1</v>
      </c>
      <c r="AJ22" s="51" t="s">
        <v>2894</v>
      </c>
      <c r="AK22" s="1">
        <v>1000000</v>
      </c>
      <c r="AL22" s="51">
        <v>10000158</v>
      </c>
      <c r="AM22" s="51" t="s">
        <v>2830</v>
      </c>
      <c r="AN22" s="1">
        <v>1</v>
      </c>
      <c r="AO22" s="114">
        <v>11200000</v>
      </c>
      <c r="AP22" s="115" t="s">
        <v>2895</v>
      </c>
      <c r="AQ22" s="1">
        <v>1</v>
      </c>
      <c r="AR22" s="51">
        <v>10000142</v>
      </c>
      <c r="AS22" s="52" t="s">
        <v>2835</v>
      </c>
      <c r="AT22" s="1">
        <v>1</v>
      </c>
      <c r="AV22" s="5" t="str">
        <f>AI22&amp;";"&amp;AK22&amp;"@"&amp;AL22&amp;";"&amp;AN22&amp;AO22&amp;";"&amp;AQ22&amp;"@"&amp;AR22&amp;";"&amp;AT22</f>
        <v>1;1000000@10000158;111200000;1@10000142;1</v>
      </c>
    </row>
    <row r="23" spans="1:48" s="5" customFormat="1" ht="20.100000000000001" customHeight="1">
      <c r="A23" s="1">
        <v>22</v>
      </c>
      <c r="B23" s="1">
        <f t="shared" si="9"/>
        <v>24</v>
      </c>
      <c r="C23" s="1">
        <f t="shared" si="9"/>
        <v>24</v>
      </c>
      <c r="D23" s="1">
        <f>$B23*总表!D$4</f>
        <v>25200</v>
      </c>
      <c r="E23" s="1">
        <f>$C23*总表!E$4</f>
        <v>2400</v>
      </c>
      <c r="F23" s="1">
        <f>$C23*总表!F$4</f>
        <v>720</v>
      </c>
      <c r="G23" s="1">
        <f>$C23*总表!G$4</f>
        <v>720</v>
      </c>
      <c r="L23" s="1">
        <v>22</v>
      </c>
      <c r="M23" s="1">
        <v>42</v>
      </c>
      <c r="N23" s="1">
        <f t="shared" si="1"/>
        <v>46200</v>
      </c>
      <c r="O23" s="1">
        <f t="shared" si="2"/>
        <v>4400</v>
      </c>
      <c r="P23" s="1">
        <f t="shared" si="3"/>
        <v>1320</v>
      </c>
      <c r="Q23" s="1">
        <f t="shared" si="4"/>
        <v>1320</v>
      </c>
      <c r="S23" s="1">
        <v>1</v>
      </c>
      <c r="T23" s="1">
        <v>20</v>
      </c>
      <c r="U23" s="1">
        <v>1</v>
      </c>
      <c r="V23" s="1">
        <v>1</v>
      </c>
      <c r="X23" s="1">
        <f t="shared" si="5"/>
        <v>23100</v>
      </c>
      <c r="Y23" s="1">
        <f t="shared" si="6"/>
        <v>2200</v>
      </c>
      <c r="Z23" s="1">
        <f t="shared" si="7"/>
        <v>660</v>
      </c>
      <c r="AA23" s="1">
        <f t="shared" si="8"/>
        <v>660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8" s="5" customFormat="1" ht="20.100000000000001" customHeight="1">
      <c r="A24" s="1">
        <v>23</v>
      </c>
      <c r="B24" s="1">
        <f t="shared" si="9"/>
        <v>25</v>
      </c>
      <c r="C24" s="1">
        <f t="shared" si="9"/>
        <v>25</v>
      </c>
      <c r="D24" s="1">
        <f>$B24*总表!D$4</f>
        <v>26250</v>
      </c>
      <c r="E24" s="1">
        <f>$C24*总表!E$4</f>
        <v>2500</v>
      </c>
      <c r="F24" s="1">
        <f>$C24*总表!F$4</f>
        <v>750</v>
      </c>
      <c r="G24" s="1">
        <f>$C24*总表!G$4</f>
        <v>750</v>
      </c>
      <c r="L24" s="1">
        <v>23</v>
      </c>
      <c r="M24" s="1">
        <v>43</v>
      </c>
      <c r="N24" s="1">
        <f t="shared" si="1"/>
        <v>47250</v>
      </c>
      <c r="O24" s="1">
        <f t="shared" si="2"/>
        <v>4500</v>
      </c>
      <c r="P24" s="1">
        <f t="shared" si="3"/>
        <v>1350</v>
      </c>
      <c r="Q24" s="1">
        <f t="shared" si="4"/>
        <v>1350</v>
      </c>
      <c r="S24" s="1">
        <v>3</v>
      </c>
      <c r="T24" s="1">
        <v>20</v>
      </c>
      <c r="U24" s="1">
        <v>2.5</v>
      </c>
      <c r="V24" s="1">
        <v>1.3</v>
      </c>
      <c r="X24" s="1">
        <f t="shared" si="5"/>
        <v>57750</v>
      </c>
      <c r="Y24" s="1">
        <f t="shared" si="6"/>
        <v>2860</v>
      </c>
      <c r="Z24" s="1">
        <f t="shared" si="7"/>
        <v>660</v>
      </c>
      <c r="AA24" s="1">
        <f t="shared" si="8"/>
        <v>660</v>
      </c>
      <c r="AC24" s="1"/>
      <c r="AD24" s="1"/>
      <c r="AE24" s="1"/>
      <c r="AF24" s="1"/>
    </row>
    <row r="25" spans="1:48" s="5" customFormat="1" ht="20.100000000000001" customHeight="1">
      <c r="A25" s="1">
        <v>24</v>
      </c>
      <c r="B25" s="1">
        <f t="shared" si="9"/>
        <v>26</v>
      </c>
      <c r="C25" s="1">
        <f t="shared" si="9"/>
        <v>26</v>
      </c>
      <c r="D25" s="1">
        <f>$B25*总表!D$4</f>
        <v>27300</v>
      </c>
      <c r="E25" s="1">
        <f>$C25*总表!E$4</f>
        <v>2600</v>
      </c>
      <c r="F25" s="1">
        <f>$C25*总表!F$4</f>
        <v>780</v>
      </c>
      <c r="G25" s="1">
        <f>$C25*总表!G$4</f>
        <v>780</v>
      </c>
      <c r="L25" s="1">
        <v>24</v>
      </c>
      <c r="M25" s="1">
        <v>44</v>
      </c>
      <c r="N25" s="1">
        <f t="shared" si="1"/>
        <v>48300</v>
      </c>
      <c r="O25" s="1">
        <f t="shared" si="2"/>
        <v>4600</v>
      </c>
      <c r="P25" s="1">
        <f t="shared" si="3"/>
        <v>1380</v>
      </c>
      <c r="Q25" s="1">
        <f t="shared" si="4"/>
        <v>1380</v>
      </c>
      <c r="S25" s="1">
        <v>1</v>
      </c>
      <c r="T25" s="1">
        <v>22</v>
      </c>
      <c r="U25" s="1">
        <v>1</v>
      </c>
      <c r="V25" s="1">
        <v>1</v>
      </c>
      <c r="X25" s="1">
        <f t="shared" si="5"/>
        <v>25200</v>
      </c>
      <c r="Y25" s="1">
        <f t="shared" si="6"/>
        <v>2400</v>
      </c>
      <c r="Z25" s="1">
        <f t="shared" si="7"/>
        <v>720</v>
      </c>
      <c r="AA25" s="1">
        <f t="shared" si="8"/>
        <v>720</v>
      </c>
      <c r="AC25" s="1"/>
      <c r="AD25" s="1"/>
      <c r="AE25" s="1"/>
      <c r="AF25" s="1"/>
    </row>
    <row r="26" spans="1:48" s="5" customFormat="1" ht="20.100000000000001" customHeight="1">
      <c r="A26" s="1">
        <v>25</v>
      </c>
      <c r="B26" s="1">
        <f t="shared" si="9"/>
        <v>27</v>
      </c>
      <c r="C26" s="1">
        <f t="shared" si="9"/>
        <v>27</v>
      </c>
      <c r="D26" s="1">
        <f>$B26*总表!D$4</f>
        <v>28350</v>
      </c>
      <c r="E26" s="1">
        <f>$C26*总表!E$4</f>
        <v>2700</v>
      </c>
      <c r="F26" s="1">
        <f>$C26*总表!F$4</f>
        <v>810</v>
      </c>
      <c r="G26" s="1">
        <f>$C26*总表!G$4</f>
        <v>810</v>
      </c>
      <c r="L26" s="1">
        <v>25</v>
      </c>
      <c r="M26" s="1">
        <v>45</v>
      </c>
      <c r="N26" s="1">
        <f t="shared" si="1"/>
        <v>49350</v>
      </c>
      <c r="O26" s="1">
        <f t="shared" si="2"/>
        <v>4700</v>
      </c>
      <c r="P26" s="1">
        <f t="shared" si="3"/>
        <v>1410</v>
      </c>
      <c r="Q26" s="1">
        <f t="shared" si="4"/>
        <v>1410</v>
      </c>
      <c r="S26" s="1">
        <v>1</v>
      </c>
      <c r="T26" s="1">
        <v>22</v>
      </c>
      <c r="U26" s="1">
        <v>1</v>
      </c>
      <c r="V26" s="1">
        <v>1</v>
      </c>
      <c r="X26" s="1">
        <f t="shared" si="5"/>
        <v>25200</v>
      </c>
      <c r="Y26" s="1">
        <f t="shared" si="6"/>
        <v>2400</v>
      </c>
      <c r="Z26" s="1">
        <f t="shared" si="7"/>
        <v>720</v>
      </c>
      <c r="AA26" s="1">
        <f t="shared" si="8"/>
        <v>720</v>
      </c>
      <c r="AC26" s="1"/>
      <c r="AD26" s="1"/>
      <c r="AE26" s="1"/>
      <c r="AF26" s="1"/>
    </row>
    <row r="27" spans="1:48" s="5" customFormat="1" ht="20.100000000000001" customHeight="1">
      <c r="A27" s="1">
        <v>26</v>
      </c>
      <c r="B27" s="1">
        <f t="shared" si="9"/>
        <v>28</v>
      </c>
      <c r="C27" s="1">
        <f t="shared" si="9"/>
        <v>28</v>
      </c>
      <c r="D27" s="1">
        <f>$B27*总表!D$4</f>
        <v>29400</v>
      </c>
      <c r="E27" s="1">
        <f>$C27*总表!E$4</f>
        <v>2800</v>
      </c>
      <c r="F27" s="1">
        <f>$C27*总表!F$4</f>
        <v>840</v>
      </c>
      <c r="G27" s="1">
        <f>$C27*总表!G$4</f>
        <v>840</v>
      </c>
      <c r="L27" s="1">
        <v>26</v>
      </c>
      <c r="M27" s="1">
        <v>46</v>
      </c>
      <c r="N27" s="1">
        <f t="shared" si="1"/>
        <v>50400</v>
      </c>
      <c r="O27" s="1">
        <f t="shared" si="2"/>
        <v>4800</v>
      </c>
      <c r="P27" s="1">
        <f t="shared" si="3"/>
        <v>1440</v>
      </c>
      <c r="Q27" s="1">
        <f t="shared" si="4"/>
        <v>1440</v>
      </c>
      <c r="S27" s="1">
        <v>3</v>
      </c>
      <c r="T27" s="1">
        <v>22</v>
      </c>
      <c r="U27" s="1">
        <v>2.5</v>
      </c>
      <c r="V27" s="1">
        <v>1.3</v>
      </c>
      <c r="X27" s="1">
        <f t="shared" si="5"/>
        <v>63000</v>
      </c>
      <c r="Y27" s="1">
        <f t="shared" si="6"/>
        <v>3120</v>
      </c>
      <c r="Z27" s="1">
        <f t="shared" si="7"/>
        <v>720</v>
      </c>
      <c r="AA27" s="1">
        <f t="shared" si="8"/>
        <v>720</v>
      </c>
      <c r="AC27" s="1"/>
      <c r="AD27" s="1"/>
      <c r="AE27" s="1"/>
      <c r="AF27" s="1"/>
    </row>
    <row r="28" spans="1:48" s="5" customFormat="1" ht="20.100000000000001" customHeight="1">
      <c r="A28" s="1">
        <v>27</v>
      </c>
      <c r="B28" s="1">
        <f t="shared" si="9"/>
        <v>29</v>
      </c>
      <c r="C28" s="1">
        <f t="shared" si="9"/>
        <v>29</v>
      </c>
      <c r="D28" s="1">
        <f>$B28*总表!D$4</f>
        <v>30450</v>
      </c>
      <c r="E28" s="1">
        <f>$C28*总表!E$4</f>
        <v>2900</v>
      </c>
      <c r="F28" s="1">
        <f>$C28*总表!F$4</f>
        <v>870</v>
      </c>
      <c r="G28" s="1">
        <f>$C28*总表!G$4</f>
        <v>870</v>
      </c>
      <c r="L28" s="1">
        <v>27</v>
      </c>
      <c r="M28" s="1">
        <v>47</v>
      </c>
      <c r="N28" s="1">
        <f t="shared" si="1"/>
        <v>51450</v>
      </c>
      <c r="O28" s="1">
        <f t="shared" si="2"/>
        <v>4900</v>
      </c>
      <c r="P28" s="1">
        <f t="shared" si="3"/>
        <v>1470</v>
      </c>
      <c r="Q28" s="1">
        <f t="shared" si="4"/>
        <v>1470</v>
      </c>
      <c r="S28" s="1">
        <v>1</v>
      </c>
      <c r="T28" s="1">
        <v>25</v>
      </c>
      <c r="U28" s="1">
        <v>1</v>
      </c>
      <c r="V28" s="1">
        <v>1</v>
      </c>
      <c r="X28" s="1">
        <f t="shared" si="5"/>
        <v>28350</v>
      </c>
      <c r="Y28" s="1">
        <f t="shared" si="6"/>
        <v>2700</v>
      </c>
      <c r="Z28" s="1">
        <f t="shared" si="7"/>
        <v>810</v>
      </c>
      <c r="AA28" s="1">
        <f t="shared" si="8"/>
        <v>810</v>
      </c>
      <c r="AC28" s="1"/>
      <c r="AD28" s="1"/>
      <c r="AE28" s="1"/>
      <c r="AF28" s="1"/>
    </row>
    <row r="29" spans="1:48" s="5" customFormat="1" ht="20.100000000000001" customHeight="1">
      <c r="A29" s="1">
        <v>28</v>
      </c>
      <c r="B29" s="1">
        <f t="shared" si="9"/>
        <v>30</v>
      </c>
      <c r="C29" s="1">
        <f t="shared" si="9"/>
        <v>30</v>
      </c>
      <c r="D29" s="1">
        <f>$B29*总表!D$4</f>
        <v>31500</v>
      </c>
      <c r="E29" s="1">
        <f>$C29*总表!E$4</f>
        <v>3000</v>
      </c>
      <c r="F29" s="1">
        <f>$C29*总表!F$4</f>
        <v>900</v>
      </c>
      <c r="G29" s="1">
        <f>$C29*总表!G$4</f>
        <v>900</v>
      </c>
      <c r="L29" s="1">
        <v>28</v>
      </c>
      <c r="M29" s="1">
        <v>48</v>
      </c>
      <c r="N29" s="1">
        <f t="shared" si="1"/>
        <v>52500</v>
      </c>
      <c r="O29" s="1">
        <f t="shared" si="2"/>
        <v>5000</v>
      </c>
      <c r="P29" s="1">
        <f t="shared" si="3"/>
        <v>1500</v>
      </c>
      <c r="Q29" s="1">
        <f t="shared" si="4"/>
        <v>1500</v>
      </c>
      <c r="S29" s="1">
        <v>1</v>
      </c>
      <c r="T29" s="1">
        <v>25</v>
      </c>
      <c r="U29" s="1">
        <v>1</v>
      </c>
      <c r="V29" s="1">
        <v>1</v>
      </c>
      <c r="X29" s="1">
        <f t="shared" si="5"/>
        <v>28350</v>
      </c>
      <c r="Y29" s="1">
        <f t="shared" si="6"/>
        <v>2700</v>
      </c>
      <c r="Z29" s="1">
        <f t="shared" si="7"/>
        <v>810</v>
      </c>
      <c r="AA29" s="1">
        <f t="shared" si="8"/>
        <v>810</v>
      </c>
      <c r="AC29" s="1"/>
      <c r="AD29" s="1"/>
      <c r="AE29" s="1"/>
      <c r="AF29" s="1"/>
    </row>
    <row r="30" spans="1:48" s="5" customFormat="1" ht="20.100000000000001" customHeight="1">
      <c r="A30" s="1">
        <v>29</v>
      </c>
      <c r="B30" s="1">
        <f t="shared" si="9"/>
        <v>31</v>
      </c>
      <c r="C30" s="1">
        <f t="shared" si="9"/>
        <v>31</v>
      </c>
      <c r="D30" s="1">
        <f>$B30*总表!D$4</f>
        <v>32550</v>
      </c>
      <c r="E30" s="1">
        <f>$C30*总表!E$4</f>
        <v>3100</v>
      </c>
      <c r="F30" s="1">
        <f>$C30*总表!F$4</f>
        <v>930</v>
      </c>
      <c r="G30" s="1">
        <f>$C30*总表!G$4</f>
        <v>930</v>
      </c>
      <c r="L30" s="1">
        <v>29</v>
      </c>
      <c r="M30" s="1">
        <v>49</v>
      </c>
      <c r="N30" s="1">
        <f t="shared" si="1"/>
        <v>53550</v>
      </c>
      <c r="O30" s="1">
        <f t="shared" si="2"/>
        <v>5100</v>
      </c>
      <c r="P30" s="1">
        <f t="shared" si="3"/>
        <v>1530</v>
      </c>
      <c r="Q30" s="1">
        <f t="shared" si="4"/>
        <v>1530</v>
      </c>
      <c r="S30" s="1">
        <v>3</v>
      </c>
      <c r="T30" s="1">
        <v>25</v>
      </c>
      <c r="U30" s="1">
        <v>2.5</v>
      </c>
      <c r="V30" s="1">
        <v>1.3</v>
      </c>
      <c r="X30" s="1">
        <f t="shared" si="5"/>
        <v>70875</v>
      </c>
      <c r="Y30" s="1">
        <f t="shared" si="6"/>
        <v>3510</v>
      </c>
      <c r="Z30" s="1">
        <f t="shared" si="7"/>
        <v>810</v>
      </c>
      <c r="AA30" s="1">
        <f t="shared" si="8"/>
        <v>810</v>
      </c>
      <c r="AC30" s="1"/>
      <c r="AD30" s="1"/>
      <c r="AE30" s="1"/>
      <c r="AF30" s="1"/>
    </row>
    <row r="31" spans="1:48" s="5" customFormat="1" ht="20.100000000000001" customHeight="1">
      <c r="A31" s="1">
        <v>30</v>
      </c>
      <c r="B31" s="1">
        <f t="shared" si="9"/>
        <v>32</v>
      </c>
      <c r="C31" s="1">
        <f t="shared" si="9"/>
        <v>32</v>
      </c>
      <c r="D31" s="1">
        <f>$B31*总表!D$4</f>
        <v>33600</v>
      </c>
      <c r="E31" s="1">
        <f>$C31*总表!E$4</f>
        <v>3200</v>
      </c>
      <c r="F31" s="1">
        <f>$C31*总表!F$4</f>
        <v>960</v>
      </c>
      <c r="G31" s="1">
        <f>$C31*总表!G$4</f>
        <v>960</v>
      </c>
      <c r="L31" s="1">
        <v>30</v>
      </c>
      <c r="M31" s="1">
        <v>50</v>
      </c>
      <c r="N31" s="1">
        <f t="shared" si="1"/>
        <v>54600</v>
      </c>
      <c r="O31" s="1">
        <f t="shared" si="2"/>
        <v>5200</v>
      </c>
      <c r="P31" s="1">
        <f t="shared" si="3"/>
        <v>1560</v>
      </c>
      <c r="Q31" s="1">
        <f t="shared" si="4"/>
        <v>1560</v>
      </c>
      <c r="S31" s="1">
        <v>1</v>
      </c>
      <c r="T31" s="1">
        <v>27</v>
      </c>
      <c r="U31" s="1">
        <v>1</v>
      </c>
      <c r="V31" s="1">
        <v>1</v>
      </c>
      <c r="X31" s="1">
        <f t="shared" si="5"/>
        <v>30450</v>
      </c>
      <c r="Y31" s="1">
        <f t="shared" si="6"/>
        <v>2900</v>
      </c>
      <c r="Z31" s="1">
        <f t="shared" si="7"/>
        <v>870</v>
      </c>
      <c r="AA31" s="1">
        <f t="shared" si="8"/>
        <v>870</v>
      </c>
      <c r="AC31" s="1"/>
      <c r="AD31" s="1"/>
      <c r="AE31" s="1"/>
      <c r="AF31" s="1"/>
    </row>
    <row r="32" spans="1:48" s="5" customFormat="1" ht="20.100000000000001" customHeight="1">
      <c r="A32" s="1">
        <v>31</v>
      </c>
      <c r="B32" s="1">
        <f t="shared" si="9"/>
        <v>33</v>
      </c>
      <c r="C32" s="1">
        <f t="shared" si="9"/>
        <v>33</v>
      </c>
      <c r="D32" s="1">
        <f>$B32*总表!D$4</f>
        <v>34650</v>
      </c>
      <c r="E32" s="1">
        <f>$C32*总表!E$4</f>
        <v>3300</v>
      </c>
      <c r="F32" s="1">
        <f>$C32*总表!F$4</f>
        <v>990</v>
      </c>
      <c r="G32" s="1">
        <f>$C32*总表!G$4</f>
        <v>990</v>
      </c>
      <c r="L32" s="1">
        <v>31</v>
      </c>
      <c r="M32" s="1">
        <v>51</v>
      </c>
      <c r="N32" s="1">
        <f t="shared" ref="N32:N51" si="17">LOOKUP($M32,$A:$A,D:D)</f>
        <v>55650</v>
      </c>
      <c r="O32" s="1">
        <f t="shared" ref="O32:O51" si="18">LOOKUP($M32,$A:$A,E:E)</f>
        <v>5300</v>
      </c>
      <c r="P32" s="1">
        <f t="shared" ref="P32:P51" si="19">LOOKUP($M32,$A:$A,F:F)</f>
        <v>1590</v>
      </c>
      <c r="Q32" s="1">
        <f t="shared" ref="Q32:Q51" si="20">LOOKUP($M32,$A:$A,G:G)</f>
        <v>1590</v>
      </c>
      <c r="S32" s="1">
        <v>1</v>
      </c>
      <c r="T32" s="1">
        <v>27</v>
      </c>
      <c r="U32" s="1">
        <v>1</v>
      </c>
      <c r="V32" s="1">
        <v>1</v>
      </c>
      <c r="X32" s="1">
        <f t="shared" si="5"/>
        <v>30450</v>
      </c>
      <c r="Y32" s="1">
        <f t="shared" si="6"/>
        <v>2900</v>
      </c>
      <c r="Z32" s="1">
        <f t="shared" si="7"/>
        <v>870</v>
      </c>
      <c r="AA32" s="1">
        <f t="shared" si="8"/>
        <v>870</v>
      </c>
      <c r="AC32" s="1"/>
      <c r="AD32" s="1"/>
      <c r="AE32" s="1"/>
      <c r="AF32" s="1"/>
    </row>
    <row r="33" spans="1:32" s="5" customFormat="1" ht="20.100000000000001" customHeight="1">
      <c r="A33" s="1">
        <v>32</v>
      </c>
      <c r="B33" s="1">
        <f t="shared" si="9"/>
        <v>34</v>
      </c>
      <c r="C33" s="1">
        <f t="shared" si="9"/>
        <v>34</v>
      </c>
      <c r="D33" s="1">
        <f>$B33*总表!D$4</f>
        <v>35700</v>
      </c>
      <c r="E33" s="1">
        <f>$C33*总表!E$4</f>
        <v>3400</v>
      </c>
      <c r="F33" s="1">
        <f>$C33*总表!F$4</f>
        <v>1020</v>
      </c>
      <c r="G33" s="1">
        <f>$C33*总表!G$4</f>
        <v>1020</v>
      </c>
      <c r="L33" s="1">
        <v>32</v>
      </c>
      <c r="M33" s="1">
        <v>52</v>
      </c>
      <c r="N33" s="1">
        <f t="shared" si="17"/>
        <v>56700</v>
      </c>
      <c r="O33" s="1">
        <f t="shared" si="18"/>
        <v>5400</v>
      </c>
      <c r="P33" s="1">
        <f t="shared" si="19"/>
        <v>1620</v>
      </c>
      <c r="Q33" s="1">
        <f t="shared" si="20"/>
        <v>1620</v>
      </c>
      <c r="S33" s="1">
        <v>3</v>
      </c>
      <c r="T33" s="1">
        <v>27</v>
      </c>
      <c r="U33" s="1">
        <v>2.5</v>
      </c>
      <c r="V33" s="1">
        <v>1.3</v>
      </c>
      <c r="X33" s="1">
        <f t="shared" si="5"/>
        <v>76125</v>
      </c>
      <c r="Y33" s="1">
        <f t="shared" si="6"/>
        <v>3770</v>
      </c>
      <c r="Z33" s="1">
        <f t="shared" si="7"/>
        <v>870</v>
      </c>
      <c r="AA33" s="1">
        <f t="shared" si="8"/>
        <v>870</v>
      </c>
      <c r="AC33" s="1"/>
      <c r="AD33" s="1"/>
      <c r="AE33" s="1"/>
      <c r="AF33" s="1"/>
    </row>
    <row r="34" spans="1:32" s="5" customFormat="1" ht="20.100000000000001" customHeight="1">
      <c r="A34" s="1">
        <v>33</v>
      </c>
      <c r="B34" s="1">
        <f t="shared" si="9"/>
        <v>35</v>
      </c>
      <c r="C34" s="1">
        <f t="shared" si="9"/>
        <v>35</v>
      </c>
      <c r="D34" s="1">
        <f>$B34*总表!D$4</f>
        <v>36750</v>
      </c>
      <c r="E34" s="1">
        <f>$C34*总表!E$4</f>
        <v>3500</v>
      </c>
      <c r="F34" s="1">
        <f>$C34*总表!F$4</f>
        <v>1050</v>
      </c>
      <c r="G34" s="1">
        <f>$C34*总表!G$4</f>
        <v>1050</v>
      </c>
      <c r="L34" s="1">
        <v>33</v>
      </c>
      <c r="M34" s="1">
        <v>53</v>
      </c>
      <c r="N34" s="1">
        <f t="shared" si="17"/>
        <v>57750</v>
      </c>
      <c r="O34" s="1">
        <f t="shared" si="18"/>
        <v>5500</v>
      </c>
      <c r="P34" s="1">
        <f t="shared" si="19"/>
        <v>1650</v>
      </c>
      <c r="Q34" s="1">
        <f t="shared" si="20"/>
        <v>1650</v>
      </c>
      <c r="S34" s="1">
        <v>1</v>
      </c>
      <c r="T34" s="1">
        <v>29</v>
      </c>
      <c r="U34" s="1">
        <v>1</v>
      </c>
      <c r="V34" s="1">
        <v>1</v>
      </c>
      <c r="X34" s="1">
        <f t="shared" si="5"/>
        <v>32550</v>
      </c>
      <c r="Y34" s="1">
        <f t="shared" si="6"/>
        <v>3100</v>
      </c>
      <c r="Z34" s="1">
        <f t="shared" si="7"/>
        <v>930</v>
      </c>
      <c r="AA34" s="1">
        <f t="shared" si="8"/>
        <v>930</v>
      </c>
      <c r="AC34" s="1"/>
      <c r="AD34" s="1"/>
      <c r="AE34" s="1"/>
      <c r="AF34" s="1"/>
    </row>
    <row r="35" spans="1:32" s="5" customFormat="1" ht="20.100000000000001" customHeight="1">
      <c r="A35" s="1">
        <v>34</v>
      </c>
      <c r="B35" s="1">
        <f t="shared" si="9"/>
        <v>36</v>
      </c>
      <c r="C35" s="1">
        <f t="shared" si="9"/>
        <v>36</v>
      </c>
      <c r="D35" s="1">
        <f>$B35*总表!D$4</f>
        <v>37800</v>
      </c>
      <c r="E35" s="1">
        <f>$C35*总表!E$4</f>
        <v>3600</v>
      </c>
      <c r="F35" s="1">
        <f>$C35*总表!F$4</f>
        <v>1080</v>
      </c>
      <c r="G35" s="1">
        <f>$C35*总表!G$4</f>
        <v>1080</v>
      </c>
      <c r="L35" s="1">
        <v>34</v>
      </c>
      <c r="M35" s="1">
        <v>54</v>
      </c>
      <c r="N35" s="1">
        <f t="shared" si="17"/>
        <v>58800</v>
      </c>
      <c r="O35" s="1">
        <f t="shared" si="18"/>
        <v>5600</v>
      </c>
      <c r="P35" s="1">
        <f t="shared" si="19"/>
        <v>1680</v>
      </c>
      <c r="Q35" s="1">
        <f t="shared" si="20"/>
        <v>1680</v>
      </c>
      <c r="S35" s="1">
        <v>1</v>
      </c>
      <c r="T35" s="1">
        <v>29</v>
      </c>
      <c r="U35" s="1">
        <v>1</v>
      </c>
      <c r="V35" s="1">
        <v>1</v>
      </c>
      <c r="X35" s="1">
        <f t="shared" si="5"/>
        <v>32550</v>
      </c>
      <c r="Y35" s="1">
        <f t="shared" si="6"/>
        <v>3100</v>
      </c>
      <c r="Z35" s="1">
        <f t="shared" si="7"/>
        <v>930</v>
      </c>
      <c r="AA35" s="1">
        <f t="shared" si="8"/>
        <v>930</v>
      </c>
      <c r="AC35" s="1"/>
      <c r="AD35" s="1"/>
      <c r="AE35" s="1"/>
      <c r="AF35" s="1"/>
    </row>
    <row r="36" spans="1:32" s="5" customFormat="1" ht="20.100000000000001" customHeight="1">
      <c r="A36" s="1">
        <v>35</v>
      </c>
      <c r="B36" s="1">
        <f t="shared" si="9"/>
        <v>37</v>
      </c>
      <c r="C36" s="1">
        <f t="shared" si="9"/>
        <v>37</v>
      </c>
      <c r="D36" s="1">
        <f>$B36*总表!D$4</f>
        <v>38850</v>
      </c>
      <c r="E36" s="1">
        <f>$C36*总表!E$4</f>
        <v>3700</v>
      </c>
      <c r="F36" s="1">
        <f>$C36*总表!F$4</f>
        <v>1110</v>
      </c>
      <c r="G36" s="1">
        <f>$C36*总表!G$4</f>
        <v>1110</v>
      </c>
      <c r="L36" s="1">
        <v>35</v>
      </c>
      <c r="M36" s="1">
        <v>55</v>
      </c>
      <c r="N36" s="1">
        <f t="shared" si="17"/>
        <v>59850</v>
      </c>
      <c r="O36" s="1">
        <f t="shared" si="18"/>
        <v>5700</v>
      </c>
      <c r="P36" s="1">
        <f t="shared" si="19"/>
        <v>1710</v>
      </c>
      <c r="Q36" s="1">
        <f t="shared" si="20"/>
        <v>1710</v>
      </c>
      <c r="S36" s="1">
        <v>3</v>
      </c>
      <c r="T36" s="1">
        <v>29</v>
      </c>
      <c r="U36" s="1">
        <v>2.5</v>
      </c>
      <c r="V36" s="1">
        <v>1.3</v>
      </c>
      <c r="X36" s="1">
        <f t="shared" si="5"/>
        <v>81375</v>
      </c>
      <c r="Y36" s="1">
        <f t="shared" si="6"/>
        <v>4030</v>
      </c>
      <c r="Z36" s="1">
        <f t="shared" si="7"/>
        <v>930</v>
      </c>
      <c r="AA36" s="1">
        <f t="shared" si="8"/>
        <v>930</v>
      </c>
      <c r="AC36" s="1"/>
      <c r="AD36" s="1"/>
      <c r="AE36" s="1"/>
      <c r="AF36" s="1"/>
    </row>
    <row r="37" spans="1:32" s="5" customFormat="1" ht="20.100000000000001" customHeight="1">
      <c r="A37" s="1">
        <v>36</v>
      </c>
      <c r="B37" s="1">
        <f t="shared" si="9"/>
        <v>38</v>
      </c>
      <c r="C37" s="1">
        <f t="shared" si="9"/>
        <v>38</v>
      </c>
      <c r="D37" s="1">
        <f>$B37*总表!D$4</f>
        <v>39900</v>
      </c>
      <c r="E37" s="1">
        <f>$C37*总表!E$4</f>
        <v>3800</v>
      </c>
      <c r="F37" s="1">
        <f>$C37*总表!F$4</f>
        <v>1140</v>
      </c>
      <c r="G37" s="1">
        <f>$C37*总表!G$4</f>
        <v>1140</v>
      </c>
      <c r="L37" s="1">
        <v>36</v>
      </c>
      <c r="M37" s="1">
        <v>56</v>
      </c>
      <c r="N37" s="1">
        <f t="shared" si="17"/>
        <v>60900</v>
      </c>
      <c r="O37" s="1">
        <f t="shared" si="18"/>
        <v>5800</v>
      </c>
      <c r="P37" s="1">
        <f t="shared" si="19"/>
        <v>1740</v>
      </c>
      <c r="Q37" s="1">
        <f t="shared" si="20"/>
        <v>1740</v>
      </c>
      <c r="S37" s="1">
        <v>1</v>
      </c>
      <c r="T37" s="1">
        <v>30</v>
      </c>
      <c r="U37" s="1">
        <v>1</v>
      </c>
      <c r="V37" s="1">
        <v>1</v>
      </c>
      <c r="X37" s="1">
        <f t="shared" si="5"/>
        <v>33600</v>
      </c>
      <c r="Y37" s="1">
        <f t="shared" si="6"/>
        <v>3200</v>
      </c>
      <c r="Z37" s="1">
        <f t="shared" si="7"/>
        <v>960</v>
      </c>
      <c r="AA37" s="1">
        <f t="shared" si="8"/>
        <v>960</v>
      </c>
      <c r="AC37" s="1"/>
      <c r="AD37" s="1"/>
      <c r="AE37" s="1"/>
      <c r="AF37" s="1"/>
    </row>
    <row r="38" spans="1:32" s="5" customFormat="1" ht="20.100000000000001" customHeight="1">
      <c r="A38" s="1">
        <v>37</v>
      </c>
      <c r="B38" s="1">
        <f t="shared" si="9"/>
        <v>39</v>
      </c>
      <c r="C38" s="1">
        <f t="shared" si="9"/>
        <v>39</v>
      </c>
      <c r="D38" s="1">
        <f>$B38*总表!D$4</f>
        <v>40950</v>
      </c>
      <c r="E38" s="1">
        <f>$C38*总表!E$4</f>
        <v>3900</v>
      </c>
      <c r="F38" s="1">
        <f>$C38*总表!F$4</f>
        <v>1170</v>
      </c>
      <c r="G38" s="1">
        <f>$C38*总表!G$4</f>
        <v>1170</v>
      </c>
      <c r="L38" s="1">
        <v>37</v>
      </c>
      <c r="M38" s="1">
        <v>57</v>
      </c>
      <c r="N38" s="1">
        <f t="shared" si="17"/>
        <v>61950</v>
      </c>
      <c r="O38" s="1">
        <f t="shared" si="18"/>
        <v>5900</v>
      </c>
      <c r="P38" s="1">
        <f t="shared" si="19"/>
        <v>1770</v>
      </c>
      <c r="Q38" s="1">
        <f t="shared" si="20"/>
        <v>1770</v>
      </c>
      <c r="S38" s="1">
        <v>1</v>
      </c>
      <c r="T38" s="1">
        <v>30</v>
      </c>
      <c r="U38" s="1">
        <v>1</v>
      </c>
      <c r="V38" s="1">
        <v>1</v>
      </c>
      <c r="X38" s="1">
        <f t="shared" si="5"/>
        <v>33600</v>
      </c>
      <c r="Y38" s="1">
        <f t="shared" si="6"/>
        <v>3200</v>
      </c>
      <c r="Z38" s="1">
        <f t="shared" si="7"/>
        <v>960</v>
      </c>
      <c r="AA38" s="1">
        <f t="shared" si="8"/>
        <v>960</v>
      </c>
      <c r="AC38" s="1"/>
      <c r="AD38" s="1"/>
      <c r="AE38" s="1"/>
      <c r="AF38" s="1"/>
    </row>
    <row r="39" spans="1:32" s="5" customFormat="1" ht="20.100000000000001" customHeight="1">
      <c r="A39" s="1">
        <v>38</v>
      </c>
      <c r="B39" s="1">
        <f t="shared" si="9"/>
        <v>40</v>
      </c>
      <c r="C39" s="1">
        <f t="shared" si="9"/>
        <v>40</v>
      </c>
      <c r="D39" s="1">
        <f>$B39*总表!D$4</f>
        <v>42000</v>
      </c>
      <c r="E39" s="1">
        <f>$C39*总表!E$4</f>
        <v>4000</v>
      </c>
      <c r="F39" s="1">
        <f>$C39*总表!F$4</f>
        <v>1200</v>
      </c>
      <c r="G39" s="1">
        <f>$C39*总表!G$4</f>
        <v>1200</v>
      </c>
      <c r="L39" s="1">
        <v>38</v>
      </c>
      <c r="M39" s="1">
        <v>58</v>
      </c>
      <c r="N39" s="1">
        <f t="shared" si="17"/>
        <v>63000</v>
      </c>
      <c r="O39" s="1">
        <f t="shared" si="18"/>
        <v>6000</v>
      </c>
      <c r="P39" s="1">
        <f t="shared" si="19"/>
        <v>1800</v>
      </c>
      <c r="Q39" s="1">
        <f t="shared" si="20"/>
        <v>1800</v>
      </c>
      <c r="S39" s="1">
        <v>3</v>
      </c>
      <c r="T39" s="1">
        <v>30</v>
      </c>
      <c r="U39" s="1">
        <v>2.5</v>
      </c>
      <c r="V39" s="1">
        <v>1.3</v>
      </c>
      <c r="X39" s="1">
        <f t="shared" si="5"/>
        <v>84000</v>
      </c>
      <c r="Y39" s="1">
        <f t="shared" si="6"/>
        <v>4160</v>
      </c>
      <c r="Z39" s="1">
        <f t="shared" si="7"/>
        <v>960</v>
      </c>
      <c r="AA39" s="1">
        <f t="shared" si="8"/>
        <v>960</v>
      </c>
      <c r="AC39" s="1"/>
      <c r="AD39" s="1"/>
      <c r="AE39" s="1"/>
      <c r="AF39" s="1"/>
    </row>
    <row r="40" spans="1:32" s="5" customFormat="1" ht="20.100000000000001" customHeight="1">
      <c r="A40" s="1">
        <v>39</v>
      </c>
      <c r="B40" s="1">
        <f t="shared" si="9"/>
        <v>41</v>
      </c>
      <c r="C40" s="1">
        <f t="shared" si="9"/>
        <v>41</v>
      </c>
      <c r="D40" s="1">
        <f>$B40*总表!D$4</f>
        <v>43050</v>
      </c>
      <c r="E40" s="1">
        <f>$C40*总表!E$4</f>
        <v>4100</v>
      </c>
      <c r="F40" s="1">
        <f>$C40*总表!F$4</f>
        <v>1230</v>
      </c>
      <c r="G40" s="1">
        <f>$C40*总表!G$4</f>
        <v>1230</v>
      </c>
      <c r="L40" s="1">
        <v>39</v>
      </c>
      <c r="M40" s="1">
        <v>59</v>
      </c>
      <c r="N40" s="1">
        <f t="shared" si="17"/>
        <v>64050</v>
      </c>
      <c r="O40" s="1">
        <f t="shared" si="18"/>
        <v>6100</v>
      </c>
      <c r="P40" s="1">
        <f t="shared" si="19"/>
        <v>1830</v>
      </c>
      <c r="Q40" s="1">
        <f t="shared" si="20"/>
        <v>1830</v>
      </c>
      <c r="S40" s="1">
        <v>1</v>
      </c>
      <c r="T40" s="1">
        <v>31</v>
      </c>
      <c r="U40" s="1">
        <v>1</v>
      </c>
      <c r="V40" s="1">
        <v>1</v>
      </c>
      <c r="X40" s="1">
        <f t="shared" si="5"/>
        <v>34650</v>
      </c>
      <c r="Y40" s="1">
        <f t="shared" si="6"/>
        <v>3300</v>
      </c>
      <c r="Z40" s="1">
        <f t="shared" si="7"/>
        <v>990</v>
      </c>
      <c r="AA40" s="1">
        <f t="shared" si="8"/>
        <v>990</v>
      </c>
      <c r="AC40" s="1"/>
      <c r="AD40" s="1"/>
      <c r="AE40" s="1"/>
      <c r="AF40" s="1"/>
    </row>
    <row r="41" spans="1:32" s="5" customFormat="1" ht="20.100000000000001" customHeight="1">
      <c r="A41" s="1">
        <v>40</v>
      </c>
      <c r="B41" s="1">
        <f t="shared" si="9"/>
        <v>42</v>
      </c>
      <c r="C41" s="1">
        <f t="shared" si="9"/>
        <v>42</v>
      </c>
      <c r="D41" s="1">
        <f>$B41*总表!D$4</f>
        <v>44100</v>
      </c>
      <c r="E41" s="1">
        <f>$C41*总表!E$4</f>
        <v>4200</v>
      </c>
      <c r="F41" s="1">
        <f>$C41*总表!F$4</f>
        <v>1260</v>
      </c>
      <c r="G41" s="1">
        <f>$C41*总表!G$4</f>
        <v>1260</v>
      </c>
      <c r="L41" s="1">
        <v>40</v>
      </c>
      <c r="M41" s="1">
        <v>60</v>
      </c>
      <c r="N41" s="1">
        <f t="shared" si="17"/>
        <v>65100</v>
      </c>
      <c r="O41" s="1">
        <f t="shared" si="18"/>
        <v>6200</v>
      </c>
      <c r="P41" s="1">
        <f t="shared" si="19"/>
        <v>1860</v>
      </c>
      <c r="Q41" s="1">
        <f t="shared" si="20"/>
        <v>1860</v>
      </c>
      <c r="S41" s="1">
        <v>1</v>
      </c>
      <c r="T41" s="1">
        <v>31</v>
      </c>
      <c r="U41" s="1">
        <v>1</v>
      </c>
      <c r="V41" s="1">
        <v>1</v>
      </c>
      <c r="X41" s="1">
        <f t="shared" si="5"/>
        <v>34650</v>
      </c>
      <c r="Y41" s="1">
        <f t="shared" si="6"/>
        <v>3300</v>
      </c>
      <c r="Z41" s="1">
        <f t="shared" si="7"/>
        <v>990</v>
      </c>
      <c r="AA41" s="1">
        <f t="shared" si="8"/>
        <v>990</v>
      </c>
      <c r="AC41" s="1"/>
      <c r="AD41" s="1"/>
      <c r="AE41" s="1"/>
      <c r="AF41" s="1"/>
    </row>
    <row r="42" spans="1:32" s="5" customFormat="1" ht="20.100000000000001" customHeight="1">
      <c r="A42" s="1">
        <v>41</v>
      </c>
      <c r="B42" s="1">
        <f t="shared" si="9"/>
        <v>43</v>
      </c>
      <c r="C42" s="1">
        <f t="shared" si="9"/>
        <v>43</v>
      </c>
      <c r="D42" s="1">
        <f>$B42*总表!D$4</f>
        <v>45150</v>
      </c>
      <c r="E42" s="1">
        <f>$C42*总表!E$4</f>
        <v>4300</v>
      </c>
      <c r="F42" s="1">
        <f>$C42*总表!F$4</f>
        <v>1290</v>
      </c>
      <c r="G42" s="1">
        <f>$C42*总表!G$4</f>
        <v>1290</v>
      </c>
      <c r="L42" s="1">
        <v>41</v>
      </c>
      <c r="M42" s="1">
        <v>61</v>
      </c>
      <c r="N42" s="1">
        <f t="shared" si="17"/>
        <v>66150</v>
      </c>
      <c r="O42" s="1">
        <f t="shared" si="18"/>
        <v>6300</v>
      </c>
      <c r="P42" s="1">
        <f t="shared" si="19"/>
        <v>1890</v>
      </c>
      <c r="Q42" s="1">
        <f t="shared" si="20"/>
        <v>1890</v>
      </c>
      <c r="S42" s="1">
        <v>3</v>
      </c>
      <c r="T42" s="1">
        <v>31</v>
      </c>
      <c r="U42" s="1">
        <v>2.5</v>
      </c>
      <c r="V42" s="1">
        <v>1.3</v>
      </c>
      <c r="X42" s="1">
        <f t="shared" si="5"/>
        <v>86625</v>
      </c>
      <c r="Y42" s="1">
        <f t="shared" si="6"/>
        <v>4290</v>
      </c>
      <c r="Z42" s="1">
        <f t="shared" si="7"/>
        <v>990</v>
      </c>
      <c r="AA42" s="1">
        <f t="shared" si="8"/>
        <v>990</v>
      </c>
      <c r="AC42" s="1"/>
      <c r="AD42" s="1"/>
      <c r="AE42" s="1"/>
      <c r="AF42" s="1"/>
    </row>
    <row r="43" spans="1:32" s="5" customFormat="1" ht="20.100000000000001" customHeight="1">
      <c r="A43" s="1">
        <v>42</v>
      </c>
      <c r="B43" s="1">
        <f t="shared" si="9"/>
        <v>44</v>
      </c>
      <c r="C43" s="1">
        <f t="shared" si="9"/>
        <v>44</v>
      </c>
      <c r="D43" s="1">
        <f>$B43*总表!D$4</f>
        <v>46200</v>
      </c>
      <c r="E43" s="1">
        <f>$C43*总表!E$4</f>
        <v>4400</v>
      </c>
      <c r="F43" s="1">
        <f>$C43*总表!F$4</f>
        <v>1320</v>
      </c>
      <c r="G43" s="1">
        <f>$C43*总表!G$4</f>
        <v>1320</v>
      </c>
      <c r="L43" s="1">
        <v>42</v>
      </c>
      <c r="M43" s="1">
        <v>62</v>
      </c>
      <c r="N43" s="1">
        <f t="shared" si="17"/>
        <v>67200</v>
      </c>
      <c r="O43" s="1">
        <f t="shared" si="18"/>
        <v>6400</v>
      </c>
      <c r="P43" s="1">
        <f t="shared" si="19"/>
        <v>1920</v>
      </c>
      <c r="Q43" s="1">
        <f t="shared" si="20"/>
        <v>1920</v>
      </c>
      <c r="S43" s="1">
        <v>1</v>
      </c>
      <c r="T43" s="1">
        <v>32</v>
      </c>
      <c r="U43" s="1">
        <v>1</v>
      </c>
      <c r="V43" s="1">
        <v>1</v>
      </c>
      <c r="X43" s="1">
        <f t="shared" si="5"/>
        <v>35700</v>
      </c>
      <c r="Y43" s="1">
        <f t="shared" si="6"/>
        <v>3400</v>
      </c>
      <c r="Z43" s="1">
        <f t="shared" si="7"/>
        <v>1020</v>
      </c>
      <c r="AA43" s="1">
        <f t="shared" si="8"/>
        <v>1020</v>
      </c>
      <c r="AC43" s="1"/>
      <c r="AD43" s="1"/>
      <c r="AE43" s="1"/>
      <c r="AF43" s="1"/>
    </row>
    <row r="44" spans="1:32" s="5" customFormat="1" ht="20.100000000000001" customHeight="1">
      <c r="A44" s="1">
        <v>43</v>
      </c>
      <c r="B44" s="1">
        <f t="shared" si="9"/>
        <v>45</v>
      </c>
      <c r="C44" s="1">
        <f t="shared" si="9"/>
        <v>45</v>
      </c>
      <c r="D44" s="1">
        <f>$B44*总表!D$4</f>
        <v>47250</v>
      </c>
      <c r="E44" s="1">
        <f>$C44*总表!E$4</f>
        <v>4500</v>
      </c>
      <c r="F44" s="1">
        <f>$C44*总表!F$4</f>
        <v>1350</v>
      </c>
      <c r="G44" s="1">
        <f>$C44*总表!G$4</f>
        <v>1350</v>
      </c>
      <c r="L44" s="1">
        <v>43</v>
      </c>
      <c r="M44" s="1">
        <v>63</v>
      </c>
      <c r="N44" s="1">
        <f t="shared" si="17"/>
        <v>68250</v>
      </c>
      <c r="O44" s="1">
        <f t="shared" si="18"/>
        <v>6500</v>
      </c>
      <c r="P44" s="1">
        <f t="shared" si="19"/>
        <v>1950</v>
      </c>
      <c r="Q44" s="1">
        <f t="shared" si="20"/>
        <v>1950</v>
      </c>
      <c r="S44" s="1">
        <v>1</v>
      </c>
      <c r="T44" s="1">
        <v>32</v>
      </c>
      <c r="U44" s="1">
        <v>1</v>
      </c>
      <c r="V44" s="1">
        <v>1</v>
      </c>
      <c r="X44" s="1">
        <f t="shared" si="5"/>
        <v>35700</v>
      </c>
      <c r="Y44" s="1">
        <f t="shared" si="6"/>
        <v>3400</v>
      </c>
      <c r="Z44" s="1">
        <f t="shared" si="7"/>
        <v>1020</v>
      </c>
      <c r="AA44" s="1">
        <f t="shared" si="8"/>
        <v>1020</v>
      </c>
      <c r="AC44" s="1"/>
      <c r="AD44" s="1"/>
      <c r="AE44" s="1"/>
      <c r="AF44" s="1"/>
    </row>
    <row r="45" spans="1:32" s="5" customFormat="1" ht="20.100000000000001" customHeight="1">
      <c r="A45" s="1">
        <v>44</v>
      </c>
      <c r="B45" s="1">
        <f t="shared" si="9"/>
        <v>46</v>
      </c>
      <c r="C45" s="1">
        <f t="shared" si="9"/>
        <v>46</v>
      </c>
      <c r="D45" s="1">
        <f>$B45*总表!D$4</f>
        <v>48300</v>
      </c>
      <c r="E45" s="1">
        <f>$C45*总表!E$4</f>
        <v>4600</v>
      </c>
      <c r="F45" s="1">
        <f>$C45*总表!F$4</f>
        <v>1380</v>
      </c>
      <c r="G45" s="1">
        <f>$C45*总表!G$4</f>
        <v>1380</v>
      </c>
      <c r="L45" s="1">
        <v>44</v>
      </c>
      <c r="M45" s="1">
        <v>64</v>
      </c>
      <c r="N45" s="1">
        <f t="shared" si="17"/>
        <v>69300</v>
      </c>
      <c r="O45" s="1">
        <f t="shared" si="18"/>
        <v>6600</v>
      </c>
      <c r="P45" s="1">
        <f t="shared" si="19"/>
        <v>1980</v>
      </c>
      <c r="Q45" s="1">
        <f t="shared" si="20"/>
        <v>1980</v>
      </c>
      <c r="S45" s="1">
        <v>3</v>
      </c>
      <c r="T45" s="1">
        <v>32</v>
      </c>
      <c r="U45" s="1">
        <v>2.5</v>
      </c>
      <c r="V45" s="1">
        <v>1.3</v>
      </c>
      <c r="X45" s="1">
        <f t="shared" si="5"/>
        <v>89250</v>
      </c>
      <c r="Y45" s="1">
        <f t="shared" si="6"/>
        <v>4420</v>
      </c>
      <c r="Z45" s="1">
        <f t="shared" si="7"/>
        <v>1020</v>
      </c>
      <c r="AA45" s="1">
        <f t="shared" si="8"/>
        <v>1020</v>
      </c>
      <c r="AC45" s="1"/>
      <c r="AD45" s="1"/>
      <c r="AE45" s="1"/>
      <c r="AF45" s="1"/>
    </row>
    <row r="46" spans="1:32" s="5" customFormat="1" ht="20.100000000000001" customHeight="1">
      <c r="A46" s="1">
        <v>45</v>
      </c>
      <c r="B46" s="1">
        <f t="shared" si="9"/>
        <v>47</v>
      </c>
      <c r="C46" s="1">
        <f t="shared" si="9"/>
        <v>47</v>
      </c>
      <c r="D46" s="1">
        <f>$B46*总表!D$4</f>
        <v>49350</v>
      </c>
      <c r="E46" s="1">
        <f>$C46*总表!E$4</f>
        <v>4700</v>
      </c>
      <c r="F46" s="1">
        <f>$C46*总表!F$4</f>
        <v>1410</v>
      </c>
      <c r="G46" s="1">
        <f>$C46*总表!G$4</f>
        <v>1410</v>
      </c>
      <c r="L46" s="1">
        <v>45</v>
      </c>
      <c r="M46" s="1">
        <v>65</v>
      </c>
      <c r="N46" s="1">
        <f t="shared" si="17"/>
        <v>70875</v>
      </c>
      <c r="O46" s="1">
        <f t="shared" si="18"/>
        <v>6750</v>
      </c>
      <c r="P46" s="1">
        <f t="shared" si="19"/>
        <v>2025</v>
      </c>
      <c r="Q46" s="1">
        <f t="shared" si="20"/>
        <v>2025</v>
      </c>
      <c r="S46" s="1">
        <v>1</v>
      </c>
      <c r="T46" s="1">
        <v>33</v>
      </c>
      <c r="U46" s="1">
        <v>1</v>
      </c>
      <c r="V46" s="1">
        <v>1</v>
      </c>
      <c r="X46" s="1">
        <f t="shared" si="5"/>
        <v>36750</v>
      </c>
      <c r="Y46" s="1">
        <f t="shared" si="6"/>
        <v>3500</v>
      </c>
      <c r="Z46" s="1">
        <f t="shared" si="7"/>
        <v>1050</v>
      </c>
      <c r="AA46" s="1">
        <f t="shared" si="8"/>
        <v>1050</v>
      </c>
      <c r="AC46" s="1"/>
      <c r="AD46" s="1"/>
      <c r="AE46" s="1"/>
      <c r="AF46" s="1"/>
    </row>
    <row r="47" spans="1:32" s="5" customFormat="1" ht="20.100000000000001" customHeight="1">
      <c r="A47" s="1">
        <v>46</v>
      </c>
      <c r="B47" s="1">
        <f t="shared" si="9"/>
        <v>48</v>
      </c>
      <c r="C47" s="1">
        <f t="shared" si="9"/>
        <v>48</v>
      </c>
      <c r="D47" s="1">
        <f>$B47*总表!D$4</f>
        <v>50400</v>
      </c>
      <c r="E47" s="1">
        <f>$C47*总表!E$4</f>
        <v>4800</v>
      </c>
      <c r="F47" s="1">
        <f>$C47*总表!F$4</f>
        <v>1440</v>
      </c>
      <c r="G47" s="1">
        <f>$C47*总表!G$4</f>
        <v>1440</v>
      </c>
      <c r="L47" s="1">
        <v>46</v>
      </c>
      <c r="M47" s="1">
        <v>66</v>
      </c>
      <c r="N47" s="1">
        <f t="shared" si="17"/>
        <v>72450</v>
      </c>
      <c r="O47" s="1">
        <f t="shared" si="18"/>
        <v>6900</v>
      </c>
      <c r="P47" s="1">
        <f t="shared" si="19"/>
        <v>2070</v>
      </c>
      <c r="Q47" s="1">
        <f t="shared" si="20"/>
        <v>2070</v>
      </c>
      <c r="S47" s="1">
        <v>1</v>
      </c>
      <c r="T47" s="1">
        <v>33</v>
      </c>
      <c r="U47" s="1">
        <v>1</v>
      </c>
      <c r="V47" s="1">
        <v>1</v>
      </c>
      <c r="X47" s="1">
        <f t="shared" si="5"/>
        <v>36750</v>
      </c>
      <c r="Y47" s="1">
        <f t="shared" si="6"/>
        <v>3500</v>
      </c>
      <c r="Z47" s="1">
        <f t="shared" si="7"/>
        <v>1050</v>
      </c>
      <c r="AA47" s="1">
        <f t="shared" si="8"/>
        <v>1050</v>
      </c>
      <c r="AC47" s="1"/>
      <c r="AD47" s="1"/>
      <c r="AE47" s="1"/>
      <c r="AF47" s="1"/>
    </row>
    <row r="48" spans="1:32" s="5" customFormat="1" ht="20.100000000000001" customHeight="1">
      <c r="A48" s="1">
        <v>47</v>
      </c>
      <c r="B48" s="1">
        <f t="shared" si="9"/>
        <v>49</v>
      </c>
      <c r="C48" s="1">
        <f t="shared" si="9"/>
        <v>49</v>
      </c>
      <c r="D48" s="1">
        <f>$B48*总表!D$4</f>
        <v>51450</v>
      </c>
      <c r="E48" s="1">
        <f>$C48*总表!E$4</f>
        <v>4900</v>
      </c>
      <c r="F48" s="1">
        <f>$C48*总表!F$4</f>
        <v>1470</v>
      </c>
      <c r="G48" s="1">
        <f>$C48*总表!G$4</f>
        <v>1470</v>
      </c>
      <c r="L48" s="1">
        <v>47</v>
      </c>
      <c r="M48" s="1">
        <v>67</v>
      </c>
      <c r="N48" s="1">
        <f t="shared" si="17"/>
        <v>74025</v>
      </c>
      <c r="O48" s="1">
        <f t="shared" si="18"/>
        <v>7050</v>
      </c>
      <c r="P48" s="1">
        <f t="shared" si="19"/>
        <v>2115</v>
      </c>
      <c r="Q48" s="1">
        <f t="shared" si="20"/>
        <v>2115</v>
      </c>
      <c r="S48" s="1">
        <v>3</v>
      </c>
      <c r="T48" s="1">
        <v>33</v>
      </c>
      <c r="U48" s="1">
        <v>2.5</v>
      </c>
      <c r="V48" s="1">
        <v>1.3</v>
      </c>
      <c r="X48" s="1">
        <f t="shared" si="5"/>
        <v>91875</v>
      </c>
      <c r="Y48" s="1">
        <f t="shared" si="6"/>
        <v>4550</v>
      </c>
      <c r="Z48" s="1">
        <f t="shared" si="7"/>
        <v>1050</v>
      </c>
      <c r="AA48" s="1">
        <f t="shared" si="8"/>
        <v>1050</v>
      </c>
      <c r="AC48" s="1"/>
      <c r="AD48" s="1"/>
      <c r="AE48" s="1"/>
      <c r="AF48" s="1"/>
    </row>
    <row r="49" spans="1:32" s="5" customFormat="1" ht="20.100000000000001" customHeight="1">
      <c r="A49" s="1">
        <v>48</v>
      </c>
      <c r="B49" s="1">
        <f t="shared" si="9"/>
        <v>50</v>
      </c>
      <c r="C49" s="1">
        <f t="shared" si="9"/>
        <v>50</v>
      </c>
      <c r="D49" s="1">
        <f>$B49*总表!D$4</f>
        <v>52500</v>
      </c>
      <c r="E49" s="1">
        <f>$C49*总表!E$4</f>
        <v>5000</v>
      </c>
      <c r="F49" s="1">
        <f>$C49*总表!F$4</f>
        <v>1500</v>
      </c>
      <c r="G49" s="1">
        <f>$C49*总表!G$4</f>
        <v>1500</v>
      </c>
      <c r="L49" s="1">
        <v>48</v>
      </c>
      <c r="M49" s="1">
        <v>68</v>
      </c>
      <c r="N49" s="1">
        <f t="shared" si="17"/>
        <v>75600</v>
      </c>
      <c r="O49" s="1">
        <f t="shared" si="18"/>
        <v>7200</v>
      </c>
      <c r="P49" s="1">
        <f t="shared" si="19"/>
        <v>2160</v>
      </c>
      <c r="Q49" s="1">
        <f t="shared" si="20"/>
        <v>2160</v>
      </c>
      <c r="S49" s="1">
        <v>1</v>
      </c>
      <c r="T49" s="1">
        <v>35</v>
      </c>
      <c r="U49" s="1">
        <v>1</v>
      </c>
      <c r="V49" s="1">
        <v>1</v>
      </c>
      <c r="X49" s="1">
        <f t="shared" si="5"/>
        <v>38850</v>
      </c>
      <c r="Y49" s="1">
        <f t="shared" si="6"/>
        <v>3700</v>
      </c>
      <c r="Z49" s="1">
        <f t="shared" si="7"/>
        <v>1110</v>
      </c>
      <c r="AA49" s="1">
        <f t="shared" si="8"/>
        <v>1110</v>
      </c>
      <c r="AC49" s="1"/>
      <c r="AD49" s="1"/>
      <c r="AE49" s="1"/>
      <c r="AF49" s="1"/>
    </row>
    <row r="50" spans="1:32" s="5" customFormat="1" ht="20.100000000000001" customHeight="1">
      <c r="A50" s="1">
        <v>49</v>
      </c>
      <c r="B50" s="1">
        <f t="shared" si="9"/>
        <v>51</v>
      </c>
      <c r="C50" s="1">
        <f t="shared" si="9"/>
        <v>51</v>
      </c>
      <c r="D50" s="1">
        <f>$B50*总表!D$4</f>
        <v>53550</v>
      </c>
      <c r="E50" s="1">
        <f>$C50*总表!E$4</f>
        <v>5100</v>
      </c>
      <c r="F50" s="1">
        <f>$C50*总表!F$4</f>
        <v>1530</v>
      </c>
      <c r="G50" s="1">
        <f>$C50*总表!G$4</f>
        <v>1530</v>
      </c>
      <c r="L50" s="1">
        <v>49</v>
      </c>
      <c r="M50" s="1">
        <v>69</v>
      </c>
      <c r="N50" s="1">
        <f t="shared" si="17"/>
        <v>77175</v>
      </c>
      <c r="O50" s="1">
        <f t="shared" si="18"/>
        <v>7350</v>
      </c>
      <c r="P50" s="1">
        <f t="shared" si="19"/>
        <v>2205</v>
      </c>
      <c r="Q50" s="1">
        <f t="shared" si="20"/>
        <v>2205</v>
      </c>
      <c r="S50" s="1">
        <v>1</v>
      </c>
      <c r="T50" s="1">
        <v>35</v>
      </c>
      <c r="U50" s="1">
        <v>1</v>
      </c>
      <c r="V50" s="1">
        <v>1</v>
      </c>
      <c r="X50" s="1">
        <f t="shared" si="5"/>
        <v>38850</v>
      </c>
      <c r="Y50" s="1">
        <f t="shared" si="6"/>
        <v>3700</v>
      </c>
      <c r="Z50" s="1">
        <f t="shared" si="7"/>
        <v>1110</v>
      </c>
      <c r="AA50" s="1">
        <f t="shared" si="8"/>
        <v>1110</v>
      </c>
      <c r="AC50" s="1"/>
      <c r="AD50" s="1"/>
      <c r="AE50" s="1"/>
      <c r="AF50" s="1"/>
    </row>
    <row r="51" spans="1:32" s="5" customFormat="1" ht="20.100000000000001" customHeight="1">
      <c r="A51" s="1">
        <v>50</v>
      </c>
      <c r="B51" s="1">
        <f t="shared" si="9"/>
        <v>52</v>
      </c>
      <c r="C51" s="1">
        <f t="shared" si="9"/>
        <v>52</v>
      </c>
      <c r="D51" s="1">
        <f>$B51*总表!D$4</f>
        <v>54600</v>
      </c>
      <c r="E51" s="1">
        <f>$C51*总表!E$4</f>
        <v>5200</v>
      </c>
      <c r="F51" s="1">
        <f>$C51*总表!F$4</f>
        <v>1560</v>
      </c>
      <c r="G51" s="1">
        <f>$C51*总表!G$4</f>
        <v>1560</v>
      </c>
      <c r="L51" s="1">
        <v>50</v>
      </c>
      <c r="M51" s="1">
        <v>70</v>
      </c>
      <c r="N51" s="1">
        <f t="shared" si="17"/>
        <v>78750</v>
      </c>
      <c r="O51" s="1">
        <f t="shared" si="18"/>
        <v>7500</v>
      </c>
      <c r="P51" s="1">
        <f t="shared" si="19"/>
        <v>2250</v>
      </c>
      <c r="Q51" s="1">
        <f t="shared" si="20"/>
        <v>2250</v>
      </c>
      <c r="S51" s="1">
        <v>3</v>
      </c>
      <c r="T51" s="1">
        <v>35</v>
      </c>
      <c r="U51" s="1">
        <v>2.5</v>
      </c>
      <c r="V51" s="1">
        <v>1.3</v>
      </c>
      <c r="X51" s="1">
        <f t="shared" si="5"/>
        <v>97125</v>
      </c>
      <c r="Y51" s="1">
        <f t="shared" si="6"/>
        <v>4810</v>
      </c>
      <c r="Z51" s="1">
        <f t="shared" si="7"/>
        <v>1110</v>
      </c>
      <c r="AA51" s="1">
        <f t="shared" si="8"/>
        <v>1110</v>
      </c>
      <c r="AC51" s="1"/>
      <c r="AD51" s="1"/>
      <c r="AE51" s="1"/>
      <c r="AF51" s="1"/>
    </row>
    <row r="52" spans="1:32" s="5" customFormat="1" ht="20.100000000000001" customHeight="1">
      <c r="A52" s="1">
        <v>51</v>
      </c>
      <c r="B52" s="1">
        <f t="shared" si="9"/>
        <v>53</v>
      </c>
      <c r="C52" s="1">
        <f t="shared" si="9"/>
        <v>53</v>
      </c>
      <c r="D52" s="1">
        <f>$B52*总表!D$4</f>
        <v>55650</v>
      </c>
      <c r="E52" s="1">
        <f>$C52*总表!E$4</f>
        <v>5300</v>
      </c>
      <c r="F52" s="1">
        <f>$C52*总表!F$4</f>
        <v>1590</v>
      </c>
      <c r="G52" s="1">
        <f>$C52*总表!G$4</f>
        <v>1590</v>
      </c>
      <c r="S52" s="1">
        <v>1</v>
      </c>
      <c r="T52" s="1">
        <v>37</v>
      </c>
      <c r="U52" s="1">
        <v>1</v>
      </c>
      <c r="V52" s="1">
        <v>1</v>
      </c>
      <c r="X52" s="1">
        <f t="shared" si="5"/>
        <v>40950</v>
      </c>
      <c r="Y52" s="1">
        <f t="shared" si="6"/>
        <v>3900</v>
      </c>
      <c r="Z52" s="1">
        <f t="shared" si="7"/>
        <v>1170</v>
      </c>
      <c r="AA52" s="1">
        <f t="shared" si="8"/>
        <v>1170</v>
      </c>
      <c r="AC52" s="1"/>
      <c r="AD52" s="1"/>
      <c r="AE52" s="1"/>
      <c r="AF52" s="1"/>
    </row>
    <row r="53" spans="1:32" s="5" customFormat="1" ht="20.100000000000001" customHeight="1">
      <c r="A53" s="1">
        <v>52</v>
      </c>
      <c r="B53" s="1">
        <f t="shared" si="9"/>
        <v>54</v>
      </c>
      <c r="C53" s="1">
        <f t="shared" si="9"/>
        <v>54</v>
      </c>
      <c r="D53" s="1">
        <f>$B53*总表!D$4</f>
        <v>56700</v>
      </c>
      <c r="E53" s="1">
        <f>$C53*总表!E$4</f>
        <v>5400</v>
      </c>
      <c r="F53" s="1">
        <f>$C53*总表!F$4</f>
        <v>1620</v>
      </c>
      <c r="G53" s="1">
        <f>$C53*总表!G$4</f>
        <v>1620</v>
      </c>
      <c r="S53" s="1">
        <v>1</v>
      </c>
      <c r="T53" s="1">
        <v>37</v>
      </c>
      <c r="U53" s="1">
        <v>1</v>
      </c>
      <c r="V53" s="1">
        <v>1</v>
      </c>
      <c r="X53" s="1">
        <f t="shared" si="5"/>
        <v>40950</v>
      </c>
      <c r="Y53" s="1">
        <f t="shared" si="6"/>
        <v>3900</v>
      </c>
      <c r="Z53" s="1">
        <f t="shared" si="7"/>
        <v>1170</v>
      </c>
      <c r="AA53" s="1">
        <f t="shared" si="8"/>
        <v>1170</v>
      </c>
      <c r="AC53" s="1"/>
      <c r="AD53" s="1"/>
      <c r="AE53" s="1"/>
      <c r="AF53" s="1"/>
    </row>
    <row r="54" spans="1:32" s="5" customFormat="1" ht="20.100000000000001" customHeight="1">
      <c r="A54" s="1">
        <v>53</v>
      </c>
      <c r="B54" s="1">
        <f t="shared" si="9"/>
        <v>55</v>
      </c>
      <c r="C54" s="1">
        <f t="shared" si="9"/>
        <v>55</v>
      </c>
      <c r="D54" s="1">
        <f>$B54*总表!D$4</f>
        <v>57750</v>
      </c>
      <c r="E54" s="1">
        <f>$C54*总表!E$4</f>
        <v>5500</v>
      </c>
      <c r="F54" s="1">
        <f>$C54*总表!F$4</f>
        <v>1650</v>
      </c>
      <c r="G54" s="1">
        <f>$C54*总表!G$4</f>
        <v>1650</v>
      </c>
      <c r="S54" s="1">
        <v>3</v>
      </c>
      <c r="T54" s="1">
        <v>37</v>
      </c>
      <c r="U54" s="1">
        <v>2.5</v>
      </c>
      <c r="V54" s="1">
        <v>1.3</v>
      </c>
      <c r="X54" s="1">
        <f t="shared" si="5"/>
        <v>102375</v>
      </c>
      <c r="Y54" s="1">
        <f t="shared" si="6"/>
        <v>5070</v>
      </c>
      <c r="Z54" s="1">
        <f t="shared" si="7"/>
        <v>1170</v>
      </c>
      <c r="AA54" s="1">
        <f t="shared" si="8"/>
        <v>1170</v>
      </c>
      <c r="AC54" s="1"/>
      <c r="AD54" s="1"/>
      <c r="AE54" s="1"/>
      <c r="AF54" s="1"/>
    </row>
    <row r="55" spans="1:32" s="5" customFormat="1" ht="20.100000000000001" customHeight="1">
      <c r="A55" s="1">
        <v>54</v>
      </c>
      <c r="B55" s="1">
        <f t="shared" si="9"/>
        <v>56</v>
      </c>
      <c r="C55" s="1">
        <f t="shared" si="9"/>
        <v>56</v>
      </c>
      <c r="D55" s="1">
        <f>$B55*总表!D$4</f>
        <v>58800</v>
      </c>
      <c r="E55" s="1">
        <f>$C55*总表!E$4</f>
        <v>5600</v>
      </c>
      <c r="F55" s="1">
        <f>$C55*总表!F$4</f>
        <v>1680</v>
      </c>
      <c r="G55" s="1">
        <f>$C55*总表!G$4</f>
        <v>1680</v>
      </c>
      <c r="S55" s="1">
        <v>1</v>
      </c>
      <c r="T55" s="1">
        <v>39</v>
      </c>
      <c r="U55" s="1">
        <v>1</v>
      </c>
      <c r="V55" s="1">
        <v>1</v>
      </c>
      <c r="X55" s="1">
        <f t="shared" si="5"/>
        <v>43050</v>
      </c>
      <c r="Y55" s="1">
        <f t="shared" si="6"/>
        <v>4100</v>
      </c>
      <c r="Z55" s="1">
        <f t="shared" si="7"/>
        <v>1230</v>
      </c>
      <c r="AA55" s="1">
        <f t="shared" si="8"/>
        <v>1230</v>
      </c>
      <c r="AC55" s="1"/>
      <c r="AD55" s="1"/>
      <c r="AE55" s="1"/>
      <c r="AF55" s="1"/>
    </row>
    <row r="56" spans="1:32" s="5" customFormat="1" ht="20.100000000000001" customHeight="1">
      <c r="A56" s="1">
        <v>55</v>
      </c>
      <c r="B56" s="1">
        <f t="shared" si="9"/>
        <v>57</v>
      </c>
      <c r="C56" s="1">
        <f t="shared" si="9"/>
        <v>57</v>
      </c>
      <c r="D56" s="1">
        <f>$B56*总表!D$4</f>
        <v>59850</v>
      </c>
      <c r="E56" s="1">
        <f>$C56*总表!E$4</f>
        <v>5700</v>
      </c>
      <c r="F56" s="1">
        <f>$C56*总表!F$4</f>
        <v>1710</v>
      </c>
      <c r="G56" s="1">
        <f>$C56*总表!G$4</f>
        <v>1710</v>
      </c>
      <c r="S56" s="1">
        <v>1</v>
      </c>
      <c r="T56" s="1">
        <v>39</v>
      </c>
      <c r="U56" s="1">
        <v>1</v>
      </c>
      <c r="V56" s="1">
        <v>1</v>
      </c>
      <c r="X56" s="1">
        <f t="shared" si="5"/>
        <v>43050</v>
      </c>
      <c r="Y56" s="1">
        <f t="shared" si="6"/>
        <v>4100</v>
      </c>
      <c r="Z56" s="1">
        <f t="shared" si="7"/>
        <v>1230</v>
      </c>
      <c r="AA56" s="1">
        <f t="shared" si="8"/>
        <v>1230</v>
      </c>
      <c r="AC56" s="1"/>
      <c r="AD56" s="1"/>
      <c r="AE56" s="1"/>
      <c r="AF56" s="1"/>
    </row>
    <row r="57" spans="1:32" s="5" customFormat="1" ht="20.100000000000001" customHeight="1">
      <c r="A57" s="1">
        <v>56</v>
      </c>
      <c r="B57" s="1">
        <f t="shared" si="9"/>
        <v>58</v>
      </c>
      <c r="C57" s="1">
        <f t="shared" si="9"/>
        <v>58</v>
      </c>
      <c r="D57" s="1">
        <f>$B57*总表!D$4</f>
        <v>60900</v>
      </c>
      <c r="E57" s="1">
        <f>$C57*总表!E$4</f>
        <v>5800</v>
      </c>
      <c r="F57" s="1">
        <f>$C57*总表!F$4</f>
        <v>1740</v>
      </c>
      <c r="G57" s="1">
        <f>$C57*总表!G$4</f>
        <v>1740</v>
      </c>
      <c r="S57" s="1">
        <v>3</v>
      </c>
      <c r="T57" s="1">
        <v>39</v>
      </c>
      <c r="U57" s="1">
        <v>2.5</v>
      </c>
      <c r="V57" s="1">
        <v>1.3</v>
      </c>
      <c r="X57" s="1">
        <f t="shared" si="5"/>
        <v>107625</v>
      </c>
      <c r="Y57" s="1">
        <f t="shared" si="6"/>
        <v>5330</v>
      </c>
      <c r="Z57" s="1">
        <f t="shared" si="7"/>
        <v>1230</v>
      </c>
      <c r="AA57" s="1">
        <f t="shared" si="8"/>
        <v>1230</v>
      </c>
      <c r="AC57" s="1"/>
      <c r="AD57" s="1"/>
      <c r="AE57" s="1"/>
      <c r="AF57" s="1"/>
    </row>
    <row r="58" spans="1:32" s="5" customFormat="1" ht="20.100000000000001" customHeight="1">
      <c r="A58" s="1">
        <v>57</v>
      </c>
      <c r="B58" s="1">
        <f t="shared" si="9"/>
        <v>59</v>
      </c>
      <c r="C58" s="1">
        <f t="shared" si="9"/>
        <v>59</v>
      </c>
      <c r="D58" s="1">
        <f>$B58*总表!D$4</f>
        <v>61950</v>
      </c>
      <c r="E58" s="1">
        <f>$C58*总表!E$4</f>
        <v>5900</v>
      </c>
      <c r="F58" s="1">
        <f>$C58*总表!F$4</f>
        <v>1770</v>
      </c>
      <c r="G58" s="1">
        <f>$C58*总表!G$4</f>
        <v>1770</v>
      </c>
      <c r="S58" s="1">
        <v>1</v>
      </c>
      <c r="T58" s="1">
        <v>40</v>
      </c>
      <c r="U58" s="1">
        <v>1</v>
      </c>
      <c r="V58" s="1">
        <v>1</v>
      </c>
      <c r="X58" s="1">
        <f t="shared" si="5"/>
        <v>44100</v>
      </c>
      <c r="Y58" s="1">
        <f t="shared" si="6"/>
        <v>4200</v>
      </c>
      <c r="Z58" s="1">
        <f t="shared" si="7"/>
        <v>1260</v>
      </c>
      <c r="AA58" s="1">
        <f t="shared" si="8"/>
        <v>1260</v>
      </c>
      <c r="AC58" s="1"/>
      <c r="AD58" s="1"/>
      <c r="AE58" s="1"/>
      <c r="AF58" s="1"/>
    </row>
    <row r="59" spans="1:32" s="5" customFormat="1" ht="20.100000000000001" customHeight="1">
      <c r="A59" s="1">
        <v>58</v>
      </c>
      <c r="B59" s="1">
        <f t="shared" si="9"/>
        <v>60</v>
      </c>
      <c r="C59" s="1">
        <f t="shared" si="9"/>
        <v>60</v>
      </c>
      <c r="D59" s="1">
        <f>$B59*总表!D$4</f>
        <v>63000</v>
      </c>
      <c r="E59" s="1">
        <f>$C59*总表!E$4</f>
        <v>6000</v>
      </c>
      <c r="F59" s="1">
        <f>$C59*总表!F$4</f>
        <v>1800</v>
      </c>
      <c r="G59" s="1">
        <f>$C59*总表!G$4</f>
        <v>1800</v>
      </c>
      <c r="S59" s="1">
        <v>1</v>
      </c>
      <c r="T59" s="1">
        <v>40</v>
      </c>
      <c r="U59" s="1">
        <v>1</v>
      </c>
      <c r="V59" s="1">
        <v>1</v>
      </c>
      <c r="X59" s="1">
        <f t="shared" si="5"/>
        <v>44100</v>
      </c>
      <c r="Y59" s="1">
        <f t="shared" si="6"/>
        <v>4200</v>
      </c>
      <c r="Z59" s="1">
        <f t="shared" si="7"/>
        <v>1260</v>
      </c>
      <c r="AA59" s="1">
        <f t="shared" si="8"/>
        <v>1260</v>
      </c>
      <c r="AC59" s="1"/>
      <c r="AD59" s="1"/>
      <c r="AE59" s="1"/>
      <c r="AF59" s="1"/>
    </row>
    <row r="60" spans="1:32" s="5" customFormat="1" ht="20.100000000000001" customHeight="1">
      <c r="A60" s="1">
        <v>59</v>
      </c>
      <c r="B60" s="1">
        <f t="shared" si="9"/>
        <v>61</v>
      </c>
      <c r="C60" s="1">
        <f t="shared" si="9"/>
        <v>61</v>
      </c>
      <c r="D60" s="1">
        <f>$B60*总表!D$4</f>
        <v>64050</v>
      </c>
      <c r="E60" s="1">
        <f>$C60*总表!E$4</f>
        <v>6100</v>
      </c>
      <c r="F60" s="1">
        <f>$C60*总表!F$4</f>
        <v>1830</v>
      </c>
      <c r="G60" s="1">
        <f>$C60*总表!G$4</f>
        <v>1830</v>
      </c>
      <c r="S60" s="1">
        <v>3</v>
      </c>
      <c r="T60" s="1">
        <v>40</v>
      </c>
      <c r="U60" s="1">
        <v>2.5</v>
      </c>
      <c r="V60" s="1">
        <v>1.3</v>
      </c>
      <c r="X60" s="1">
        <f t="shared" si="5"/>
        <v>110250</v>
      </c>
      <c r="Y60" s="1">
        <f t="shared" si="6"/>
        <v>5460</v>
      </c>
      <c r="Z60" s="1">
        <f t="shared" si="7"/>
        <v>1260</v>
      </c>
      <c r="AA60" s="1">
        <f t="shared" si="8"/>
        <v>1260</v>
      </c>
      <c r="AC60" s="1"/>
      <c r="AD60" s="1"/>
      <c r="AE60" s="1"/>
      <c r="AF60" s="1"/>
    </row>
    <row r="61" spans="1:32" s="5" customFormat="1" ht="20.100000000000001" customHeight="1">
      <c r="A61" s="1">
        <v>60</v>
      </c>
      <c r="B61" s="1">
        <f t="shared" si="9"/>
        <v>62</v>
      </c>
      <c r="C61" s="1">
        <f t="shared" si="9"/>
        <v>62</v>
      </c>
      <c r="D61" s="1">
        <f>$B61*总表!D$4</f>
        <v>65100</v>
      </c>
      <c r="E61" s="1">
        <f>$C61*总表!E$4</f>
        <v>6200</v>
      </c>
      <c r="F61" s="1">
        <f>$C61*总表!F$4</f>
        <v>1860</v>
      </c>
      <c r="G61" s="1">
        <f>$C61*总表!G$4</f>
        <v>1860</v>
      </c>
      <c r="S61" s="1">
        <v>1</v>
      </c>
      <c r="T61" s="1">
        <v>41</v>
      </c>
      <c r="U61" s="1">
        <v>1</v>
      </c>
      <c r="V61" s="1">
        <v>1</v>
      </c>
      <c r="X61" s="1">
        <f t="shared" si="5"/>
        <v>45150</v>
      </c>
      <c r="Y61" s="1">
        <f t="shared" si="6"/>
        <v>4300</v>
      </c>
      <c r="Z61" s="1">
        <f t="shared" si="7"/>
        <v>1290</v>
      </c>
      <c r="AA61" s="1">
        <f t="shared" si="8"/>
        <v>1290</v>
      </c>
      <c r="AC61" s="1"/>
      <c r="AD61" s="1"/>
      <c r="AE61" s="1"/>
      <c r="AF61" s="1"/>
    </row>
    <row r="62" spans="1:32" s="5" customFormat="1" ht="20.100000000000001" customHeight="1">
      <c r="A62" s="1">
        <v>61</v>
      </c>
      <c r="B62" s="1">
        <f t="shared" si="9"/>
        <v>63</v>
      </c>
      <c r="C62" s="1">
        <f t="shared" si="9"/>
        <v>63</v>
      </c>
      <c r="D62" s="1">
        <f>$B62*总表!D$4</f>
        <v>66150</v>
      </c>
      <c r="E62" s="1">
        <f>$C62*总表!E$4</f>
        <v>6300</v>
      </c>
      <c r="F62" s="1">
        <f>$C62*总表!F$4</f>
        <v>1890</v>
      </c>
      <c r="G62" s="1">
        <f>$C62*总表!G$4</f>
        <v>1890</v>
      </c>
      <c r="S62" s="1">
        <v>1</v>
      </c>
      <c r="T62" s="1">
        <v>41</v>
      </c>
      <c r="U62" s="1">
        <v>1</v>
      </c>
      <c r="V62" s="1">
        <v>1</v>
      </c>
      <c r="X62" s="1">
        <f t="shared" si="5"/>
        <v>45150</v>
      </c>
      <c r="Y62" s="1">
        <f t="shared" si="6"/>
        <v>4300</v>
      </c>
      <c r="Z62" s="1">
        <f t="shared" si="7"/>
        <v>1290</v>
      </c>
      <c r="AA62" s="1">
        <f t="shared" si="8"/>
        <v>1290</v>
      </c>
      <c r="AC62" s="1"/>
      <c r="AD62" s="1"/>
      <c r="AE62" s="1"/>
      <c r="AF62" s="1"/>
    </row>
    <row r="63" spans="1:32" s="5" customFormat="1" ht="20.100000000000001" customHeight="1">
      <c r="A63" s="1">
        <v>62</v>
      </c>
      <c r="B63" s="1">
        <f t="shared" si="9"/>
        <v>64</v>
      </c>
      <c r="C63" s="1">
        <f t="shared" si="9"/>
        <v>64</v>
      </c>
      <c r="D63" s="1">
        <f>$B63*总表!D$4</f>
        <v>67200</v>
      </c>
      <c r="E63" s="1">
        <f>$C63*总表!E$4</f>
        <v>6400</v>
      </c>
      <c r="F63" s="1">
        <f>$C63*总表!F$4</f>
        <v>1920</v>
      </c>
      <c r="G63" s="1">
        <f>$C63*总表!G$4</f>
        <v>1920</v>
      </c>
      <c r="S63" s="1">
        <v>3</v>
      </c>
      <c r="T63" s="1">
        <v>41</v>
      </c>
      <c r="U63" s="1">
        <v>2.5</v>
      </c>
      <c r="V63" s="1">
        <v>1.3</v>
      </c>
      <c r="X63" s="1">
        <f t="shared" si="5"/>
        <v>112875</v>
      </c>
      <c r="Y63" s="1">
        <f t="shared" si="6"/>
        <v>5590</v>
      </c>
      <c r="Z63" s="1">
        <f t="shared" si="7"/>
        <v>1290</v>
      </c>
      <c r="AA63" s="1">
        <f t="shared" si="8"/>
        <v>1290</v>
      </c>
      <c r="AC63" s="1"/>
      <c r="AD63" s="1"/>
      <c r="AE63" s="1"/>
      <c r="AF63" s="1"/>
    </row>
    <row r="64" spans="1:32" s="5" customFormat="1" ht="20.100000000000001" customHeight="1">
      <c r="A64" s="1">
        <v>63</v>
      </c>
      <c r="B64" s="1">
        <f t="shared" si="9"/>
        <v>65</v>
      </c>
      <c r="C64" s="1">
        <f t="shared" si="9"/>
        <v>65</v>
      </c>
      <c r="D64" s="1">
        <f>$B64*总表!D$4</f>
        <v>68250</v>
      </c>
      <c r="E64" s="1">
        <f>$C64*总表!E$4</f>
        <v>6500</v>
      </c>
      <c r="F64" s="1">
        <f>$C64*总表!F$4</f>
        <v>1950</v>
      </c>
      <c r="G64" s="1">
        <f>$C64*总表!G$4</f>
        <v>1950</v>
      </c>
      <c r="S64" s="1">
        <v>1</v>
      </c>
      <c r="T64" s="1">
        <v>42</v>
      </c>
      <c r="U64" s="1">
        <v>1</v>
      </c>
      <c r="V64" s="1">
        <v>1</v>
      </c>
      <c r="X64" s="1">
        <f t="shared" si="5"/>
        <v>46200</v>
      </c>
      <c r="Y64" s="1">
        <f t="shared" si="6"/>
        <v>4400</v>
      </c>
      <c r="Z64" s="1">
        <f t="shared" si="7"/>
        <v>1320</v>
      </c>
      <c r="AA64" s="1">
        <f t="shared" si="8"/>
        <v>1320</v>
      </c>
      <c r="AC64" s="1"/>
      <c r="AD64" s="1"/>
      <c r="AE64" s="1"/>
      <c r="AF64" s="1"/>
    </row>
    <row r="65" spans="1:32" s="5" customFormat="1" ht="20.100000000000001" customHeight="1">
      <c r="A65" s="1">
        <v>64</v>
      </c>
      <c r="B65" s="1">
        <f t="shared" si="9"/>
        <v>66</v>
      </c>
      <c r="C65" s="1">
        <f t="shared" si="9"/>
        <v>66</v>
      </c>
      <c r="D65" s="1">
        <f>$B65*总表!D$4</f>
        <v>69300</v>
      </c>
      <c r="E65" s="1">
        <f>$C65*总表!E$4</f>
        <v>6600</v>
      </c>
      <c r="F65" s="1">
        <f>$C65*总表!F$4</f>
        <v>1980</v>
      </c>
      <c r="G65" s="1">
        <f>$C65*总表!G$4</f>
        <v>1980</v>
      </c>
      <c r="S65" s="1">
        <v>1</v>
      </c>
      <c r="T65" s="1">
        <v>42</v>
      </c>
      <c r="U65" s="1">
        <v>1</v>
      </c>
      <c r="V65" s="1">
        <v>1</v>
      </c>
      <c r="X65" s="1">
        <f t="shared" si="5"/>
        <v>46200</v>
      </c>
      <c r="Y65" s="1">
        <f t="shared" si="6"/>
        <v>4400</v>
      </c>
      <c r="Z65" s="1">
        <f t="shared" si="7"/>
        <v>1320</v>
      </c>
      <c r="AA65" s="1">
        <f t="shared" si="8"/>
        <v>1320</v>
      </c>
      <c r="AC65" s="1"/>
      <c r="AD65" s="1"/>
      <c r="AE65" s="1"/>
      <c r="AF65" s="1"/>
    </row>
    <row r="66" spans="1:32" s="5" customFormat="1" ht="20.100000000000001" customHeight="1">
      <c r="A66" s="1">
        <v>65</v>
      </c>
      <c r="B66" s="1">
        <f>B65+1.5</f>
        <v>67.5</v>
      </c>
      <c r="C66" s="1">
        <f>C65+1.5</f>
        <v>67.5</v>
      </c>
      <c r="D66" s="1">
        <f>$B66*总表!D$4</f>
        <v>70875</v>
      </c>
      <c r="E66" s="1">
        <f>$C66*总表!E$4</f>
        <v>6750</v>
      </c>
      <c r="F66" s="1">
        <f>$C66*总表!F$4</f>
        <v>2025</v>
      </c>
      <c r="G66" s="1">
        <f>$C66*总表!G$4</f>
        <v>2025</v>
      </c>
      <c r="S66" s="1">
        <v>3</v>
      </c>
      <c r="T66" s="1">
        <v>42</v>
      </c>
      <c r="U66" s="1">
        <v>2.5</v>
      </c>
      <c r="V66" s="1">
        <v>1.3</v>
      </c>
      <c r="X66" s="1">
        <f t="shared" si="5"/>
        <v>115500</v>
      </c>
      <c r="Y66" s="1">
        <f t="shared" si="6"/>
        <v>5720</v>
      </c>
      <c r="Z66" s="1">
        <f t="shared" si="7"/>
        <v>1320</v>
      </c>
      <c r="AA66" s="1">
        <f t="shared" si="8"/>
        <v>1320</v>
      </c>
      <c r="AC66" s="1"/>
      <c r="AD66" s="1"/>
      <c r="AE66" s="1"/>
      <c r="AF66" s="1"/>
    </row>
    <row r="67" spans="1:32" s="5" customFormat="1" ht="20.100000000000001" customHeight="1">
      <c r="A67" s="1">
        <v>66</v>
      </c>
      <c r="B67" s="1">
        <f t="shared" ref="B67:B75" si="21">B66+1.5</f>
        <v>69</v>
      </c>
      <c r="C67" s="1">
        <f t="shared" ref="C67:C75" si="22">C66+1.5</f>
        <v>69</v>
      </c>
      <c r="D67" s="1">
        <f>$B67*总表!D$4</f>
        <v>72450</v>
      </c>
      <c r="E67" s="1">
        <f>$C67*总表!E$4</f>
        <v>6900</v>
      </c>
      <c r="F67" s="1">
        <f>$C67*总表!F$4</f>
        <v>2070</v>
      </c>
      <c r="G67" s="1">
        <f>$C67*总表!G$4</f>
        <v>2070</v>
      </c>
      <c r="S67" s="1">
        <v>1</v>
      </c>
      <c r="T67" s="1">
        <v>43</v>
      </c>
      <c r="U67" s="1">
        <v>1</v>
      </c>
      <c r="V67" s="1">
        <v>1</v>
      </c>
      <c r="X67" s="1">
        <f t="shared" ref="X67:X102" si="23">ROUND(LOOKUP($T67,$A:$A,D:D)*U67,0)</f>
        <v>47250</v>
      </c>
      <c r="Y67" s="1">
        <f t="shared" ref="Y67:Y102" si="24">ROUND(LOOKUP($T67,$A:$A,E:E)*V67,0)</f>
        <v>4500</v>
      </c>
      <c r="Z67" s="1">
        <f t="shared" ref="Z67:Z102" si="25">ROUND(LOOKUP($T67,$A:$A,F:F),0)</f>
        <v>1350</v>
      </c>
      <c r="AA67" s="1">
        <f t="shared" ref="AA67:AA102" si="26">ROUND(LOOKUP($T67,$A:$A,G:G),0)</f>
        <v>1350</v>
      </c>
      <c r="AC67" s="1"/>
      <c r="AD67" s="1"/>
      <c r="AE67" s="1"/>
      <c r="AF67" s="1"/>
    </row>
    <row r="68" spans="1:32" s="5" customFormat="1" ht="20.100000000000001" customHeight="1">
      <c r="A68" s="1">
        <v>67</v>
      </c>
      <c r="B68" s="1">
        <f t="shared" si="21"/>
        <v>70.5</v>
      </c>
      <c r="C68" s="1">
        <f t="shared" si="22"/>
        <v>70.5</v>
      </c>
      <c r="D68" s="1">
        <f>$B68*总表!D$4</f>
        <v>74025</v>
      </c>
      <c r="E68" s="1">
        <f>$C68*总表!E$4</f>
        <v>7050</v>
      </c>
      <c r="F68" s="1">
        <f>$C68*总表!F$4</f>
        <v>2115</v>
      </c>
      <c r="G68" s="1">
        <f>$C68*总表!G$4</f>
        <v>2115</v>
      </c>
      <c r="S68" s="1">
        <v>1</v>
      </c>
      <c r="T68" s="1">
        <v>43</v>
      </c>
      <c r="U68" s="1">
        <v>1</v>
      </c>
      <c r="V68" s="1">
        <v>1</v>
      </c>
      <c r="X68" s="1">
        <f t="shared" si="23"/>
        <v>47250</v>
      </c>
      <c r="Y68" s="1">
        <f t="shared" si="24"/>
        <v>4500</v>
      </c>
      <c r="Z68" s="1">
        <f t="shared" si="25"/>
        <v>1350</v>
      </c>
      <c r="AA68" s="1">
        <f t="shared" si="26"/>
        <v>1350</v>
      </c>
      <c r="AC68" s="1"/>
      <c r="AD68" s="1"/>
      <c r="AE68" s="1"/>
      <c r="AF68" s="1"/>
    </row>
    <row r="69" spans="1:32" s="5" customFormat="1" ht="20.100000000000001" customHeight="1">
      <c r="A69" s="1">
        <v>68</v>
      </c>
      <c r="B69" s="1">
        <f t="shared" si="21"/>
        <v>72</v>
      </c>
      <c r="C69" s="1">
        <f t="shared" si="22"/>
        <v>72</v>
      </c>
      <c r="D69" s="1">
        <f>$B69*总表!D$4</f>
        <v>75600</v>
      </c>
      <c r="E69" s="1">
        <f>$C69*总表!E$4</f>
        <v>7200</v>
      </c>
      <c r="F69" s="1">
        <f>$C69*总表!F$4</f>
        <v>2160</v>
      </c>
      <c r="G69" s="1">
        <f>$C69*总表!G$4</f>
        <v>2160</v>
      </c>
      <c r="S69" s="1">
        <v>3</v>
      </c>
      <c r="T69" s="1">
        <v>43</v>
      </c>
      <c r="U69" s="1">
        <v>2.5</v>
      </c>
      <c r="V69" s="1">
        <v>1.3</v>
      </c>
      <c r="X69" s="1">
        <f t="shared" si="23"/>
        <v>118125</v>
      </c>
      <c r="Y69" s="1">
        <f t="shared" si="24"/>
        <v>5850</v>
      </c>
      <c r="Z69" s="1">
        <f t="shared" si="25"/>
        <v>1350</v>
      </c>
      <c r="AA69" s="1">
        <f t="shared" si="26"/>
        <v>1350</v>
      </c>
      <c r="AC69" s="1"/>
      <c r="AD69" s="1"/>
      <c r="AE69" s="1"/>
      <c r="AF69" s="1"/>
    </row>
    <row r="70" spans="1:32" s="5" customFormat="1" ht="20.100000000000001" customHeight="1">
      <c r="A70" s="1">
        <v>69</v>
      </c>
      <c r="B70" s="1">
        <f t="shared" si="21"/>
        <v>73.5</v>
      </c>
      <c r="C70" s="1">
        <f t="shared" si="22"/>
        <v>73.5</v>
      </c>
      <c r="D70" s="1">
        <f>$B70*总表!D$4</f>
        <v>77175</v>
      </c>
      <c r="E70" s="1">
        <f>$C70*总表!E$4</f>
        <v>7350</v>
      </c>
      <c r="F70" s="1">
        <f>$C70*总表!F$4</f>
        <v>2205</v>
      </c>
      <c r="G70" s="1">
        <f>$C70*总表!G$4</f>
        <v>2205</v>
      </c>
      <c r="S70" s="1">
        <v>1</v>
      </c>
      <c r="T70" s="1">
        <v>45</v>
      </c>
      <c r="U70" s="1">
        <v>1</v>
      </c>
      <c r="V70" s="1">
        <v>1</v>
      </c>
      <c r="X70" s="1">
        <f t="shared" si="23"/>
        <v>49350</v>
      </c>
      <c r="Y70" s="1">
        <f t="shared" si="24"/>
        <v>4700</v>
      </c>
      <c r="Z70" s="1">
        <f t="shared" si="25"/>
        <v>1410</v>
      </c>
      <c r="AA70" s="1">
        <f t="shared" si="26"/>
        <v>1410</v>
      </c>
      <c r="AC70" s="1"/>
      <c r="AD70" s="1"/>
      <c r="AE70" s="1"/>
      <c r="AF70" s="1"/>
    </row>
    <row r="71" spans="1:32" s="5" customFormat="1" ht="20.100000000000001" customHeight="1">
      <c r="A71" s="1">
        <v>70</v>
      </c>
      <c r="B71" s="1">
        <f t="shared" si="21"/>
        <v>75</v>
      </c>
      <c r="C71" s="1">
        <f t="shared" si="22"/>
        <v>75</v>
      </c>
      <c r="D71" s="1">
        <f>$B71*总表!D$4</f>
        <v>78750</v>
      </c>
      <c r="E71" s="1">
        <f>$C71*总表!E$4</f>
        <v>7500</v>
      </c>
      <c r="F71" s="1">
        <f>$C71*总表!F$4</f>
        <v>2250</v>
      </c>
      <c r="G71" s="1">
        <f>$C71*总表!G$4</f>
        <v>2250</v>
      </c>
      <c r="S71" s="1">
        <v>1</v>
      </c>
      <c r="T71" s="1">
        <v>45</v>
      </c>
      <c r="U71" s="1">
        <v>1</v>
      </c>
      <c r="V71" s="1">
        <v>1</v>
      </c>
      <c r="X71" s="1">
        <f t="shared" si="23"/>
        <v>49350</v>
      </c>
      <c r="Y71" s="1">
        <f t="shared" si="24"/>
        <v>4700</v>
      </c>
      <c r="Z71" s="1">
        <f t="shared" si="25"/>
        <v>1410</v>
      </c>
      <c r="AA71" s="1">
        <f t="shared" si="26"/>
        <v>1410</v>
      </c>
      <c r="AC71" s="1"/>
      <c r="AD71" s="1"/>
      <c r="AE71" s="1"/>
      <c r="AF71" s="1"/>
    </row>
    <row r="72" spans="1:32" s="5" customFormat="1" ht="20.100000000000001" customHeight="1">
      <c r="A72" s="1">
        <v>71</v>
      </c>
      <c r="B72" s="1">
        <f t="shared" si="21"/>
        <v>76.5</v>
      </c>
      <c r="C72" s="1">
        <f t="shared" si="22"/>
        <v>76.5</v>
      </c>
      <c r="D72" s="1">
        <f>$B72*总表!D$4</f>
        <v>80325</v>
      </c>
      <c r="E72" s="1">
        <f>$C72*总表!E$4</f>
        <v>7650</v>
      </c>
      <c r="F72" s="1">
        <f>$C72*总表!F$4</f>
        <v>2295</v>
      </c>
      <c r="G72" s="1">
        <f>$C72*总表!G$4</f>
        <v>2295</v>
      </c>
      <c r="S72" s="1">
        <v>3</v>
      </c>
      <c r="T72" s="1">
        <v>45</v>
      </c>
      <c r="U72" s="1">
        <v>2.5</v>
      </c>
      <c r="V72" s="1">
        <v>1.3</v>
      </c>
      <c r="X72" s="1">
        <f t="shared" si="23"/>
        <v>123375</v>
      </c>
      <c r="Y72" s="1">
        <f t="shared" si="24"/>
        <v>6110</v>
      </c>
      <c r="Z72" s="1">
        <f t="shared" si="25"/>
        <v>1410</v>
      </c>
      <c r="AA72" s="1">
        <f t="shared" si="26"/>
        <v>1410</v>
      </c>
      <c r="AC72" s="1"/>
      <c r="AD72" s="1"/>
      <c r="AE72" s="1"/>
      <c r="AF72" s="1"/>
    </row>
    <row r="73" spans="1:32" s="5" customFormat="1" ht="20.100000000000001" customHeight="1">
      <c r="A73" s="1">
        <v>72</v>
      </c>
      <c r="B73" s="1">
        <f t="shared" si="21"/>
        <v>78</v>
      </c>
      <c r="C73" s="1">
        <f t="shared" si="22"/>
        <v>78</v>
      </c>
      <c r="D73" s="1">
        <f>$B73*总表!D$4</f>
        <v>81900</v>
      </c>
      <c r="E73" s="1">
        <f>$C73*总表!E$4</f>
        <v>7800</v>
      </c>
      <c r="F73" s="1">
        <f>$C73*总表!F$4</f>
        <v>2340</v>
      </c>
      <c r="G73" s="1">
        <f>$C73*总表!G$4</f>
        <v>2340</v>
      </c>
      <c r="S73" s="1">
        <v>1</v>
      </c>
      <c r="T73" s="1">
        <v>47</v>
      </c>
      <c r="U73" s="1">
        <v>1</v>
      </c>
      <c r="V73" s="1">
        <v>1</v>
      </c>
      <c r="X73" s="1">
        <f t="shared" si="23"/>
        <v>51450</v>
      </c>
      <c r="Y73" s="1">
        <f t="shared" si="24"/>
        <v>4900</v>
      </c>
      <c r="Z73" s="1">
        <f t="shared" si="25"/>
        <v>1470</v>
      </c>
      <c r="AA73" s="1">
        <f t="shared" si="26"/>
        <v>1470</v>
      </c>
      <c r="AC73" s="1"/>
      <c r="AD73" s="1"/>
      <c r="AE73" s="1"/>
      <c r="AF73" s="1"/>
    </row>
    <row r="74" spans="1:32" s="5" customFormat="1" ht="20.100000000000001" customHeight="1">
      <c r="A74" s="1">
        <v>73</v>
      </c>
      <c r="B74" s="1">
        <f t="shared" si="21"/>
        <v>79.5</v>
      </c>
      <c r="C74" s="1">
        <f t="shared" si="22"/>
        <v>79.5</v>
      </c>
      <c r="D74" s="1">
        <f>$B74*总表!D$4</f>
        <v>83475</v>
      </c>
      <c r="E74" s="1">
        <f>$C74*总表!E$4</f>
        <v>7950</v>
      </c>
      <c r="F74" s="1">
        <f>$C74*总表!F$4</f>
        <v>2385</v>
      </c>
      <c r="G74" s="1">
        <f>$C74*总表!G$4</f>
        <v>2385</v>
      </c>
      <c r="S74" s="1">
        <v>1</v>
      </c>
      <c r="T74" s="1">
        <v>47</v>
      </c>
      <c r="U74" s="1">
        <v>1</v>
      </c>
      <c r="V74" s="1">
        <v>1</v>
      </c>
      <c r="X74" s="1">
        <f t="shared" si="23"/>
        <v>51450</v>
      </c>
      <c r="Y74" s="1">
        <f t="shared" si="24"/>
        <v>4900</v>
      </c>
      <c r="Z74" s="1">
        <f t="shared" si="25"/>
        <v>1470</v>
      </c>
      <c r="AA74" s="1">
        <f t="shared" si="26"/>
        <v>1470</v>
      </c>
      <c r="AC74" s="1"/>
      <c r="AD74" s="1"/>
      <c r="AE74" s="1"/>
      <c r="AF74" s="1"/>
    </row>
    <row r="75" spans="1:32" s="5" customFormat="1" ht="20.100000000000001" customHeight="1">
      <c r="A75" s="1">
        <v>74</v>
      </c>
      <c r="B75" s="1">
        <f t="shared" si="21"/>
        <v>81</v>
      </c>
      <c r="C75" s="1">
        <f t="shared" si="22"/>
        <v>81</v>
      </c>
      <c r="D75" s="1">
        <f>$B75*总表!D$4</f>
        <v>85050</v>
      </c>
      <c r="E75" s="1">
        <f>$C75*总表!E$4</f>
        <v>8100</v>
      </c>
      <c r="F75" s="1">
        <f>$C75*总表!F$4</f>
        <v>2430</v>
      </c>
      <c r="G75" s="1">
        <f>$C75*总表!G$4</f>
        <v>2430</v>
      </c>
      <c r="S75" s="1">
        <v>3</v>
      </c>
      <c r="T75" s="1">
        <v>47</v>
      </c>
      <c r="U75" s="1">
        <v>2.5</v>
      </c>
      <c r="V75" s="1">
        <v>1.3</v>
      </c>
      <c r="X75" s="1">
        <f t="shared" si="23"/>
        <v>128625</v>
      </c>
      <c r="Y75" s="1">
        <f t="shared" si="24"/>
        <v>6370</v>
      </c>
      <c r="Z75" s="1">
        <f t="shared" si="25"/>
        <v>1470</v>
      </c>
      <c r="AA75" s="1">
        <f t="shared" si="26"/>
        <v>1470</v>
      </c>
      <c r="AC75" s="1"/>
      <c r="AD75" s="1"/>
      <c r="AE75" s="1"/>
      <c r="AF75" s="1"/>
    </row>
    <row r="76" spans="1:32" s="5" customFormat="1" ht="20.100000000000001" customHeight="1">
      <c r="A76" s="1">
        <v>75</v>
      </c>
      <c r="B76" s="1">
        <f>B75+2</f>
        <v>83</v>
      </c>
      <c r="C76" s="1">
        <f>C75+2</f>
        <v>83</v>
      </c>
      <c r="D76" s="1">
        <f>$B76*总表!D$4</f>
        <v>87150</v>
      </c>
      <c r="E76" s="1">
        <f>$C76*总表!E$4</f>
        <v>8300</v>
      </c>
      <c r="F76" s="1">
        <f>$C76*总表!F$4</f>
        <v>2490</v>
      </c>
      <c r="G76" s="1">
        <f>$C76*总表!G$4</f>
        <v>2490</v>
      </c>
      <c r="S76" s="1">
        <v>1</v>
      </c>
      <c r="T76" s="1">
        <v>49</v>
      </c>
      <c r="U76" s="1">
        <v>1</v>
      </c>
      <c r="V76" s="1">
        <v>1</v>
      </c>
      <c r="X76" s="1">
        <f t="shared" si="23"/>
        <v>53550</v>
      </c>
      <c r="Y76" s="1">
        <f t="shared" si="24"/>
        <v>5100</v>
      </c>
      <c r="Z76" s="1">
        <f t="shared" si="25"/>
        <v>1530</v>
      </c>
      <c r="AA76" s="1">
        <f t="shared" si="26"/>
        <v>1530</v>
      </c>
      <c r="AC76" s="1"/>
      <c r="AD76" s="1"/>
      <c r="AE76" s="1"/>
      <c r="AF76" s="1"/>
    </row>
    <row r="77" spans="1:32" s="5" customFormat="1" ht="20.100000000000001" customHeight="1">
      <c r="A77" s="1">
        <v>76</v>
      </c>
      <c r="B77" s="1">
        <f t="shared" ref="B77:B91" si="27">B76+2</f>
        <v>85</v>
      </c>
      <c r="C77" s="1">
        <f t="shared" ref="C77:C91" si="28">C76+2</f>
        <v>85</v>
      </c>
      <c r="D77" s="1">
        <f>$B77*总表!D$4</f>
        <v>89250</v>
      </c>
      <c r="E77" s="1">
        <f>$C77*总表!E$4</f>
        <v>8500</v>
      </c>
      <c r="F77" s="1">
        <f>$C77*总表!F$4</f>
        <v>2550</v>
      </c>
      <c r="G77" s="1">
        <f>$C77*总表!G$4</f>
        <v>2550</v>
      </c>
      <c r="S77" s="1">
        <v>1</v>
      </c>
      <c r="T77" s="1">
        <v>49</v>
      </c>
      <c r="U77" s="1">
        <v>1</v>
      </c>
      <c r="V77" s="1">
        <v>1</v>
      </c>
      <c r="X77" s="1">
        <f t="shared" si="23"/>
        <v>53550</v>
      </c>
      <c r="Y77" s="1">
        <f t="shared" si="24"/>
        <v>5100</v>
      </c>
      <c r="Z77" s="1">
        <f t="shared" si="25"/>
        <v>1530</v>
      </c>
      <c r="AA77" s="1">
        <f t="shared" si="26"/>
        <v>1530</v>
      </c>
      <c r="AC77" s="1"/>
      <c r="AD77" s="1"/>
      <c r="AE77" s="1"/>
      <c r="AF77" s="1"/>
    </row>
    <row r="78" spans="1:32" s="5" customFormat="1" ht="20.100000000000001" customHeight="1">
      <c r="A78" s="1">
        <v>77</v>
      </c>
      <c r="B78" s="1">
        <f t="shared" si="27"/>
        <v>87</v>
      </c>
      <c r="C78" s="1">
        <f t="shared" si="28"/>
        <v>87</v>
      </c>
      <c r="D78" s="1">
        <f>$B78*总表!D$4</f>
        <v>91350</v>
      </c>
      <c r="E78" s="1">
        <f>$C78*总表!E$4</f>
        <v>8700</v>
      </c>
      <c r="F78" s="1">
        <f>$C78*总表!F$4</f>
        <v>2610</v>
      </c>
      <c r="G78" s="1">
        <f>$C78*总表!G$4</f>
        <v>2610</v>
      </c>
      <c r="S78" s="1">
        <v>3</v>
      </c>
      <c r="T78" s="1">
        <v>49</v>
      </c>
      <c r="U78" s="1">
        <v>2.5</v>
      </c>
      <c r="V78" s="1">
        <v>1.3</v>
      </c>
      <c r="X78" s="1">
        <f t="shared" si="23"/>
        <v>133875</v>
      </c>
      <c r="Y78" s="1">
        <f t="shared" si="24"/>
        <v>6630</v>
      </c>
      <c r="Z78" s="1">
        <f t="shared" si="25"/>
        <v>1530</v>
      </c>
      <c r="AA78" s="1">
        <f t="shared" si="26"/>
        <v>1530</v>
      </c>
      <c r="AC78" s="1"/>
      <c r="AD78" s="1"/>
      <c r="AE78" s="1"/>
      <c r="AF78" s="1"/>
    </row>
    <row r="79" spans="1:32" s="5" customFormat="1" ht="20.100000000000001" customHeight="1">
      <c r="A79" s="1">
        <v>78</v>
      </c>
      <c r="B79" s="1">
        <f t="shared" si="27"/>
        <v>89</v>
      </c>
      <c r="C79" s="1">
        <f t="shared" si="28"/>
        <v>89</v>
      </c>
      <c r="D79" s="1">
        <f>$B79*总表!D$4</f>
        <v>93450</v>
      </c>
      <c r="E79" s="1">
        <f>$C79*总表!E$4</f>
        <v>8900</v>
      </c>
      <c r="F79" s="1">
        <f>$C79*总表!F$4</f>
        <v>2670</v>
      </c>
      <c r="G79" s="1">
        <f>$C79*总表!G$4</f>
        <v>2670</v>
      </c>
      <c r="S79" s="1">
        <v>1</v>
      </c>
      <c r="T79" s="1">
        <v>50</v>
      </c>
      <c r="U79" s="1">
        <v>1</v>
      </c>
      <c r="V79" s="1">
        <v>1</v>
      </c>
      <c r="X79" s="1">
        <f t="shared" si="23"/>
        <v>54600</v>
      </c>
      <c r="Y79" s="1">
        <f t="shared" si="24"/>
        <v>5200</v>
      </c>
      <c r="Z79" s="1">
        <f t="shared" si="25"/>
        <v>1560</v>
      </c>
      <c r="AA79" s="1">
        <f t="shared" si="26"/>
        <v>1560</v>
      </c>
      <c r="AC79" s="1"/>
      <c r="AD79" s="1"/>
      <c r="AE79" s="1"/>
      <c r="AF79" s="1"/>
    </row>
    <row r="80" spans="1:32" s="5" customFormat="1" ht="20.100000000000001" customHeight="1">
      <c r="A80" s="1">
        <v>79</v>
      </c>
      <c r="B80" s="1">
        <f t="shared" si="27"/>
        <v>91</v>
      </c>
      <c r="C80" s="1">
        <f t="shared" si="28"/>
        <v>91</v>
      </c>
      <c r="D80" s="1">
        <f>$B80*总表!D$4</f>
        <v>95550</v>
      </c>
      <c r="E80" s="1">
        <f>$C80*总表!E$4</f>
        <v>9100</v>
      </c>
      <c r="F80" s="1">
        <f>$C80*总表!F$4</f>
        <v>2730</v>
      </c>
      <c r="G80" s="1">
        <f>$C80*总表!G$4</f>
        <v>2730</v>
      </c>
      <c r="S80" s="1">
        <v>1</v>
      </c>
      <c r="T80" s="1">
        <v>50</v>
      </c>
      <c r="U80" s="1">
        <v>1</v>
      </c>
      <c r="V80" s="1">
        <v>1</v>
      </c>
      <c r="X80" s="1">
        <f t="shared" si="23"/>
        <v>54600</v>
      </c>
      <c r="Y80" s="1">
        <f t="shared" si="24"/>
        <v>5200</v>
      </c>
      <c r="Z80" s="1">
        <f t="shared" si="25"/>
        <v>1560</v>
      </c>
      <c r="AA80" s="1">
        <f t="shared" si="26"/>
        <v>1560</v>
      </c>
      <c r="AC80" s="1"/>
      <c r="AD80" s="1"/>
      <c r="AE80" s="1"/>
      <c r="AF80" s="1"/>
    </row>
    <row r="81" spans="1:32" s="5" customFormat="1" ht="20.100000000000001" customHeight="1">
      <c r="A81" s="1">
        <v>80</v>
      </c>
      <c r="B81" s="1">
        <f t="shared" si="27"/>
        <v>93</v>
      </c>
      <c r="C81" s="1">
        <f t="shared" si="28"/>
        <v>93</v>
      </c>
      <c r="D81" s="1">
        <f>$B81*总表!D$4</f>
        <v>97650</v>
      </c>
      <c r="E81" s="1">
        <f>$C81*总表!E$4</f>
        <v>9300</v>
      </c>
      <c r="F81" s="1">
        <f>$C81*总表!F$4</f>
        <v>2790</v>
      </c>
      <c r="G81" s="1">
        <f>$C81*总表!G$4</f>
        <v>2790</v>
      </c>
      <c r="S81" s="1">
        <v>3</v>
      </c>
      <c r="T81" s="1">
        <v>50</v>
      </c>
      <c r="U81" s="1">
        <v>2.5</v>
      </c>
      <c r="V81" s="1">
        <v>1.3</v>
      </c>
      <c r="X81" s="1">
        <f t="shared" si="23"/>
        <v>136500</v>
      </c>
      <c r="Y81" s="1">
        <f t="shared" si="24"/>
        <v>6760</v>
      </c>
      <c r="Z81" s="1">
        <f t="shared" si="25"/>
        <v>1560</v>
      </c>
      <c r="AA81" s="1">
        <f t="shared" si="26"/>
        <v>1560</v>
      </c>
      <c r="AC81" s="1"/>
      <c r="AD81" s="1"/>
      <c r="AE81" s="1"/>
      <c r="AF81" s="1"/>
    </row>
    <row r="82" spans="1:32" s="5" customFormat="1" ht="20.100000000000001" customHeight="1">
      <c r="A82" s="1">
        <v>81</v>
      </c>
      <c r="B82" s="1">
        <f t="shared" si="27"/>
        <v>95</v>
      </c>
      <c r="C82" s="1">
        <f t="shared" si="28"/>
        <v>95</v>
      </c>
      <c r="D82" s="1">
        <f>$B82*总表!D$4</f>
        <v>99750</v>
      </c>
      <c r="E82" s="1">
        <f>$C82*总表!E$4</f>
        <v>9500</v>
      </c>
      <c r="F82" s="1">
        <f>$C82*总表!F$4</f>
        <v>2850</v>
      </c>
      <c r="G82" s="1">
        <f>$C82*总表!G$4</f>
        <v>2850</v>
      </c>
      <c r="S82" s="1">
        <v>1</v>
      </c>
      <c r="T82" s="1">
        <v>51</v>
      </c>
      <c r="U82" s="1">
        <v>1</v>
      </c>
      <c r="V82" s="1">
        <v>1</v>
      </c>
      <c r="X82" s="1">
        <f t="shared" si="23"/>
        <v>55650</v>
      </c>
      <c r="Y82" s="1">
        <f t="shared" si="24"/>
        <v>5300</v>
      </c>
      <c r="Z82" s="1">
        <f t="shared" si="25"/>
        <v>1590</v>
      </c>
      <c r="AA82" s="1">
        <f t="shared" si="26"/>
        <v>1590</v>
      </c>
      <c r="AC82" s="1"/>
      <c r="AD82" s="1"/>
      <c r="AE82" s="1"/>
      <c r="AF82" s="1"/>
    </row>
    <row r="83" spans="1:32" s="5" customFormat="1" ht="20.100000000000001" customHeight="1">
      <c r="A83" s="1">
        <v>82</v>
      </c>
      <c r="B83" s="1">
        <f t="shared" si="27"/>
        <v>97</v>
      </c>
      <c r="C83" s="1">
        <f t="shared" si="28"/>
        <v>97</v>
      </c>
      <c r="D83" s="1">
        <f>$B83*总表!D$4</f>
        <v>101850</v>
      </c>
      <c r="E83" s="1">
        <f>$C83*总表!E$4</f>
        <v>9700</v>
      </c>
      <c r="F83" s="1">
        <f>$C83*总表!F$4</f>
        <v>2910</v>
      </c>
      <c r="G83" s="1">
        <f>$C83*总表!G$4</f>
        <v>2910</v>
      </c>
      <c r="S83" s="1">
        <v>1</v>
      </c>
      <c r="T83" s="1">
        <v>51</v>
      </c>
      <c r="U83" s="1">
        <v>1</v>
      </c>
      <c r="V83" s="1">
        <v>1</v>
      </c>
      <c r="X83" s="1">
        <f t="shared" si="23"/>
        <v>55650</v>
      </c>
      <c r="Y83" s="1">
        <f t="shared" si="24"/>
        <v>5300</v>
      </c>
      <c r="Z83" s="1">
        <f t="shared" si="25"/>
        <v>1590</v>
      </c>
      <c r="AA83" s="1">
        <f t="shared" si="26"/>
        <v>1590</v>
      </c>
      <c r="AC83" s="1"/>
      <c r="AD83" s="1"/>
      <c r="AE83" s="1"/>
      <c r="AF83" s="1"/>
    </row>
    <row r="84" spans="1:32" s="5" customFormat="1" ht="20.100000000000001" customHeight="1">
      <c r="A84" s="1">
        <v>83</v>
      </c>
      <c r="B84" s="1">
        <f t="shared" si="27"/>
        <v>99</v>
      </c>
      <c r="C84" s="1">
        <f t="shared" si="28"/>
        <v>99</v>
      </c>
      <c r="D84" s="1">
        <f>$B84*总表!D$4</f>
        <v>103950</v>
      </c>
      <c r="E84" s="1">
        <f>$C84*总表!E$4</f>
        <v>9900</v>
      </c>
      <c r="F84" s="1">
        <f>$C84*总表!F$4</f>
        <v>2970</v>
      </c>
      <c r="G84" s="1">
        <f>$C84*总表!G$4</f>
        <v>2970</v>
      </c>
      <c r="S84" s="1">
        <v>3</v>
      </c>
      <c r="T84" s="1">
        <v>51</v>
      </c>
      <c r="U84" s="1">
        <v>2.5</v>
      </c>
      <c r="V84" s="1">
        <v>1.3</v>
      </c>
      <c r="X84" s="1">
        <f t="shared" si="23"/>
        <v>139125</v>
      </c>
      <c r="Y84" s="1">
        <f t="shared" si="24"/>
        <v>6890</v>
      </c>
      <c r="Z84" s="1">
        <f t="shared" si="25"/>
        <v>1590</v>
      </c>
      <c r="AA84" s="1">
        <f t="shared" si="26"/>
        <v>1590</v>
      </c>
      <c r="AC84" s="1"/>
      <c r="AD84" s="1"/>
      <c r="AE84" s="1"/>
      <c r="AF84" s="1"/>
    </row>
    <row r="85" spans="1:32" s="5" customFormat="1" ht="20.100000000000001" customHeight="1">
      <c r="A85" s="1">
        <v>84</v>
      </c>
      <c r="B85" s="1">
        <f t="shared" si="27"/>
        <v>101</v>
      </c>
      <c r="C85" s="1">
        <f t="shared" si="28"/>
        <v>101</v>
      </c>
      <c r="D85" s="1">
        <f>$B85*总表!D$4</f>
        <v>106050</v>
      </c>
      <c r="E85" s="1">
        <f>$C85*总表!E$4</f>
        <v>10100</v>
      </c>
      <c r="F85" s="1">
        <f>$C85*总表!F$4</f>
        <v>3030</v>
      </c>
      <c r="G85" s="1">
        <f>$C85*总表!G$4</f>
        <v>3030</v>
      </c>
      <c r="S85" s="1">
        <v>1</v>
      </c>
      <c r="T85" s="1">
        <v>52</v>
      </c>
      <c r="U85" s="1">
        <v>1</v>
      </c>
      <c r="V85" s="1">
        <v>1</v>
      </c>
      <c r="X85" s="1">
        <f t="shared" si="23"/>
        <v>56700</v>
      </c>
      <c r="Y85" s="1">
        <f t="shared" si="24"/>
        <v>5400</v>
      </c>
      <c r="Z85" s="1">
        <f t="shared" si="25"/>
        <v>1620</v>
      </c>
      <c r="AA85" s="1">
        <f t="shared" si="26"/>
        <v>1620</v>
      </c>
      <c r="AC85" s="1"/>
      <c r="AD85" s="1"/>
      <c r="AE85" s="1"/>
      <c r="AF85" s="1"/>
    </row>
    <row r="86" spans="1:32" s="5" customFormat="1" ht="20.100000000000001" customHeight="1">
      <c r="A86" s="1">
        <v>85</v>
      </c>
      <c r="B86" s="1">
        <f t="shared" si="27"/>
        <v>103</v>
      </c>
      <c r="C86" s="1">
        <f t="shared" si="28"/>
        <v>103</v>
      </c>
      <c r="D86" s="1">
        <f>$B86*总表!D$4</f>
        <v>108150</v>
      </c>
      <c r="E86" s="1">
        <f>$C86*总表!E$4</f>
        <v>10300</v>
      </c>
      <c r="F86" s="1">
        <f>$C86*总表!F$4</f>
        <v>3090</v>
      </c>
      <c r="G86" s="1">
        <f>$C86*总表!G$4</f>
        <v>3090</v>
      </c>
      <c r="S86" s="1">
        <v>1</v>
      </c>
      <c r="T86" s="1">
        <v>52</v>
      </c>
      <c r="U86" s="1">
        <v>1</v>
      </c>
      <c r="V86" s="1">
        <v>1</v>
      </c>
      <c r="X86" s="1">
        <f t="shared" si="23"/>
        <v>56700</v>
      </c>
      <c r="Y86" s="1">
        <f t="shared" si="24"/>
        <v>5400</v>
      </c>
      <c r="Z86" s="1">
        <f t="shared" si="25"/>
        <v>1620</v>
      </c>
      <c r="AA86" s="1">
        <f t="shared" si="26"/>
        <v>1620</v>
      </c>
      <c r="AC86" s="1"/>
      <c r="AD86" s="1"/>
      <c r="AE86" s="1"/>
      <c r="AF86" s="1"/>
    </row>
    <row r="87" spans="1:32" s="5" customFormat="1" ht="20.100000000000001" customHeight="1">
      <c r="A87" s="1">
        <v>86</v>
      </c>
      <c r="B87" s="1">
        <f t="shared" si="27"/>
        <v>105</v>
      </c>
      <c r="C87" s="1">
        <f t="shared" si="28"/>
        <v>105</v>
      </c>
      <c r="D87" s="1">
        <f>$B87*总表!D$4</f>
        <v>110250</v>
      </c>
      <c r="E87" s="1">
        <f>$C87*总表!E$4</f>
        <v>10500</v>
      </c>
      <c r="F87" s="1">
        <f>$C87*总表!F$4</f>
        <v>3150</v>
      </c>
      <c r="G87" s="1">
        <f>$C87*总表!G$4</f>
        <v>3150</v>
      </c>
      <c r="S87" s="1">
        <v>3</v>
      </c>
      <c r="T87" s="1">
        <v>52</v>
      </c>
      <c r="U87" s="1">
        <v>2.5</v>
      </c>
      <c r="V87" s="1">
        <v>1.3</v>
      </c>
      <c r="X87" s="1">
        <f t="shared" si="23"/>
        <v>141750</v>
      </c>
      <c r="Y87" s="1">
        <f t="shared" si="24"/>
        <v>7020</v>
      </c>
      <c r="Z87" s="1">
        <f t="shared" si="25"/>
        <v>1620</v>
      </c>
      <c r="AA87" s="1">
        <f t="shared" si="26"/>
        <v>1620</v>
      </c>
      <c r="AC87" s="1"/>
      <c r="AD87" s="1"/>
      <c r="AE87" s="1"/>
      <c r="AF87" s="1"/>
    </row>
    <row r="88" spans="1:32" s="5" customFormat="1" ht="20.100000000000001" customHeight="1">
      <c r="A88" s="1">
        <v>87</v>
      </c>
      <c r="B88" s="1">
        <f t="shared" si="27"/>
        <v>107</v>
      </c>
      <c r="C88" s="1">
        <f t="shared" si="28"/>
        <v>107</v>
      </c>
      <c r="D88" s="1">
        <f>$B88*总表!D$4</f>
        <v>112350</v>
      </c>
      <c r="E88" s="1">
        <f>$C88*总表!E$4</f>
        <v>10700</v>
      </c>
      <c r="F88" s="1">
        <f>$C88*总表!F$4</f>
        <v>3210</v>
      </c>
      <c r="G88" s="1">
        <f>$C88*总表!G$4</f>
        <v>3210</v>
      </c>
      <c r="S88" s="1">
        <v>1</v>
      </c>
      <c r="T88" s="1">
        <v>53</v>
      </c>
      <c r="U88" s="1">
        <v>1</v>
      </c>
      <c r="V88" s="1">
        <v>1</v>
      </c>
      <c r="X88" s="1">
        <f t="shared" si="23"/>
        <v>57750</v>
      </c>
      <c r="Y88" s="1">
        <f t="shared" si="24"/>
        <v>5500</v>
      </c>
      <c r="Z88" s="1">
        <f t="shared" si="25"/>
        <v>1650</v>
      </c>
      <c r="AA88" s="1">
        <f t="shared" si="26"/>
        <v>1650</v>
      </c>
      <c r="AC88" s="1"/>
      <c r="AD88" s="1"/>
      <c r="AE88" s="1"/>
      <c r="AF88" s="1"/>
    </row>
    <row r="89" spans="1:32" s="5" customFormat="1" ht="20.100000000000001" customHeight="1">
      <c r="A89" s="1">
        <v>88</v>
      </c>
      <c r="B89" s="1">
        <f t="shared" si="27"/>
        <v>109</v>
      </c>
      <c r="C89" s="1">
        <f t="shared" si="28"/>
        <v>109</v>
      </c>
      <c r="D89" s="1">
        <f>$B89*总表!D$4</f>
        <v>114450</v>
      </c>
      <c r="E89" s="1">
        <f>$C89*总表!E$4</f>
        <v>10900</v>
      </c>
      <c r="F89" s="1">
        <f>$C89*总表!F$4</f>
        <v>3270</v>
      </c>
      <c r="G89" s="1">
        <f>$C89*总表!G$4</f>
        <v>3270</v>
      </c>
      <c r="S89" s="1">
        <v>1</v>
      </c>
      <c r="T89" s="1">
        <v>53</v>
      </c>
      <c r="U89" s="1">
        <v>1</v>
      </c>
      <c r="V89" s="1">
        <v>1</v>
      </c>
      <c r="X89" s="1">
        <f t="shared" si="23"/>
        <v>57750</v>
      </c>
      <c r="Y89" s="1">
        <f t="shared" si="24"/>
        <v>5500</v>
      </c>
      <c r="Z89" s="1">
        <f t="shared" si="25"/>
        <v>1650</v>
      </c>
      <c r="AA89" s="1">
        <f t="shared" si="26"/>
        <v>1650</v>
      </c>
      <c r="AC89" s="1"/>
      <c r="AD89" s="1"/>
      <c r="AE89" s="1"/>
      <c r="AF89" s="1"/>
    </row>
    <row r="90" spans="1:32" s="5" customFormat="1" ht="20.100000000000001" customHeight="1">
      <c r="A90" s="1">
        <v>89</v>
      </c>
      <c r="B90" s="1">
        <f t="shared" si="27"/>
        <v>111</v>
      </c>
      <c r="C90" s="1">
        <f t="shared" si="28"/>
        <v>111</v>
      </c>
      <c r="D90" s="1">
        <f>$B90*总表!D$4</f>
        <v>116550</v>
      </c>
      <c r="E90" s="1">
        <f>$C90*总表!E$4</f>
        <v>11100</v>
      </c>
      <c r="F90" s="1">
        <f>$C90*总表!F$4</f>
        <v>3330</v>
      </c>
      <c r="G90" s="1">
        <f>$C90*总表!G$4</f>
        <v>3330</v>
      </c>
      <c r="S90" s="1">
        <v>3</v>
      </c>
      <c r="T90" s="1">
        <v>53</v>
      </c>
      <c r="U90" s="1">
        <v>2.5</v>
      </c>
      <c r="V90" s="1">
        <v>1.3</v>
      </c>
      <c r="X90" s="1">
        <f t="shared" si="23"/>
        <v>144375</v>
      </c>
      <c r="Y90" s="1">
        <f t="shared" si="24"/>
        <v>7150</v>
      </c>
      <c r="Z90" s="1">
        <f t="shared" si="25"/>
        <v>1650</v>
      </c>
      <c r="AA90" s="1">
        <f t="shared" si="26"/>
        <v>1650</v>
      </c>
      <c r="AC90" s="1"/>
      <c r="AD90" s="1"/>
      <c r="AE90" s="1"/>
      <c r="AF90" s="1"/>
    </row>
    <row r="91" spans="1:32" s="5" customFormat="1" ht="20.100000000000001" customHeight="1">
      <c r="A91" s="1">
        <v>90</v>
      </c>
      <c r="B91" s="1">
        <f t="shared" si="27"/>
        <v>113</v>
      </c>
      <c r="C91" s="1">
        <f t="shared" si="28"/>
        <v>113</v>
      </c>
      <c r="D91" s="1">
        <f>$B91*总表!D$4</f>
        <v>118650</v>
      </c>
      <c r="E91" s="1">
        <f>$C91*总表!E$4</f>
        <v>11300</v>
      </c>
      <c r="F91" s="1">
        <f>$C91*总表!F$4</f>
        <v>3390</v>
      </c>
      <c r="G91" s="1">
        <f>$C91*总表!G$4</f>
        <v>3390</v>
      </c>
      <c r="S91" s="1">
        <v>1</v>
      </c>
      <c r="T91" s="1">
        <v>55</v>
      </c>
      <c r="U91" s="1">
        <v>1</v>
      </c>
      <c r="V91" s="1">
        <v>1</v>
      </c>
      <c r="X91" s="1">
        <f t="shared" si="23"/>
        <v>59850</v>
      </c>
      <c r="Y91" s="1">
        <f t="shared" si="24"/>
        <v>5700</v>
      </c>
      <c r="Z91" s="1">
        <f t="shared" si="25"/>
        <v>1710</v>
      </c>
      <c r="AA91" s="1">
        <f t="shared" si="26"/>
        <v>1710</v>
      </c>
      <c r="AC91" s="1"/>
      <c r="AD91" s="1"/>
      <c r="AE91" s="1"/>
      <c r="AF91" s="1"/>
    </row>
    <row r="92" spans="1:32" s="5" customFormat="1" ht="20.100000000000001" customHeight="1">
      <c r="A92" s="1"/>
      <c r="B92" s="13"/>
      <c r="C92" s="13"/>
      <c r="D92" s="13"/>
      <c r="E92" s="13"/>
      <c r="F92" s="13"/>
      <c r="G92" s="13"/>
      <c r="S92" s="1">
        <v>1</v>
      </c>
      <c r="T92" s="1">
        <v>55</v>
      </c>
      <c r="U92" s="1">
        <v>1</v>
      </c>
      <c r="V92" s="1">
        <v>1</v>
      </c>
      <c r="X92" s="1">
        <f t="shared" si="23"/>
        <v>59850</v>
      </c>
      <c r="Y92" s="1">
        <f t="shared" si="24"/>
        <v>5700</v>
      </c>
      <c r="Z92" s="1">
        <f t="shared" si="25"/>
        <v>1710</v>
      </c>
      <c r="AA92" s="1">
        <f t="shared" si="26"/>
        <v>1710</v>
      </c>
      <c r="AC92" s="1"/>
      <c r="AD92" s="1"/>
      <c r="AE92" s="1"/>
      <c r="AF92" s="1"/>
    </row>
    <row r="93" spans="1:32" s="5" customFormat="1" ht="20.100000000000001" customHeight="1">
      <c r="A93" s="1"/>
      <c r="B93" s="13"/>
      <c r="C93" s="13"/>
      <c r="D93" s="13"/>
      <c r="E93" s="13"/>
      <c r="F93" s="13"/>
      <c r="G93" s="13"/>
      <c r="S93" s="1">
        <v>3</v>
      </c>
      <c r="T93" s="1">
        <v>55</v>
      </c>
      <c r="U93" s="1">
        <v>2.5</v>
      </c>
      <c r="V93" s="1">
        <v>1.3</v>
      </c>
      <c r="X93" s="1">
        <f t="shared" si="23"/>
        <v>149625</v>
      </c>
      <c r="Y93" s="1">
        <f t="shared" si="24"/>
        <v>7410</v>
      </c>
      <c r="Z93" s="1">
        <f t="shared" si="25"/>
        <v>1710</v>
      </c>
      <c r="AA93" s="1">
        <f t="shared" si="26"/>
        <v>1710</v>
      </c>
      <c r="AC93" s="1"/>
      <c r="AD93" s="1"/>
      <c r="AE93" s="1"/>
      <c r="AF93" s="1"/>
    </row>
    <row r="94" spans="1:32" s="5" customFormat="1" ht="20.100000000000001" customHeight="1">
      <c r="A94" s="1"/>
      <c r="B94" s="13"/>
      <c r="C94" s="13"/>
      <c r="D94" s="13"/>
      <c r="E94" s="13"/>
      <c r="F94" s="13"/>
      <c r="G94" s="13"/>
      <c r="S94" s="1">
        <v>1</v>
      </c>
      <c r="T94" s="1">
        <v>57</v>
      </c>
      <c r="U94" s="1">
        <v>1</v>
      </c>
      <c r="V94" s="1">
        <v>1</v>
      </c>
      <c r="X94" s="1">
        <f t="shared" si="23"/>
        <v>61950</v>
      </c>
      <c r="Y94" s="1">
        <f t="shared" si="24"/>
        <v>5900</v>
      </c>
      <c r="Z94" s="1">
        <f t="shared" si="25"/>
        <v>1770</v>
      </c>
      <c r="AA94" s="1">
        <f t="shared" si="26"/>
        <v>1770</v>
      </c>
      <c r="AC94" s="1"/>
      <c r="AD94" s="1"/>
      <c r="AE94" s="1"/>
      <c r="AF94" s="1"/>
    </row>
    <row r="95" spans="1:32" s="5" customFormat="1" ht="20.100000000000001" customHeight="1">
      <c r="A95" s="1"/>
      <c r="B95" s="13"/>
      <c r="C95" s="13"/>
      <c r="D95" s="13"/>
      <c r="E95" s="13"/>
      <c r="F95" s="13"/>
      <c r="G95" s="13"/>
      <c r="S95" s="1">
        <v>1</v>
      </c>
      <c r="T95" s="1">
        <v>57</v>
      </c>
      <c r="U95" s="1">
        <v>1</v>
      </c>
      <c r="V95" s="1">
        <v>1</v>
      </c>
      <c r="X95" s="1">
        <f t="shared" si="23"/>
        <v>61950</v>
      </c>
      <c r="Y95" s="1">
        <f t="shared" si="24"/>
        <v>5900</v>
      </c>
      <c r="Z95" s="1">
        <f t="shared" si="25"/>
        <v>1770</v>
      </c>
      <c r="AA95" s="1">
        <f t="shared" si="26"/>
        <v>1770</v>
      </c>
      <c r="AC95" s="1"/>
      <c r="AD95" s="1"/>
      <c r="AE95" s="1"/>
      <c r="AF95" s="1"/>
    </row>
    <row r="96" spans="1:32" s="5" customFormat="1" ht="20.100000000000001" customHeight="1">
      <c r="A96" s="1"/>
      <c r="B96" s="13"/>
      <c r="C96" s="13"/>
      <c r="D96" s="13"/>
      <c r="E96" s="13"/>
      <c r="F96" s="13"/>
      <c r="G96" s="13"/>
      <c r="S96" s="1">
        <v>3</v>
      </c>
      <c r="T96" s="1">
        <v>57</v>
      </c>
      <c r="U96" s="1">
        <v>2.5</v>
      </c>
      <c r="V96" s="1">
        <v>1.3</v>
      </c>
      <c r="X96" s="1">
        <f t="shared" si="23"/>
        <v>154875</v>
      </c>
      <c r="Y96" s="1">
        <f t="shared" si="24"/>
        <v>7670</v>
      </c>
      <c r="Z96" s="1">
        <f t="shared" si="25"/>
        <v>1770</v>
      </c>
      <c r="AA96" s="1">
        <f t="shared" si="26"/>
        <v>1770</v>
      </c>
      <c r="AC96" s="1"/>
      <c r="AD96" s="1"/>
      <c r="AE96" s="1"/>
      <c r="AF96" s="1"/>
    </row>
    <row r="97" spans="1:32" s="5" customFormat="1" ht="20.100000000000001" customHeight="1">
      <c r="A97" s="1"/>
      <c r="B97" s="13"/>
      <c r="C97" s="13"/>
      <c r="D97" s="13"/>
      <c r="E97" s="13"/>
      <c r="F97" s="13"/>
      <c r="G97" s="13"/>
      <c r="S97" s="1">
        <v>1</v>
      </c>
      <c r="T97" s="1">
        <v>59</v>
      </c>
      <c r="U97" s="1">
        <v>1</v>
      </c>
      <c r="V97" s="1">
        <v>1</v>
      </c>
      <c r="X97" s="1">
        <f t="shared" si="23"/>
        <v>64050</v>
      </c>
      <c r="Y97" s="1">
        <f t="shared" si="24"/>
        <v>6100</v>
      </c>
      <c r="Z97" s="1">
        <f t="shared" si="25"/>
        <v>1830</v>
      </c>
      <c r="AA97" s="1">
        <f t="shared" si="26"/>
        <v>1830</v>
      </c>
      <c r="AC97" s="1"/>
      <c r="AD97" s="1"/>
      <c r="AE97" s="1"/>
      <c r="AF97" s="1"/>
    </row>
    <row r="98" spans="1:32" s="5" customFormat="1" ht="20.100000000000001" customHeight="1">
      <c r="A98" s="1"/>
      <c r="B98" s="13"/>
      <c r="C98" s="13"/>
      <c r="D98" s="13"/>
      <c r="E98" s="13"/>
      <c r="F98" s="13"/>
      <c r="G98" s="13"/>
      <c r="S98" s="1">
        <v>1</v>
      </c>
      <c r="T98" s="1">
        <v>59</v>
      </c>
      <c r="U98" s="1">
        <v>1</v>
      </c>
      <c r="V98" s="1">
        <v>1</v>
      </c>
      <c r="X98" s="1">
        <f t="shared" si="23"/>
        <v>64050</v>
      </c>
      <c r="Y98" s="1">
        <f t="shared" si="24"/>
        <v>6100</v>
      </c>
      <c r="Z98" s="1">
        <f t="shared" si="25"/>
        <v>1830</v>
      </c>
      <c r="AA98" s="1">
        <f t="shared" si="26"/>
        <v>1830</v>
      </c>
      <c r="AC98" s="1"/>
      <c r="AD98" s="1"/>
      <c r="AE98" s="1"/>
      <c r="AF98" s="1"/>
    </row>
    <row r="99" spans="1:32" s="5" customFormat="1" ht="20.100000000000001" customHeight="1">
      <c r="A99" s="1"/>
      <c r="B99" s="13"/>
      <c r="C99" s="13"/>
      <c r="D99" s="13"/>
      <c r="E99" s="13"/>
      <c r="F99" s="13"/>
      <c r="G99" s="13"/>
      <c r="S99" s="1">
        <v>3</v>
      </c>
      <c r="T99" s="1">
        <v>59</v>
      </c>
      <c r="U99" s="1">
        <v>2.5</v>
      </c>
      <c r="V99" s="1">
        <v>1.3</v>
      </c>
      <c r="X99" s="1">
        <f t="shared" si="23"/>
        <v>160125</v>
      </c>
      <c r="Y99" s="1">
        <f t="shared" si="24"/>
        <v>7930</v>
      </c>
      <c r="Z99" s="1">
        <f t="shared" si="25"/>
        <v>1830</v>
      </c>
      <c r="AA99" s="1">
        <f t="shared" si="26"/>
        <v>1830</v>
      </c>
      <c r="AC99" s="1"/>
      <c r="AD99" s="1"/>
      <c r="AE99" s="1"/>
      <c r="AF99" s="1"/>
    </row>
    <row r="100" spans="1:32" s="5" customFormat="1" ht="20.100000000000001" customHeight="1">
      <c r="A100" s="1"/>
      <c r="B100" s="13"/>
      <c r="C100" s="13"/>
      <c r="D100" s="13"/>
      <c r="E100" s="13"/>
      <c r="F100" s="13"/>
      <c r="G100" s="13"/>
      <c r="S100" s="1">
        <v>1</v>
      </c>
      <c r="T100" s="1">
        <v>60</v>
      </c>
      <c r="U100" s="1">
        <v>1</v>
      </c>
      <c r="V100" s="1">
        <v>1</v>
      </c>
      <c r="X100" s="1">
        <f t="shared" si="23"/>
        <v>65100</v>
      </c>
      <c r="Y100" s="1">
        <f t="shared" si="24"/>
        <v>6200</v>
      </c>
      <c r="Z100" s="1">
        <f t="shared" si="25"/>
        <v>1860</v>
      </c>
      <c r="AA100" s="1">
        <f t="shared" si="26"/>
        <v>1860</v>
      </c>
      <c r="AC100" s="1"/>
      <c r="AD100" s="1"/>
      <c r="AE100" s="1"/>
      <c r="AF100" s="1"/>
    </row>
    <row r="101" spans="1:32" s="5" customFormat="1" ht="20.100000000000001" customHeight="1">
      <c r="A101" s="1"/>
      <c r="B101" s="13"/>
      <c r="C101" s="13"/>
      <c r="D101" s="13"/>
      <c r="E101" s="13"/>
      <c r="F101" s="13"/>
      <c r="G101" s="13"/>
      <c r="S101" s="1">
        <v>1</v>
      </c>
      <c r="T101" s="1">
        <v>60</v>
      </c>
      <c r="U101" s="1">
        <v>1</v>
      </c>
      <c r="V101" s="1">
        <v>1</v>
      </c>
      <c r="X101" s="1">
        <f t="shared" si="23"/>
        <v>65100</v>
      </c>
      <c r="Y101" s="1">
        <f t="shared" si="24"/>
        <v>6200</v>
      </c>
      <c r="Z101" s="1">
        <f t="shared" si="25"/>
        <v>1860</v>
      </c>
      <c r="AA101" s="1">
        <f t="shared" si="26"/>
        <v>1860</v>
      </c>
      <c r="AC101" s="1"/>
      <c r="AD101" s="1"/>
      <c r="AE101" s="1"/>
      <c r="AF101" s="1"/>
    </row>
    <row r="102" spans="1:32" ht="20.100000000000001" customHeight="1">
      <c r="S102" s="1">
        <v>3</v>
      </c>
      <c r="T102" s="1">
        <v>60</v>
      </c>
      <c r="U102" s="1">
        <v>2.5</v>
      </c>
      <c r="V102" s="1">
        <v>1.3</v>
      </c>
      <c r="X102" s="1">
        <f t="shared" si="23"/>
        <v>162750</v>
      </c>
      <c r="Y102" s="1">
        <f t="shared" si="24"/>
        <v>8060</v>
      </c>
      <c r="Z102" s="1">
        <f t="shared" si="25"/>
        <v>1860</v>
      </c>
      <c r="AA102" s="1">
        <f t="shared" si="26"/>
        <v>1860</v>
      </c>
      <c r="AC102" s="13"/>
      <c r="AD102" s="13"/>
      <c r="AE102" s="13"/>
      <c r="AF102" s="13"/>
    </row>
    <row r="103" spans="1:32" ht="20.100000000000001" customHeight="1">
      <c r="S103" s="1">
        <v>1</v>
      </c>
      <c r="T103" s="1">
        <v>61</v>
      </c>
      <c r="U103" s="1">
        <v>1</v>
      </c>
      <c r="V103" s="1">
        <v>1</v>
      </c>
      <c r="X103" s="1">
        <f t="shared" ref="X103:X117" si="29">ROUND(LOOKUP($T103,$A:$A,D:D)*U103,0)</f>
        <v>66150</v>
      </c>
      <c r="Y103" s="1">
        <f t="shared" ref="Y103:Y117" si="30">ROUND(LOOKUP($T103,$A:$A,E:E)*V103,0)</f>
        <v>6300</v>
      </c>
      <c r="Z103" s="1">
        <f t="shared" ref="Z103:Z117" si="31">ROUND(LOOKUP($T103,$A:$A,F:F),0)</f>
        <v>1890</v>
      </c>
      <c r="AA103" s="1">
        <f t="shared" ref="AA103:AA117" si="32">ROUND(LOOKUP($T103,$A:$A,G:G),0)</f>
        <v>1890</v>
      </c>
      <c r="AC103" s="13"/>
      <c r="AD103" s="13"/>
      <c r="AE103" s="13"/>
      <c r="AF103" s="13"/>
    </row>
    <row r="104" spans="1:32" ht="20.100000000000001" customHeight="1">
      <c r="S104" s="1">
        <v>1</v>
      </c>
      <c r="T104" s="1">
        <v>61</v>
      </c>
      <c r="U104" s="1">
        <v>1</v>
      </c>
      <c r="V104" s="1">
        <v>1</v>
      </c>
      <c r="X104" s="1">
        <f t="shared" si="29"/>
        <v>66150</v>
      </c>
      <c r="Y104" s="1">
        <f t="shared" si="30"/>
        <v>6300</v>
      </c>
      <c r="Z104" s="1">
        <f t="shared" si="31"/>
        <v>1890</v>
      </c>
      <c r="AA104" s="1">
        <f t="shared" si="32"/>
        <v>1890</v>
      </c>
      <c r="AC104" s="13"/>
      <c r="AD104" s="13"/>
      <c r="AE104" s="13"/>
      <c r="AF104" s="13"/>
    </row>
    <row r="105" spans="1:32" ht="20.100000000000001" customHeight="1">
      <c r="S105" s="1">
        <v>3</v>
      </c>
      <c r="T105" s="1">
        <v>61</v>
      </c>
      <c r="U105" s="1">
        <v>2.5</v>
      </c>
      <c r="V105" s="1">
        <v>1.3</v>
      </c>
      <c r="X105" s="1">
        <f t="shared" si="29"/>
        <v>165375</v>
      </c>
      <c r="Y105" s="1">
        <f t="shared" si="30"/>
        <v>8190</v>
      </c>
      <c r="Z105" s="1">
        <f t="shared" si="31"/>
        <v>1890</v>
      </c>
      <c r="AA105" s="1">
        <f t="shared" si="32"/>
        <v>1890</v>
      </c>
      <c r="AC105" s="13"/>
      <c r="AD105" s="13"/>
      <c r="AE105" s="13"/>
      <c r="AF105" s="13"/>
    </row>
    <row r="106" spans="1:32" ht="20.100000000000001" customHeight="1">
      <c r="S106" s="1">
        <v>1</v>
      </c>
      <c r="T106" s="1">
        <v>62</v>
      </c>
      <c r="U106" s="1">
        <v>1</v>
      </c>
      <c r="V106" s="1">
        <v>1</v>
      </c>
      <c r="X106" s="1">
        <f t="shared" si="29"/>
        <v>67200</v>
      </c>
      <c r="Y106" s="1">
        <f t="shared" si="30"/>
        <v>6400</v>
      </c>
      <c r="Z106" s="1">
        <f t="shared" si="31"/>
        <v>1920</v>
      </c>
      <c r="AA106" s="1">
        <f t="shared" si="32"/>
        <v>1920</v>
      </c>
      <c r="AC106" s="13"/>
      <c r="AD106" s="13"/>
      <c r="AE106" s="13"/>
      <c r="AF106" s="13"/>
    </row>
    <row r="107" spans="1:32" ht="20.100000000000001" customHeight="1">
      <c r="S107" s="1">
        <v>1</v>
      </c>
      <c r="T107" s="1">
        <v>62</v>
      </c>
      <c r="U107" s="1">
        <v>1</v>
      </c>
      <c r="V107" s="1">
        <v>1</v>
      </c>
      <c r="X107" s="1">
        <f t="shared" si="29"/>
        <v>67200</v>
      </c>
      <c r="Y107" s="1">
        <f t="shared" si="30"/>
        <v>6400</v>
      </c>
      <c r="Z107" s="1">
        <f t="shared" si="31"/>
        <v>1920</v>
      </c>
      <c r="AA107" s="1">
        <f t="shared" si="32"/>
        <v>1920</v>
      </c>
      <c r="AC107" s="13"/>
      <c r="AD107" s="13"/>
      <c r="AE107" s="13"/>
      <c r="AF107" s="13"/>
    </row>
    <row r="108" spans="1:32" ht="20.100000000000001" customHeight="1">
      <c r="S108" s="1">
        <v>3</v>
      </c>
      <c r="T108" s="1">
        <v>62</v>
      </c>
      <c r="U108" s="1">
        <v>2.5</v>
      </c>
      <c r="V108" s="1">
        <v>1.3</v>
      </c>
      <c r="X108" s="1">
        <f t="shared" si="29"/>
        <v>168000</v>
      </c>
      <c r="Y108" s="1">
        <f t="shared" si="30"/>
        <v>8320</v>
      </c>
      <c r="Z108" s="1">
        <f t="shared" si="31"/>
        <v>1920</v>
      </c>
      <c r="AA108" s="1">
        <f t="shared" si="32"/>
        <v>1920</v>
      </c>
      <c r="AC108" s="13"/>
      <c r="AD108" s="13"/>
      <c r="AE108" s="13"/>
      <c r="AF108" s="13"/>
    </row>
    <row r="109" spans="1:32" ht="20.100000000000001" customHeight="1">
      <c r="S109" s="1">
        <v>1</v>
      </c>
      <c r="T109" s="1">
        <v>63</v>
      </c>
      <c r="U109" s="1">
        <v>1</v>
      </c>
      <c r="V109" s="1">
        <v>1</v>
      </c>
      <c r="X109" s="1">
        <f t="shared" si="29"/>
        <v>68250</v>
      </c>
      <c r="Y109" s="1">
        <f t="shared" si="30"/>
        <v>6500</v>
      </c>
      <c r="Z109" s="1">
        <f t="shared" si="31"/>
        <v>1950</v>
      </c>
      <c r="AA109" s="1">
        <f t="shared" si="32"/>
        <v>1950</v>
      </c>
      <c r="AC109" s="13"/>
      <c r="AD109" s="13"/>
      <c r="AE109" s="13"/>
      <c r="AF109" s="13"/>
    </row>
    <row r="110" spans="1:32" ht="20.100000000000001" customHeight="1">
      <c r="S110" s="1">
        <v>1</v>
      </c>
      <c r="T110" s="1">
        <v>63</v>
      </c>
      <c r="U110" s="1">
        <v>1</v>
      </c>
      <c r="V110" s="1">
        <v>1</v>
      </c>
      <c r="X110" s="1">
        <f t="shared" si="29"/>
        <v>68250</v>
      </c>
      <c r="Y110" s="1">
        <f t="shared" si="30"/>
        <v>6500</v>
      </c>
      <c r="Z110" s="1">
        <f t="shared" si="31"/>
        <v>1950</v>
      </c>
      <c r="AA110" s="1">
        <f t="shared" si="32"/>
        <v>1950</v>
      </c>
      <c r="AC110" s="13"/>
      <c r="AD110" s="13"/>
      <c r="AE110" s="13"/>
      <c r="AF110" s="13"/>
    </row>
    <row r="111" spans="1:32" ht="20.100000000000001" customHeight="1">
      <c r="S111" s="1">
        <v>3</v>
      </c>
      <c r="T111" s="1">
        <v>63</v>
      </c>
      <c r="U111" s="1">
        <v>2.5</v>
      </c>
      <c r="V111" s="1">
        <v>1.3</v>
      </c>
      <c r="X111" s="1">
        <f t="shared" si="29"/>
        <v>170625</v>
      </c>
      <c r="Y111" s="1">
        <f t="shared" si="30"/>
        <v>8450</v>
      </c>
      <c r="Z111" s="1">
        <f t="shared" si="31"/>
        <v>1950</v>
      </c>
      <c r="AA111" s="1">
        <f t="shared" si="32"/>
        <v>1950</v>
      </c>
      <c r="AC111" s="13"/>
      <c r="AD111" s="13"/>
      <c r="AE111" s="13"/>
      <c r="AF111" s="13"/>
    </row>
    <row r="112" spans="1:32" ht="20.100000000000001" customHeight="1">
      <c r="S112" s="1">
        <v>1</v>
      </c>
      <c r="T112" s="1">
        <v>64</v>
      </c>
      <c r="U112" s="1">
        <v>1</v>
      </c>
      <c r="V112" s="1">
        <v>1</v>
      </c>
      <c r="X112" s="1">
        <f t="shared" si="29"/>
        <v>69300</v>
      </c>
      <c r="Y112" s="1">
        <f t="shared" si="30"/>
        <v>6600</v>
      </c>
      <c r="Z112" s="1">
        <f t="shared" si="31"/>
        <v>1980</v>
      </c>
      <c r="AA112" s="1">
        <f t="shared" si="32"/>
        <v>1980</v>
      </c>
      <c r="AC112" s="13"/>
      <c r="AD112" s="13"/>
      <c r="AE112" s="13"/>
      <c r="AF112" s="13"/>
    </row>
    <row r="113" spans="18:32" ht="20.100000000000001" customHeight="1">
      <c r="S113" s="1">
        <v>1</v>
      </c>
      <c r="T113" s="1">
        <v>64</v>
      </c>
      <c r="U113" s="1">
        <v>1</v>
      </c>
      <c r="V113" s="1">
        <v>1</v>
      </c>
      <c r="X113" s="1">
        <f t="shared" si="29"/>
        <v>69300</v>
      </c>
      <c r="Y113" s="1">
        <f t="shared" si="30"/>
        <v>6600</v>
      </c>
      <c r="Z113" s="1">
        <f t="shared" si="31"/>
        <v>1980</v>
      </c>
      <c r="AA113" s="1">
        <f t="shared" si="32"/>
        <v>1980</v>
      </c>
      <c r="AC113" s="13"/>
      <c r="AD113" s="13"/>
      <c r="AE113" s="13"/>
      <c r="AF113" s="13"/>
    </row>
    <row r="114" spans="18:32" ht="20.100000000000001" customHeight="1">
      <c r="S114" s="1">
        <v>3</v>
      </c>
      <c r="T114" s="1">
        <v>64</v>
      </c>
      <c r="U114" s="1">
        <v>2.5</v>
      </c>
      <c r="V114" s="1">
        <v>1.3</v>
      </c>
      <c r="X114" s="1">
        <f t="shared" si="29"/>
        <v>173250</v>
      </c>
      <c r="Y114" s="1">
        <f t="shared" si="30"/>
        <v>8580</v>
      </c>
      <c r="Z114" s="1">
        <f t="shared" si="31"/>
        <v>1980</v>
      </c>
      <c r="AA114" s="1">
        <f t="shared" si="32"/>
        <v>1980</v>
      </c>
      <c r="AC114" s="13"/>
      <c r="AD114" s="13"/>
      <c r="AE114" s="13"/>
      <c r="AF114" s="13"/>
    </row>
    <row r="115" spans="18:32" ht="20.100000000000001" customHeight="1">
      <c r="S115" s="1">
        <v>1</v>
      </c>
      <c r="T115" s="1">
        <v>65</v>
      </c>
      <c r="U115" s="1">
        <v>1</v>
      </c>
      <c r="V115" s="1">
        <v>1</v>
      </c>
      <c r="X115" s="1">
        <f t="shared" si="29"/>
        <v>70875</v>
      </c>
      <c r="Y115" s="1">
        <f t="shared" si="30"/>
        <v>6750</v>
      </c>
      <c r="Z115" s="1">
        <f t="shared" si="31"/>
        <v>2025</v>
      </c>
      <c r="AA115" s="1">
        <f t="shared" si="32"/>
        <v>2025</v>
      </c>
      <c r="AC115" s="13"/>
      <c r="AD115" s="13"/>
      <c r="AE115" s="13"/>
      <c r="AF115" s="13"/>
    </row>
    <row r="116" spans="18:32" ht="20.100000000000001" customHeight="1">
      <c r="S116" s="1">
        <v>1</v>
      </c>
      <c r="T116" s="1">
        <v>65</v>
      </c>
      <c r="U116" s="1">
        <v>1</v>
      </c>
      <c r="V116" s="1">
        <v>1</v>
      </c>
      <c r="X116" s="1">
        <f t="shared" si="29"/>
        <v>70875</v>
      </c>
      <c r="Y116" s="1">
        <f t="shared" si="30"/>
        <v>6750</v>
      </c>
      <c r="Z116" s="1">
        <f t="shared" si="31"/>
        <v>2025</v>
      </c>
      <c r="AA116" s="1">
        <f t="shared" si="32"/>
        <v>2025</v>
      </c>
      <c r="AC116" s="13"/>
      <c r="AD116" s="13"/>
      <c r="AE116" s="13"/>
      <c r="AF116" s="13"/>
    </row>
    <row r="117" spans="18:32" ht="20.100000000000001" customHeight="1">
      <c r="S117" s="1">
        <v>3</v>
      </c>
      <c r="T117" s="1">
        <v>65</v>
      </c>
      <c r="U117" s="1">
        <v>2.5</v>
      </c>
      <c r="V117" s="1">
        <v>1.3</v>
      </c>
      <c r="X117" s="1">
        <f t="shared" si="29"/>
        <v>177188</v>
      </c>
      <c r="Y117" s="1">
        <f t="shared" si="30"/>
        <v>8775</v>
      </c>
      <c r="Z117" s="1">
        <f t="shared" si="31"/>
        <v>2025</v>
      </c>
      <c r="AA117" s="1">
        <f t="shared" si="32"/>
        <v>2025</v>
      </c>
      <c r="AC117" s="13"/>
      <c r="AD117" s="13"/>
      <c r="AE117" s="13"/>
      <c r="AF117" s="13"/>
    </row>
    <row r="118" spans="18:32" ht="20.100000000000001" customHeight="1">
      <c r="R118">
        <v>1</v>
      </c>
      <c r="S118" s="1">
        <v>1</v>
      </c>
      <c r="T118" s="1">
        <f>T115+1</f>
        <v>66</v>
      </c>
      <c r="U118" s="1">
        <v>1</v>
      </c>
      <c r="V118" s="1">
        <v>1</v>
      </c>
      <c r="X118" s="1">
        <f t="shared" ref="X118:X177" si="33">ROUND(LOOKUP($T118,$A:$A,D:D)*U118,0)</f>
        <v>72450</v>
      </c>
      <c r="Y118" s="1">
        <f t="shared" ref="Y118:Y177" si="34">ROUND(LOOKUP($T118,$A:$A,E:E)*V118,0)</f>
        <v>6900</v>
      </c>
      <c r="Z118" s="1">
        <f t="shared" ref="Z118:Z177" si="35">ROUND(LOOKUP($T118,$A:$A,F:F),0)</f>
        <v>2070</v>
      </c>
      <c r="AA118" s="1">
        <f t="shared" ref="AA118:AA177" si="36">ROUND(LOOKUP($T118,$A:$A,G:G),0)</f>
        <v>2070</v>
      </c>
      <c r="AC118" s="13"/>
      <c r="AD118" s="13"/>
      <c r="AE118" s="13"/>
      <c r="AF118" s="13"/>
    </row>
    <row r="119" spans="18:32" ht="20.100000000000001" customHeight="1">
      <c r="R119">
        <v>1</v>
      </c>
      <c r="S119" s="1">
        <v>1</v>
      </c>
      <c r="T119" s="1">
        <f t="shared" ref="T119:T177" si="37">T116+1</f>
        <v>66</v>
      </c>
      <c r="U119" s="1">
        <v>1</v>
      </c>
      <c r="V119" s="1">
        <v>1</v>
      </c>
      <c r="X119" s="1">
        <f t="shared" si="33"/>
        <v>72450</v>
      </c>
      <c r="Y119" s="1">
        <f t="shared" si="34"/>
        <v>6900</v>
      </c>
      <c r="Z119" s="1">
        <f t="shared" si="35"/>
        <v>2070</v>
      </c>
      <c r="AA119" s="1">
        <f t="shared" si="36"/>
        <v>2070</v>
      </c>
      <c r="AC119" s="13"/>
      <c r="AD119" s="13"/>
      <c r="AE119" s="13"/>
      <c r="AF119" s="13"/>
    </row>
    <row r="120" spans="18:32" ht="20.100000000000001" customHeight="1">
      <c r="R120">
        <v>1</v>
      </c>
      <c r="S120" s="1">
        <v>3</v>
      </c>
      <c r="T120" s="1">
        <f t="shared" si="37"/>
        <v>66</v>
      </c>
      <c r="U120" s="1">
        <v>2.5</v>
      </c>
      <c r="V120" s="1">
        <v>1.3</v>
      </c>
      <c r="X120" s="1">
        <f t="shared" si="33"/>
        <v>181125</v>
      </c>
      <c r="Y120" s="1">
        <f t="shared" si="34"/>
        <v>8970</v>
      </c>
      <c r="Z120" s="1">
        <f t="shared" si="35"/>
        <v>2070</v>
      </c>
      <c r="AA120" s="1">
        <f t="shared" si="36"/>
        <v>2070</v>
      </c>
      <c r="AC120" s="13"/>
      <c r="AD120" s="13"/>
      <c r="AE120" s="13"/>
      <c r="AF120" s="13"/>
    </row>
    <row r="121" spans="18:32" ht="20.100000000000001" customHeight="1">
      <c r="R121">
        <f>R118+1</f>
        <v>2</v>
      </c>
      <c r="S121" s="1">
        <v>3</v>
      </c>
      <c r="T121" s="1">
        <f t="shared" si="37"/>
        <v>67</v>
      </c>
      <c r="U121" s="1">
        <v>2.5</v>
      </c>
      <c r="V121" s="1">
        <v>1.3</v>
      </c>
      <c r="X121" s="1">
        <f t="shared" si="33"/>
        <v>185063</v>
      </c>
      <c r="Y121" s="1">
        <f t="shared" si="34"/>
        <v>9165</v>
      </c>
      <c r="Z121" s="1">
        <f t="shared" si="35"/>
        <v>2115</v>
      </c>
      <c r="AA121" s="1">
        <f t="shared" si="36"/>
        <v>2115</v>
      </c>
      <c r="AC121" s="13"/>
      <c r="AD121" s="13"/>
      <c r="AE121" s="13"/>
      <c r="AF121" s="13"/>
    </row>
    <row r="122" spans="18:32" ht="20.100000000000001" customHeight="1">
      <c r="R122">
        <f t="shared" ref="R122:R177" si="38">R119+1</f>
        <v>2</v>
      </c>
      <c r="S122" s="1">
        <v>1</v>
      </c>
      <c r="T122" s="1">
        <f t="shared" si="37"/>
        <v>67</v>
      </c>
      <c r="U122" s="1">
        <v>1</v>
      </c>
      <c r="V122" s="1">
        <v>1</v>
      </c>
      <c r="X122" s="1">
        <f t="shared" si="33"/>
        <v>74025</v>
      </c>
      <c r="Y122" s="1">
        <f t="shared" si="34"/>
        <v>7050</v>
      </c>
      <c r="Z122" s="1">
        <f t="shared" si="35"/>
        <v>2115</v>
      </c>
      <c r="AA122" s="1">
        <f t="shared" si="36"/>
        <v>2115</v>
      </c>
      <c r="AC122" s="13"/>
      <c r="AD122" s="13"/>
      <c r="AE122" s="13"/>
      <c r="AF122" s="13"/>
    </row>
    <row r="123" spans="18:32" ht="20.100000000000001" customHeight="1">
      <c r="R123">
        <f t="shared" si="38"/>
        <v>2</v>
      </c>
      <c r="S123" s="1">
        <v>1</v>
      </c>
      <c r="T123" s="1">
        <f t="shared" si="37"/>
        <v>67</v>
      </c>
      <c r="U123" s="1">
        <v>1</v>
      </c>
      <c r="V123" s="1">
        <v>1</v>
      </c>
      <c r="X123" s="1">
        <f t="shared" si="33"/>
        <v>74025</v>
      </c>
      <c r="Y123" s="1">
        <f t="shared" si="34"/>
        <v>7050</v>
      </c>
      <c r="Z123" s="1">
        <f t="shared" si="35"/>
        <v>2115</v>
      </c>
      <c r="AA123" s="1">
        <f t="shared" si="36"/>
        <v>2115</v>
      </c>
      <c r="AC123" s="13"/>
      <c r="AD123" s="13"/>
      <c r="AE123" s="13"/>
      <c r="AF123" s="13"/>
    </row>
    <row r="124" spans="18:32" ht="20.100000000000001" customHeight="1">
      <c r="R124">
        <f t="shared" si="38"/>
        <v>3</v>
      </c>
      <c r="S124" s="1">
        <v>3</v>
      </c>
      <c r="T124" s="1">
        <f t="shared" si="37"/>
        <v>68</v>
      </c>
      <c r="U124" s="1">
        <v>2.5</v>
      </c>
      <c r="V124" s="1">
        <v>1.3</v>
      </c>
      <c r="X124" s="1">
        <f t="shared" si="33"/>
        <v>189000</v>
      </c>
      <c r="Y124" s="1">
        <f t="shared" si="34"/>
        <v>9360</v>
      </c>
      <c r="Z124" s="1">
        <f t="shared" si="35"/>
        <v>2160</v>
      </c>
      <c r="AA124" s="1">
        <f t="shared" si="36"/>
        <v>2160</v>
      </c>
      <c r="AC124" s="13"/>
      <c r="AD124" s="13"/>
      <c r="AE124" s="13"/>
      <c r="AF124" s="13"/>
    </row>
    <row r="125" spans="18:32" ht="20.100000000000001" customHeight="1">
      <c r="R125">
        <f t="shared" si="38"/>
        <v>3</v>
      </c>
      <c r="S125" s="1">
        <v>3</v>
      </c>
      <c r="T125" s="1">
        <f t="shared" si="37"/>
        <v>68</v>
      </c>
      <c r="U125" s="1">
        <v>2.5</v>
      </c>
      <c r="V125" s="1">
        <v>1.3</v>
      </c>
      <c r="X125" s="1">
        <f t="shared" si="33"/>
        <v>189000</v>
      </c>
      <c r="Y125" s="1">
        <f t="shared" si="34"/>
        <v>9360</v>
      </c>
      <c r="Z125" s="1">
        <f t="shared" si="35"/>
        <v>2160</v>
      </c>
      <c r="AA125" s="1">
        <f t="shared" si="36"/>
        <v>2160</v>
      </c>
      <c r="AC125" s="13"/>
      <c r="AD125" s="13"/>
      <c r="AE125" s="13"/>
      <c r="AF125" s="13"/>
    </row>
    <row r="126" spans="18:32" ht="20.100000000000001" customHeight="1">
      <c r="R126">
        <f t="shared" si="38"/>
        <v>3</v>
      </c>
      <c r="S126" s="1">
        <v>1</v>
      </c>
      <c r="T126" s="1">
        <f t="shared" si="37"/>
        <v>68</v>
      </c>
      <c r="U126" s="1">
        <v>1</v>
      </c>
      <c r="V126" s="1">
        <v>1</v>
      </c>
      <c r="X126" s="1">
        <f t="shared" si="33"/>
        <v>75600</v>
      </c>
      <c r="Y126" s="1">
        <f t="shared" si="34"/>
        <v>7200</v>
      </c>
      <c r="Z126" s="1">
        <f t="shared" si="35"/>
        <v>2160</v>
      </c>
      <c r="AA126" s="1">
        <f t="shared" si="36"/>
        <v>2160</v>
      </c>
      <c r="AC126" s="13"/>
      <c r="AD126" s="13"/>
      <c r="AE126" s="13"/>
      <c r="AF126" s="13"/>
    </row>
    <row r="127" spans="18:32" ht="20.100000000000001" customHeight="1">
      <c r="R127">
        <f t="shared" si="38"/>
        <v>4</v>
      </c>
      <c r="S127" s="1">
        <v>1</v>
      </c>
      <c r="T127" s="1">
        <f t="shared" si="37"/>
        <v>69</v>
      </c>
      <c r="U127" s="1">
        <v>1</v>
      </c>
      <c r="V127" s="1">
        <v>1</v>
      </c>
      <c r="X127" s="1">
        <f t="shared" si="33"/>
        <v>77175</v>
      </c>
      <c r="Y127" s="1">
        <f t="shared" si="34"/>
        <v>7350</v>
      </c>
      <c r="Z127" s="1">
        <f t="shared" si="35"/>
        <v>2205</v>
      </c>
      <c r="AA127" s="1">
        <f t="shared" si="36"/>
        <v>2205</v>
      </c>
      <c r="AC127" s="13"/>
      <c r="AD127" s="13"/>
      <c r="AE127" s="13"/>
      <c r="AF127" s="13"/>
    </row>
    <row r="128" spans="18:32" ht="20.100000000000001" customHeight="1">
      <c r="R128">
        <f t="shared" si="38"/>
        <v>4</v>
      </c>
      <c r="S128" s="1">
        <v>3</v>
      </c>
      <c r="T128" s="1">
        <f t="shared" si="37"/>
        <v>69</v>
      </c>
      <c r="U128" s="1">
        <v>2.5</v>
      </c>
      <c r="V128" s="1">
        <v>1.3</v>
      </c>
      <c r="X128" s="1">
        <f t="shared" si="33"/>
        <v>192938</v>
      </c>
      <c r="Y128" s="1">
        <f t="shared" si="34"/>
        <v>9555</v>
      </c>
      <c r="Z128" s="1">
        <f t="shared" si="35"/>
        <v>2205</v>
      </c>
      <c r="AA128" s="1">
        <f t="shared" si="36"/>
        <v>2205</v>
      </c>
      <c r="AC128" s="13"/>
      <c r="AD128" s="13"/>
      <c r="AE128" s="13"/>
      <c r="AF128" s="13"/>
    </row>
    <row r="129" spans="18:32" ht="20.100000000000001" customHeight="1">
      <c r="R129">
        <f t="shared" si="38"/>
        <v>4</v>
      </c>
      <c r="S129" s="1">
        <v>3</v>
      </c>
      <c r="T129" s="1">
        <f t="shared" si="37"/>
        <v>69</v>
      </c>
      <c r="U129" s="1">
        <v>2.5</v>
      </c>
      <c r="V129" s="1">
        <v>1.3</v>
      </c>
      <c r="X129" s="1">
        <f t="shared" si="33"/>
        <v>192938</v>
      </c>
      <c r="Y129" s="1">
        <f t="shared" si="34"/>
        <v>9555</v>
      </c>
      <c r="Z129" s="1">
        <f t="shared" si="35"/>
        <v>2205</v>
      </c>
      <c r="AA129" s="1">
        <f t="shared" si="36"/>
        <v>2205</v>
      </c>
      <c r="AC129" s="13"/>
      <c r="AD129" s="13"/>
      <c r="AE129" s="13"/>
      <c r="AF129" s="13"/>
    </row>
    <row r="130" spans="18:32" ht="20.100000000000001" customHeight="1">
      <c r="R130">
        <f t="shared" si="38"/>
        <v>5</v>
      </c>
      <c r="S130" s="1">
        <v>1</v>
      </c>
      <c r="T130" s="1">
        <f t="shared" si="37"/>
        <v>70</v>
      </c>
      <c r="U130" s="1">
        <v>1</v>
      </c>
      <c r="V130" s="1">
        <v>1</v>
      </c>
      <c r="X130" s="1">
        <f t="shared" si="33"/>
        <v>78750</v>
      </c>
      <c r="Y130" s="1">
        <f t="shared" si="34"/>
        <v>7500</v>
      </c>
      <c r="Z130" s="1">
        <f t="shared" si="35"/>
        <v>2250</v>
      </c>
      <c r="AA130" s="1">
        <f t="shared" si="36"/>
        <v>2250</v>
      </c>
      <c r="AC130" s="13"/>
      <c r="AD130" s="13"/>
      <c r="AE130" s="13"/>
      <c r="AF130" s="13"/>
    </row>
    <row r="131" spans="18:32" ht="20.100000000000001" customHeight="1">
      <c r="R131">
        <f t="shared" si="38"/>
        <v>5</v>
      </c>
      <c r="S131" s="1">
        <v>1</v>
      </c>
      <c r="T131" s="1">
        <f t="shared" si="37"/>
        <v>70</v>
      </c>
      <c r="U131" s="1">
        <v>1</v>
      </c>
      <c r="V131" s="1">
        <v>1</v>
      </c>
      <c r="X131" s="1">
        <f t="shared" si="33"/>
        <v>78750</v>
      </c>
      <c r="Y131" s="1">
        <f t="shared" si="34"/>
        <v>7500</v>
      </c>
      <c r="Z131" s="1">
        <f t="shared" si="35"/>
        <v>2250</v>
      </c>
      <c r="AA131" s="1">
        <f t="shared" si="36"/>
        <v>2250</v>
      </c>
      <c r="AC131" s="13"/>
      <c r="AD131" s="13"/>
      <c r="AE131" s="13"/>
      <c r="AF131" s="13"/>
    </row>
    <row r="132" spans="18:32" ht="20.100000000000001" customHeight="1">
      <c r="R132">
        <f t="shared" si="38"/>
        <v>5</v>
      </c>
      <c r="S132" s="1">
        <v>3</v>
      </c>
      <c r="T132" s="1">
        <f t="shared" si="37"/>
        <v>70</v>
      </c>
      <c r="U132" s="1">
        <v>2.5</v>
      </c>
      <c r="V132" s="1">
        <v>1.3</v>
      </c>
      <c r="X132" s="1">
        <f t="shared" si="33"/>
        <v>196875</v>
      </c>
      <c r="Y132" s="1">
        <f t="shared" si="34"/>
        <v>9750</v>
      </c>
      <c r="Z132" s="1">
        <f t="shared" si="35"/>
        <v>2250</v>
      </c>
      <c r="AA132" s="1">
        <f t="shared" si="36"/>
        <v>2250</v>
      </c>
      <c r="AC132" s="13"/>
      <c r="AD132" s="13"/>
      <c r="AE132" s="13"/>
      <c r="AF132" s="13"/>
    </row>
    <row r="133" spans="18:32" ht="20.100000000000001" customHeight="1">
      <c r="R133">
        <f t="shared" si="38"/>
        <v>6</v>
      </c>
      <c r="S133" s="1">
        <v>3</v>
      </c>
      <c r="T133" s="1">
        <f t="shared" si="37"/>
        <v>71</v>
      </c>
      <c r="U133" s="1">
        <v>2.5</v>
      </c>
      <c r="V133" s="1">
        <v>1.3</v>
      </c>
      <c r="X133" s="1">
        <f t="shared" si="33"/>
        <v>200813</v>
      </c>
      <c r="Y133" s="1">
        <f t="shared" si="34"/>
        <v>9945</v>
      </c>
      <c r="Z133" s="1">
        <f t="shared" si="35"/>
        <v>2295</v>
      </c>
      <c r="AA133" s="1">
        <f t="shared" si="36"/>
        <v>2295</v>
      </c>
      <c r="AC133" s="13"/>
      <c r="AD133" s="13"/>
      <c r="AE133" s="13"/>
      <c r="AF133" s="13"/>
    </row>
    <row r="134" spans="18:32" ht="20.100000000000001" customHeight="1">
      <c r="R134">
        <f t="shared" si="38"/>
        <v>6</v>
      </c>
      <c r="S134" s="1">
        <v>1</v>
      </c>
      <c r="T134" s="1">
        <f t="shared" si="37"/>
        <v>71</v>
      </c>
      <c r="U134" s="1">
        <v>1</v>
      </c>
      <c r="V134" s="1">
        <v>1</v>
      </c>
      <c r="X134" s="1">
        <f t="shared" si="33"/>
        <v>80325</v>
      </c>
      <c r="Y134" s="1">
        <f t="shared" si="34"/>
        <v>7650</v>
      </c>
      <c r="Z134" s="1">
        <f t="shared" si="35"/>
        <v>2295</v>
      </c>
      <c r="AA134" s="1">
        <f t="shared" si="36"/>
        <v>2295</v>
      </c>
      <c r="AC134" s="13"/>
      <c r="AD134" s="13"/>
      <c r="AE134" s="13"/>
      <c r="AF134" s="13"/>
    </row>
    <row r="135" spans="18:32" ht="20.100000000000001" customHeight="1">
      <c r="R135">
        <f t="shared" si="38"/>
        <v>6</v>
      </c>
      <c r="S135" s="1">
        <v>1</v>
      </c>
      <c r="T135" s="1">
        <f t="shared" si="37"/>
        <v>71</v>
      </c>
      <c r="U135" s="1">
        <v>1</v>
      </c>
      <c r="V135" s="1">
        <v>1</v>
      </c>
      <c r="X135" s="1">
        <f t="shared" si="33"/>
        <v>80325</v>
      </c>
      <c r="Y135" s="1">
        <f t="shared" si="34"/>
        <v>7650</v>
      </c>
      <c r="Z135" s="1">
        <f t="shared" si="35"/>
        <v>2295</v>
      </c>
      <c r="AA135" s="1">
        <f t="shared" si="36"/>
        <v>2295</v>
      </c>
      <c r="AC135" s="13"/>
      <c r="AD135" s="13"/>
      <c r="AE135" s="13"/>
      <c r="AF135" s="13"/>
    </row>
    <row r="136" spans="18:32" ht="20.100000000000001" customHeight="1">
      <c r="R136">
        <f t="shared" si="38"/>
        <v>7</v>
      </c>
      <c r="S136" s="1">
        <v>3</v>
      </c>
      <c r="T136" s="1">
        <f t="shared" si="37"/>
        <v>72</v>
      </c>
      <c r="U136" s="1">
        <v>2.5</v>
      </c>
      <c r="V136" s="1">
        <v>1.3</v>
      </c>
      <c r="X136" s="1">
        <f t="shared" si="33"/>
        <v>204750</v>
      </c>
      <c r="Y136" s="1">
        <f t="shared" si="34"/>
        <v>10140</v>
      </c>
      <c r="Z136" s="1">
        <f t="shared" si="35"/>
        <v>2340</v>
      </c>
      <c r="AA136" s="1">
        <f t="shared" si="36"/>
        <v>2340</v>
      </c>
      <c r="AC136" s="13"/>
      <c r="AD136" s="13"/>
      <c r="AE136" s="13"/>
      <c r="AF136" s="13"/>
    </row>
    <row r="137" spans="18:32" ht="20.100000000000001" customHeight="1">
      <c r="R137">
        <f t="shared" si="38"/>
        <v>7</v>
      </c>
      <c r="S137" s="1">
        <v>3</v>
      </c>
      <c r="T137" s="1">
        <f t="shared" si="37"/>
        <v>72</v>
      </c>
      <c r="U137" s="1">
        <v>2.5</v>
      </c>
      <c r="V137" s="1">
        <v>1.3</v>
      </c>
      <c r="X137" s="1">
        <f t="shared" si="33"/>
        <v>204750</v>
      </c>
      <c r="Y137" s="1">
        <f t="shared" si="34"/>
        <v>10140</v>
      </c>
      <c r="Z137" s="1">
        <f t="shared" si="35"/>
        <v>2340</v>
      </c>
      <c r="AA137" s="1">
        <f t="shared" si="36"/>
        <v>2340</v>
      </c>
      <c r="AC137" s="13"/>
      <c r="AD137" s="13"/>
      <c r="AE137" s="13"/>
      <c r="AF137" s="13"/>
    </row>
    <row r="138" spans="18:32" ht="20.100000000000001" customHeight="1">
      <c r="R138">
        <f t="shared" si="38"/>
        <v>7</v>
      </c>
      <c r="S138" s="1">
        <v>1</v>
      </c>
      <c r="T138" s="1">
        <f t="shared" si="37"/>
        <v>72</v>
      </c>
      <c r="U138" s="1">
        <v>1</v>
      </c>
      <c r="V138" s="1">
        <v>1</v>
      </c>
      <c r="X138" s="1">
        <f t="shared" si="33"/>
        <v>81900</v>
      </c>
      <c r="Y138" s="1">
        <f t="shared" si="34"/>
        <v>7800</v>
      </c>
      <c r="Z138" s="1">
        <f t="shared" si="35"/>
        <v>2340</v>
      </c>
      <c r="AA138" s="1">
        <f t="shared" si="36"/>
        <v>2340</v>
      </c>
      <c r="AC138" s="13"/>
      <c r="AD138" s="13"/>
      <c r="AE138" s="13"/>
      <c r="AF138" s="13"/>
    </row>
    <row r="139" spans="18:32" ht="20.100000000000001" customHeight="1">
      <c r="R139">
        <f t="shared" si="38"/>
        <v>8</v>
      </c>
      <c r="S139" s="1">
        <v>1</v>
      </c>
      <c r="T139" s="1">
        <f t="shared" si="37"/>
        <v>73</v>
      </c>
      <c r="U139" s="1">
        <v>1</v>
      </c>
      <c r="V139" s="1">
        <v>1</v>
      </c>
      <c r="X139" s="1">
        <f t="shared" si="33"/>
        <v>83475</v>
      </c>
      <c r="Y139" s="1">
        <f t="shared" si="34"/>
        <v>7950</v>
      </c>
      <c r="Z139" s="1">
        <f t="shared" si="35"/>
        <v>2385</v>
      </c>
      <c r="AA139" s="1">
        <f t="shared" si="36"/>
        <v>2385</v>
      </c>
      <c r="AC139" s="13"/>
      <c r="AD139" s="13"/>
      <c r="AE139" s="13"/>
      <c r="AF139" s="13"/>
    </row>
    <row r="140" spans="18:32" ht="20.100000000000001" customHeight="1">
      <c r="R140">
        <f t="shared" si="38"/>
        <v>8</v>
      </c>
      <c r="S140" s="1">
        <v>3</v>
      </c>
      <c r="T140" s="1">
        <f t="shared" si="37"/>
        <v>73</v>
      </c>
      <c r="U140" s="1">
        <v>2.5</v>
      </c>
      <c r="V140" s="1">
        <v>1.3</v>
      </c>
      <c r="X140" s="1">
        <f t="shared" si="33"/>
        <v>208688</v>
      </c>
      <c r="Y140" s="1">
        <f t="shared" si="34"/>
        <v>10335</v>
      </c>
      <c r="Z140" s="1">
        <f t="shared" si="35"/>
        <v>2385</v>
      </c>
      <c r="AA140" s="1">
        <f t="shared" si="36"/>
        <v>2385</v>
      </c>
      <c r="AC140" s="13"/>
      <c r="AD140" s="13"/>
      <c r="AE140" s="13"/>
      <c r="AF140" s="13"/>
    </row>
    <row r="141" spans="18:32" ht="20.100000000000001" customHeight="1">
      <c r="R141">
        <f t="shared" si="38"/>
        <v>8</v>
      </c>
      <c r="S141" s="1">
        <v>3</v>
      </c>
      <c r="T141" s="1">
        <f t="shared" si="37"/>
        <v>73</v>
      </c>
      <c r="U141" s="1">
        <v>2.5</v>
      </c>
      <c r="V141" s="1">
        <v>1.3</v>
      </c>
      <c r="X141" s="1">
        <f t="shared" si="33"/>
        <v>208688</v>
      </c>
      <c r="Y141" s="1">
        <f t="shared" si="34"/>
        <v>10335</v>
      </c>
      <c r="Z141" s="1">
        <f t="shared" si="35"/>
        <v>2385</v>
      </c>
      <c r="AA141" s="1">
        <f t="shared" si="36"/>
        <v>2385</v>
      </c>
      <c r="AC141" s="13"/>
      <c r="AD141" s="13"/>
      <c r="AE141" s="13"/>
      <c r="AF141" s="13"/>
    </row>
    <row r="142" spans="18:32" ht="20.100000000000001" customHeight="1">
      <c r="R142">
        <f t="shared" si="38"/>
        <v>9</v>
      </c>
      <c r="S142" s="1">
        <v>1</v>
      </c>
      <c r="T142" s="1">
        <f t="shared" si="37"/>
        <v>74</v>
      </c>
      <c r="U142" s="1">
        <v>1</v>
      </c>
      <c r="V142" s="1">
        <v>1</v>
      </c>
      <c r="X142" s="1">
        <f t="shared" si="33"/>
        <v>85050</v>
      </c>
      <c r="Y142" s="1">
        <f t="shared" si="34"/>
        <v>8100</v>
      </c>
      <c r="Z142" s="1">
        <f t="shared" si="35"/>
        <v>2430</v>
      </c>
      <c r="AA142" s="1">
        <f t="shared" si="36"/>
        <v>2430</v>
      </c>
      <c r="AC142" s="13"/>
      <c r="AD142" s="13"/>
      <c r="AE142" s="13"/>
      <c r="AF142" s="13"/>
    </row>
    <row r="143" spans="18:32" ht="20.100000000000001" customHeight="1">
      <c r="R143">
        <f t="shared" si="38"/>
        <v>9</v>
      </c>
      <c r="S143" s="1">
        <v>3</v>
      </c>
      <c r="T143" s="1">
        <f t="shared" si="37"/>
        <v>74</v>
      </c>
      <c r="U143" s="1">
        <v>2.5</v>
      </c>
      <c r="V143" s="1">
        <v>1.3</v>
      </c>
      <c r="X143" s="1">
        <f t="shared" si="33"/>
        <v>212625</v>
      </c>
      <c r="Y143" s="1">
        <f t="shared" si="34"/>
        <v>10530</v>
      </c>
      <c r="Z143" s="1">
        <f t="shared" si="35"/>
        <v>2430</v>
      </c>
      <c r="AA143" s="1">
        <f t="shared" si="36"/>
        <v>2430</v>
      </c>
      <c r="AC143" s="13"/>
      <c r="AD143" s="13"/>
      <c r="AE143" s="13"/>
      <c r="AF143" s="13"/>
    </row>
    <row r="144" spans="18:32" ht="20.100000000000001" customHeight="1">
      <c r="R144">
        <f t="shared" si="38"/>
        <v>9</v>
      </c>
      <c r="S144" s="1">
        <v>3</v>
      </c>
      <c r="T144" s="1">
        <f t="shared" si="37"/>
        <v>74</v>
      </c>
      <c r="U144" s="1">
        <v>2.5</v>
      </c>
      <c r="V144" s="1">
        <v>1.3</v>
      </c>
      <c r="X144" s="1">
        <f t="shared" si="33"/>
        <v>212625</v>
      </c>
      <c r="Y144" s="1">
        <f t="shared" si="34"/>
        <v>10530</v>
      </c>
      <c r="Z144" s="1">
        <f t="shared" si="35"/>
        <v>2430</v>
      </c>
      <c r="AA144" s="1">
        <f t="shared" si="36"/>
        <v>2430</v>
      </c>
      <c r="AC144" s="13"/>
      <c r="AD144" s="13"/>
      <c r="AE144" s="13"/>
      <c r="AF144" s="13"/>
    </row>
    <row r="145" spans="18:32" ht="20.100000000000001" customHeight="1">
      <c r="R145">
        <f t="shared" si="38"/>
        <v>10</v>
      </c>
      <c r="S145" s="1">
        <v>1</v>
      </c>
      <c r="T145" s="1">
        <f t="shared" si="37"/>
        <v>75</v>
      </c>
      <c r="U145" s="1">
        <v>1</v>
      </c>
      <c r="V145" s="1">
        <v>1</v>
      </c>
      <c r="X145" s="1">
        <f t="shared" si="33"/>
        <v>87150</v>
      </c>
      <c r="Y145" s="1">
        <f t="shared" si="34"/>
        <v>8300</v>
      </c>
      <c r="Z145" s="1">
        <f t="shared" si="35"/>
        <v>2490</v>
      </c>
      <c r="AA145" s="1">
        <f t="shared" si="36"/>
        <v>2490</v>
      </c>
      <c r="AC145" s="13"/>
      <c r="AD145" s="13"/>
      <c r="AE145" s="13"/>
      <c r="AF145" s="13"/>
    </row>
    <row r="146" spans="18:32" ht="20.100000000000001" customHeight="1">
      <c r="R146">
        <f t="shared" si="38"/>
        <v>10</v>
      </c>
      <c r="S146" s="1">
        <v>3</v>
      </c>
      <c r="T146" s="1">
        <f t="shared" si="37"/>
        <v>75</v>
      </c>
      <c r="U146" s="1">
        <v>2.5</v>
      </c>
      <c r="V146" s="1">
        <v>1.3</v>
      </c>
      <c r="X146" s="1">
        <f t="shared" si="33"/>
        <v>217875</v>
      </c>
      <c r="Y146" s="1">
        <f t="shared" si="34"/>
        <v>10790</v>
      </c>
      <c r="Z146" s="1">
        <f t="shared" si="35"/>
        <v>2490</v>
      </c>
      <c r="AA146" s="1">
        <f t="shared" si="36"/>
        <v>2490</v>
      </c>
      <c r="AC146" s="13"/>
      <c r="AD146" s="13"/>
      <c r="AE146" s="13"/>
      <c r="AF146" s="13"/>
    </row>
    <row r="147" spans="18:32" ht="20.100000000000001" customHeight="1">
      <c r="R147">
        <f t="shared" si="38"/>
        <v>10</v>
      </c>
      <c r="S147" s="1">
        <v>3</v>
      </c>
      <c r="T147" s="1">
        <f t="shared" si="37"/>
        <v>75</v>
      </c>
      <c r="U147" s="1">
        <v>2.5</v>
      </c>
      <c r="V147" s="1">
        <v>1.3</v>
      </c>
      <c r="X147" s="1">
        <f t="shared" si="33"/>
        <v>217875</v>
      </c>
      <c r="Y147" s="1">
        <f t="shared" si="34"/>
        <v>10790</v>
      </c>
      <c r="Z147" s="1">
        <f t="shared" si="35"/>
        <v>2490</v>
      </c>
      <c r="AA147" s="1">
        <f t="shared" si="36"/>
        <v>2490</v>
      </c>
      <c r="AC147" s="13"/>
      <c r="AD147" s="13"/>
      <c r="AE147" s="13"/>
      <c r="AF147" s="13"/>
    </row>
    <row r="148" spans="18:32" ht="20.100000000000001" customHeight="1">
      <c r="R148">
        <f t="shared" si="38"/>
        <v>11</v>
      </c>
      <c r="S148" s="1">
        <v>1</v>
      </c>
      <c r="T148" s="1">
        <f t="shared" si="37"/>
        <v>76</v>
      </c>
      <c r="U148" s="1">
        <v>1</v>
      </c>
      <c r="V148" s="1">
        <v>1</v>
      </c>
      <c r="X148" s="1">
        <f t="shared" si="33"/>
        <v>89250</v>
      </c>
      <c r="Y148" s="1">
        <f t="shared" si="34"/>
        <v>8500</v>
      </c>
      <c r="Z148" s="1">
        <f t="shared" si="35"/>
        <v>2550</v>
      </c>
      <c r="AA148" s="1">
        <f t="shared" si="36"/>
        <v>2550</v>
      </c>
      <c r="AC148" s="13"/>
      <c r="AD148" s="13"/>
      <c r="AE148" s="13"/>
      <c r="AF148" s="13"/>
    </row>
    <row r="149" spans="18:32" ht="20.100000000000001" customHeight="1">
      <c r="R149">
        <f t="shared" si="38"/>
        <v>11</v>
      </c>
      <c r="S149" s="1">
        <v>3</v>
      </c>
      <c r="T149" s="1">
        <f t="shared" si="37"/>
        <v>76</v>
      </c>
      <c r="U149" s="1">
        <v>2.5</v>
      </c>
      <c r="V149" s="1">
        <v>1.3</v>
      </c>
      <c r="X149" s="1">
        <f t="shared" si="33"/>
        <v>223125</v>
      </c>
      <c r="Y149" s="1">
        <f t="shared" si="34"/>
        <v>11050</v>
      </c>
      <c r="Z149" s="1">
        <f t="shared" si="35"/>
        <v>2550</v>
      </c>
      <c r="AA149" s="1">
        <f t="shared" si="36"/>
        <v>2550</v>
      </c>
      <c r="AC149" s="13"/>
      <c r="AD149" s="13"/>
      <c r="AE149" s="13"/>
      <c r="AF149" s="13"/>
    </row>
    <row r="150" spans="18:32" ht="20.100000000000001" customHeight="1">
      <c r="R150">
        <f t="shared" si="38"/>
        <v>11</v>
      </c>
      <c r="S150" s="1">
        <v>3</v>
      </c>
      <c r="T150" s="1">
        <f t="shared" si="37"/>
        <v>76</v>
      </c>
      <c r="U150" s="1">
        <v>2.5</v>
      </c>
      <c r="V150" s="1">
        <v>1.3</v>
      </c>
      <c r="X150" s="1">
        <f t="shared" si="33"/>
        <v>223125</v>
      </c>
      <c r="Y150" s="1">
        <f t="shared" si="34"/>
        <v>11050</v>
      </c>
      <c r="Z150" s="1">
        <f t="shared" si="35"/>
        <v>2550</v>
      </c>
      <c r="AA150" s="1">
        <f t="shared" si="36"/>
        <v>2550</v>
      </c>
      <c r="AC150" s="13"/>
      <c r="AD150" s="13"/>
      <c r="AE150" s="13"/>
      <c r="AF150" s="13"/>
    </row>
    <row r="151" spans="18:32" ht="20.100000000000001" customHeight="1">
      <c r="R151">
        <f t="shared" si="38"/>
        <v>12</v>
      </c>
      <c r="S151" s="1">
        <v>1</v>
      </c>
      <c r="T151" s="1">
        <f t="shared" si="37"/>
        <v>77</v>
      </c>
      <c r="U151" s="1">
        <v>1</v>
      </c>
      <c r="V151" s="1">
        <v>1</v>
      </c>
      <c r="X151" s="1">
        <f t="shared" si="33"/>
        <v>91350</v>
      </c>
      <c r="Y151" s="1">
        <f t="shared" si="34"/>
        <v>8700</v>
      </c>
      <c r="Z151" s="1">
        <f t="shared" si="35"/>
        <v>2610</v>
      </c>
      <c r="AA151" s="1">
        <f t="shared" si="36"/>
        <v>2610</v>
      </c>
      <c r="AC151" s="13"/>
      <c r="AD151" s="13"/>
      <c r="AE151" s="13"/>
      <c r="AF151" s="13"/>
    </row>
    <row r="152" spans="18:32" ht="20.100000000000001" customHeight="1">
      <c r="R152">
        <f t="shared" si="38"/>
        <v>12</v>
      </c>
      <c r="S152" s="1">
        <v>3</v>
      </c>
      <c r="T152" s="1">
        <f t="shared" si="37"/>
        <v>77</v>
      </c>
      <c r="U152" s="1">
        <v>2.5</v>
      </c>
      <c r="V152" s="1">
        <v>1.3</v>
      </c>
      <c r="X152" s="1">
        <f t="shared" si="33"/>
        <v>228375</v>
      </c>
      <c r="Y152" s="1">
        <f t="shared" si="34"/>
        <v>11310</v>
      </c>
      <c r="Z152" s="1">
        <f t="shared" si="35"/>
        <v>2610</v>
      </c>
      <c r="AA152" s="1">
        <f t="shared" si="36"/>
        <v>2610</v>
      </c>
      <c r="AC152" s="13"/>
      <c r="AD152" s="13"/>
      <c r="AE152" s="13"/>
      <c r="AF152" s="13"/>
    </row>
    <row r="153" spans="18:32" ht="20.100000000000001" customHeight="1">
      <c r="R153">
        <f t="shared" si="38"/>
        <v>12</v>
      </c>
      <c r="S153" s="1">
        <v>3</v>
      </c>
      <c r="T153" s="1">
        <f t="shared" si="37"/>
        <v>77</v>
      </c>
      <c r="U153" s="1">
        <v>2.5</v>
      </c>
      <c r="V153" s="1">
        <v>1.3</v>
      </c>
      <c r="X153" s="1">
        <f t="shared" si="33"/>
        <v>228375</v>
      </c>
      <c r="Y153" s="1">
        <f t="shared" si="34"/>
        <v>11310</v>
      </c>
      <c r="Z153" s="1">
        <f t="shared" si="35"/>
        <v>2610</v>
      </c>
      <c r="AA153" s="1">
        <f t="shared" si="36"/>
        <v>2610</v>
      </c>
      <c r="AC153" s="13"/>
      <c r="AD153" s="13"/>
      <c r="AE153" s="13"/>
      <c r="AF153" s="13"/>
    </row>
    <row r="154" spans="18:32" ht="20.100000000000001" customHeight="1">
      <c r="R154">
        <f t="shared" si="38"/>
        <v>13</v>
      </c>
      <c r="S154" s="1">
        <v>1</v>
      </c>
      <c r="T154" s="1">
        <f t="shared" si="37"/>
        <v>78</v>
      </c>
      <c r="U154" s="1">
        <v>1</v>
      </c>
      <c r="V154" s="1">
        <v>1</v>
      </c>
      <c r="X154" s="1">
        <f t="shared" si="33"/>
        <v>93450</v>
      </c>
      <c r="Y154" s="1">
        <f t="shared" si="34"/>
        <v>8900</v>
      </c>
      <c r="Z154" s="1">
        <f t="shared" si="35"/>
        <v>2670</v>
      </c>
      <c r="AA154" s="1">
        <f t="shared" si="36"/>
        <v>2670</v>
      </c>
      <c r="AC154" s="13"/>
      <c r="AD154" s="13"/>
      <c r="AE154" s="13"/>
      <c r="AF154" s="13"/>
    </row>
    <row r="155" spans="18:32" ht="20.100000000000001" customHeight="1">
      <c r="R155">
        <f t="shared" si="38"/>
        <v>13</v>
      </c>
      <c r="S155" s="1">
        <v>3</v>
      </c>
      <c r="T155" s="1">
        <f t="shared" si="37"/>
        <v>78</v>
      </c>
      <c r="U155" s="1">
        <v>2.5</v>
      </c>
      <c r="V155" s="1">
        <v>1.3</v>
      </c>
      <c r="X155" s="1">
        <f t="shared" si="33"/>
        <v>233625</v>
      </c>
      <c r="Y155" s="1">
        <f t="shared" si="34"/>
        <v>11570</v>
      </c>
      <c r="Z155" s="1">
        <f t="shared" si="35"/>
        <v>2670</v>
      </c>
      <c r="AA155" s="1">
        <f t="shared" si="36"/>
        <v>2670</v>
      </c>
      <c r="AC155" s="13"/>
      <c r="AD155" s="13"/>
      <c r="AE155" s="13"/>
      <c r="AF155" s="13"/>
    </row>
    <row r="156" spans="18:32" ht="20.100000000000001" customHeight="1">
      <c r="R156">
        <f t="shared" si="38"/>
        <v>13</v>
      </c>
      <c r="S156" s="1">
        <v>3</v>
      </c>
      <c r="T156" s="1">
        <f t="shared" si="37"/>
        <v>78</v>
      </c>
      <c r="U156" s="1">
        <v>2.5</v>
      </c>
      <c r="V156" s="1">
        <v>1.3</v>
      </c>
      <c r="X156" s="1">
        <f t="shared" si="33"/>
        <v>233625</v>
      </c>
      <c r="Y156" s="1">
        <f t="shared" si="34"/>
        <v>11570</v>
      </c>
      <c r="Z156" s="1">
        <f t="shared" si="35"/>
        <v>2670</v>
      </c>
      <c r="AA156" s="1">
        <f t="shared" si="36"/>
        <v>2670</v>
      </c>
      <c r="AC156" s="13"/>
      <c r="AD156" s="13"/>
      <c r="AE156" s="13"/>
      <c r="AF156" s="13"/>
    </row>
    <row r="157" spans="18:32" ht="20.100000000000001" customHeight="1">
      <c r="R157">
        <f t="shared" si="38"/>
        <v>14</v>
      </c>
      <c r="S157" s="1">
        <v>1</v>
      </c>
      <c r="T157" s="1">
        <f t="shared" si="37"/>
        <v>79</v>
      </c>
      <c r="U157" s="1">
        <v>1</v>
      </c>
      <c r="V157" s="1">
        <v>1</v>
      </c>
      <c r="X157" s="1">
        <f t="shared" si="33"/>
        <v>95550</v>
      </c>
      <c r="Y157" s="1">
        <f t="shared" si="34"/>
        <v>9100</v>
      </c>
      <c r="Z157" s="1">
        <f t="shared" si="35"/>
        <v>2730</v>
      </c>
      <c r="AA157" s="1">
        <f t="shared" si="36"/>
        <v>2730</v>
      </c>
      <c r="AC157" s="13"/>
      <c r="AD157" s="13"/>
      <c r="AE157" s="13"/>
      <c r="AF157" s="13"/>
    </row>
    <row r="158" spans="18:32" ht="20.100000000000001" customHeight="1">
      <c r="R158">
        <f t="shared" si="38"/>
        <v>14</v>
      </c>
      <c r="S158" s="1">
        <v>3</v>
      </c>
      <c r="T158" s="1">
        <f t="shared" si="37"/>
        <v>79</v>
      </c>
      <c r="U158" s="1">
        <v>2.5</v>
      </c>
      <c r="V158" s="1">
        <v>1.3</v>
      </c>
      <c r="X158" s="1">
        <f t="shared" si="33"/>
        <v>238875</v>
      </c>
      <c r="Y158" s="1">
        <f t="shared" si="34"/>
        <v>11830</v>
      </c>
      <c r="Z158" s="1">
        <f t="shared" si="35"/>
        <v>2730</v>
      </c>
      <c r="AA158" s="1">
        <f t="shared" si="36"/>
        <v>2730</v>
      </c>
      <c r="AC158" s="13"/>
      <c r="AD158" s="13"/>
      <c r="AE158" s="13"/>
      <c r="AF158" s="13"/>
    </row>
    <row r="159" spans="18:32" ht="20.100000000000001" customHeight="1">
      <c r="R159">
        <f t="shared" si="38"/>
        <v>14</v>
      </c>
      <c r="S159" s="1">
        <v>3</v>
      </c>
      <c r="T159" s="1">
        <f t="shared" si="37"/>
        <v>79</v>
      </c>
      <c r="U159" s="1">
        <v>2.5</v>
      </c>
      <c r="V159" s="1">
        <v>1.3</v>
      </c>
      <c r="X159" s="1">
        <f t="shared" si="33"/>
        <v>238875</v>
      </c>
      <c r="Y159" s="1">
        <f t="shared" si="34"/>
        <v>11830</v>
      </c>
      <c r="Z159" s="1">
        <f t="shared" si="35"/>
        <v>2730</v>
      </c>
      <c r="AA159" s="1">
        <f t="shared" si="36"/>
        <v>2730</v>
      </c>
      <c r="AC159" s="13"/>
      <c r="AD159" s="13"/>
      <c r="AE159" s="13"/>
      <c r="AF159" s="13"/>
    </row>
    <row r="160" spans="18:32" ht="20.100000000000001" customHeight="1">
      <c r="R160">
        <f t="shared" si="38"/>
        <v>15</v>
      </c>
      <c r="S160" s="1">
        <v>1</v>
      </c>
      <c r="T160" s="1">
        <f t="shared" si="37"/>
        <v>80</v>
      </c>
      <c r="U160" s="1">
        <v>1</v>
      </c>
      <c r="V160" s="1">
        <v>1</v>
      </c>
      <c r="X160" s="1">
        <f t="shared" si="33"/>
        <v>97650</v>
      </c>
      <c r="Y160" s="1">
        <f t="shared" si="34"/>
        <v>9300</v>
      </c>
      <c r="Z160" s="1">
        <f t="shared" si="35"/>
        <v>2790</v>
      </c>
      <c r="AA160" s="1">
        <f t="shared" si="36"/>
        <v>2790</v>
      </c>
      <c r="AC160" s="13"/>
      <c r="AD160" s="13"/>
      <c r="AE160" s="13"/>
      <c r="AF160" s="13"/>
    </row>
    <row r="161" spans="18:32" ht="20.100000000000001" customHeight="1">
      <c r="R161">
        <f t="shared" si="38"/>
        <v>15</v>
      </c>
      <c r="S161" s="1">
        <v>3</v>
      </c>
      <c r="T161" s="1">
        <f t="shared" si="37"/>
        <v>80</v>
      </c>
      <c r="U161" s="1">
        <v>2.5</v>
      </c>
      <c r="V161" s="1">
        <v>1.3</v>
      </c>
      <c r="X161" s="1">
        <f t="shared" si="33"/>
        <v>244125</v>
      </c>
      <c r="Y161" s="1">
        <f t="shared" si="34"/>
        <v>12090</v>
      </c>
      <c r="Z161" s="1">
        <f t="shared" si="35"/>
        <v>2790</v>
      </c>
      <c r="AA161" s="1">
        <f t="shared" si="36"/>
        <v>2790</v>
      </c>
      <c r="AC161" s="13"/>
      <c r="AD161" s="13"/>
      <c r="AE161" s="13"/>
      <c r="AF161" s="13"/>
    </row>
    <row r="162" spans="18:32" ht="20.100000000000001" customHeight="1">
      <c r="R162">
        <f t="shared" si="38"/>
        <v>15</v>
      </c>
      <c r="S162" s="1">
        <v>3</v>
      </c>
      <c r="T162" s="1">
        <f t="shared" si="37"/>
        <v>80</v>
      </c>
      <c r="U162" s="1">
        <v>2.5</v>
      </c>
      <c r="V162" s="1">
        <v>1.3</v>
      </c>
      <c r="X162" s="1">
        <f t="shared" si="33"/>
        <v>244125</v>
      </c>
      <c r="Y162" s="1">
        <f t="shared" si="34"/>
        <v>12090</v>
      </c>
      <c r="Z162" s="1">
        <f t="shared" si="35"/>
        <v>2790</v>
      </c>
      <c r="AA162" s="1">
        <f t="shared" si="36"/>
        <v>2790</v>
      </c>
      <c r="AC162" s="13"/>
      <c r="AD162" s="13"/>
      <c r="AE162" s="13"/>
      <c r="AF162" s="13"/>
    </row>
    <row r="163" spans="18:32" ht="20.100000000000001" customHeight="1">
      <c r="R163">
        <f t="shared" si="38"/>
        <v>16</v>
      </c>
      <c r="S163" s="1">
        <v>1</v>
      </c>
      <c r="T163" s="1">
        <f t="shared" si="37"/>
        <v>81</v>
      </c>
      <c r="U163" s="1">
        <v>1</v>
      </c>
      <c r="V163" s="1">
        <v>1</v>
      </c>
      <c r="X163" s="1">
        <f t="shared" si="33"/>
        <v>99750</v>
      </c>
      <c r="Y163" s="1">
        <f t="shared" si="34"/>
        <v>9500</v>
      </c>
      <c r="Z163" s="1">
        <f t="shared" si="35"/>
        <v>2850</v>
      </c>
      <c r="AA163" s="1">
        <f t="shared" si="36"/>
        <v>2850</v>
      </c>
      <c r="AC163" s="13"/>
      <c r="AD163" s="13"/>
      <c r="AE163" s="13"/>
      <c r="AF163" s="13"/>
    </row>
    <row r="164" spans="18:32" ht="20.100000000000001" customHeight="1">
      <c r="R164">
        <f t="shared" si="38"/>
        <v>16</v>
      </c>
      <c r="S164" s="1">
        <v>3</v>
      </c>
      <c r="T164" s="1">
        <f t="shared" si="37"/>
        <v>81</v>
      </c>
      <c r="U164" s="1">
        <v>2.5</v>
      </c>
      <c r="V164" s="1">
        <v>1.3</v>
      </c>
      <c r="X164" s="1">
        <f t="shared" si="33"/>
        <v>249375</v>
      </c>
      <c r="Y164" s="1">
        <f t="shared" si="34"/>
        <v>12350</v>
      </c>
      <c r="Z164" s="1">
        <f t="shared" si="35"/>
        <v>2850</v>
      </c>
      <c r="AA164" s="1">
        <f t="shared" si="36"/>
        <v>2850</v>
      </c>
      <c r="AC164" s="13"/>
      <c r="AD164" s="13"/>
      <c r="AE164" s="13"/>
      <c r="AF164" s="13"/>
    </row>
    <row r="165" spans="18:32" ht="20.100000000000001" customHeight="1">
      <c r="R165">
        <f t="shared" si="38"/>
        <v>16</v>
      </c>
      <c r="S165" s="1">
        <v>3</v>
      </c>
      <c r="T165" s="1">
        <f t="shared" si="37"/>
        <v>81</v>
      </c>
      <c r="U165" s="1">
        <v>2.5</v>
      </c>
      <c r="V165" s="1">
        <v>1.3</v>
      </c>
      <c r="X165" s="1">
        <f t="shared" si="33"/>
        <v>249375</v>
      </c>
      <c r="Y165" s="1">
        <f t="shared" si="34"/>
        <v>12350</v>
      </c>
      <c r="Z165" s="1">
        <f t="shared" si="35"/>
        <v>2850</v>
      </c>
      <c r="AA165" s="1">
        <f t="shared" si="36"/>
        <v>2850</v>
      </c>
      <c r="AC165" s="13"/>
      <c r="AD165" s="13"/>
      <c r="AE165" s="13"/>
      <c r="AF165" s="13"/>
    </row>
    <row r="166" spans="18:32" ht="20.100000000000001" customHeight="1">
      <c r="R166">
        <f t="shared" si="38"/>
        <v>17</v>
      </c>
      <c r="S166" s="1">
        <v>1</v>
      </c>
      <c r="T166" s="1">
        <f t="shared" si="37"/>
        <v>82</v>
      </c>
      <c r="U166" s="1">
        <v>1</v>
      </c>
      <c r="V166" s="1">
        <v>1</v>
      </c>
      <c r="X166" s="1">
        <f t="shared" si="33"/>
        <v>101850</v>
      </c>
      <c r="Y166" s="1">
        <f t="shared" si="34"/>
        <v>9700</v>
      </c>
      <c r="Z166" s="1">
        <f t="shared" si="35"/>
        <v>2910</v>
      </c>
      <c r="AA166" s="1">
        <f t="shared" si="36"/>
        <v>2910</v>
      </c>
      <c r="AC166" s="13"/>
      <c r="AD166" s="13"/>
      <c r="AE166" s="13"/>
      <c r="AF166" s="13"/>
    </row>
    <row r="167" spans="18:32" ht="20.100000000000001" customHeight="1">
      <c r="R167">
        <f t="shared" si="38"/>
        <v>17</v>
      </c>
      <c r="S167" s="1">
        <v>3</v>
      </c>
      <c r="T167" s="1">
        <f t="shared" si="37"/>
        <v>82</v>
      </c>
      <c r="U167" s="1">
        <v>2.5</v>
      </c>
      <c r="V167" s="1">
        <v>1.3</v>
      </c>
      <c r="X167" s="1">
        <f t="shared" si="33"/>
        <v>254625</v>
      </c>
      <c r="Y167" s="1">
        <f t="shared" si="34"/>
        <v>12610</v>
      </c>
      <c r="Z167" s="1">
        <f t="shared" si="35"/>
        <v>2910</v>
      </c>
      <c r="AA167" s="1">
        <f t="shared" si="36"/>
        <v>2910</v>
      </c>
      <c r="AC167" s="13"/>
      <c r="AD167" s="13"/>
      <c r="AE167" s="13"/>
      <c r="AF167" s="13"/>
    </row>
    <row r="168" spans="18:32" ht="20.100000000000001" customHeight="1">
      <c r="R168">
        <f t="shared" si="38"/>
        <v>17</v>
      </c>
      <c r="S168" s="1">
        <v>3</v>
      </c>
      <c r="T168" s="1">
        <f t="shared" si="37"/>
        <v>82</v>
      </c>
      <c r="U168" s="1">
        <v>2.5</v>
      </c>
      <c r="V168" s="1">
        <v>1.3</v>
      </c>
      <c r="X168" s="1">
        <f t="shared" si="33"/>
        <v>254625</v>
      </c>
      <c r="Y168" s="1">
        <f t="shared" si="34"/>
        <v>12610</v>
      </c>
      <c r="Z168" s="1">
        <f t="shared" si="35"/>
        <v>2910</v>
      </c>
      <c r="AA168" s="1">
        <f t="shared" si="36"/>
        <v>2910</v>
      </c>
      <c r="AC168" s="13"/>
      <c r="AD168" s="13"/>
      <c r="AE168" s="13"/>
      <c r="AF168" s="13"/>
    </row>
    <row r="169" spans="18:32" ht="20.100000000000001" customHeight="1">
      <c r="R169">
        <f t="shared" si="38"/>
        <v>18</v>
      </c>
      <c r="S169" s="1">
        <v>1</v>
      </c>
      <c r="T169" s="1">
        <f t="shared" si="37"/>
        <v>83</v>
      </c>
      <c r="U169" s="1">
        <v>1</v>
      </c>
      <c r="V169" s="1">
        <v>1</v>
      </c>
      <c r="X169" s="1">
        <f t="shared" si="33"/>
        <v>103950</v>
      </c>
      <c r="Y169" s="1">
        <f t="shared" si="34"/>
        <v>9900</v>
      </c>
      <c r="Z169" s="1">
        <f t="shared" si="35"/>
        <v>2970</v>
      </c>
      <c r="AA169" s="1">
        <f t="shared" si="36"/>
        <v>2970</v>
      </c>
      <c r="AC169" s="13"/>
      <c r="AD169" s="13"/>
      <c r="AE169" s="13"/>
      <c r="AF169" s="13"/>
    </row>
    <row r="170" spans="18:32" ht="20.100000000000001" customHeight="1">
      <c r="R170">
        <f t="shared" si="38"/>
        <v>18</v>
      </c>
      <c r="S170" s="1">
        <v>3</v>
      </c>
      <c r="T170" s="1">
        <f t="shared" si="37"/>
        <v>83</v>
      </c>
      <c r="U170" s="1">
        <v>2.5</v>
      </c>
      <c r="V170" s="1">
        <v>1.3</v>
      </c>
      <c r="X170" s="1">
        <f t="shared" si="33"/>
        <v>259875</v>
      </c>
      <c r="Y170" s="1">
        <f t="shared" si="34"/>
        <v>12870</v>
      </c>
      <c r="Z170" s="1">
        <f t="shared" si="35"/>
        <v>2970</v>
      </c>
      <c r="AA170" s="1">
        <f t="shared" si="36"/>
        <v>2970</v>
      </c>
      <c r="AC170" s="13"/>
      <c r="AD170" s="13"/>
      <c r="AE170" s="13"/>
      <c r="AF170" s="13"/>
    </row>
    <row r="171" spans="18:32" ht="20.100000000000001" customHeight="1">
      <c r="R171">
        <f t="shared" si="38"/>
        <v>18</v>
      </c>
      <c r="S171" s="1">
        <v>3</v>
      </c>
      <c r="T171" s="1">
        <f t="shared" si="37"/>
        <v>83</v>
      </c>
      <c r="U171" s="1">
        <v>2.5</v>
      </c>
      <c r="V171" s="1">
        <v>1.3</v>
      </c>
      <c r="X171" s="1">
        <f t="shared" si="33"/>
        <v>259875</v>
      </c>
      <c r="Y171" s="1">
        <f t="shared" si="34"/>
        <v>12870</v>
      </c>
      <c r="Z171" s="1">
        <f t="shared" si="35"/>
        <v>2970</v>
      </c>
      <c r="AA171" s="1">
        <f t="shared" si="36"/>
        <v>2970</v>
      </c>
      <c r="AC171" s="13"/>
      <c r="AD171" s="13"/>
      <c r="AE171" s="13"/>
      <c r="AF171" s="13"/>
    </row>
    <row r="172" spans="18:32" ht="20.100000000000001" customHeight="1">
      <c r="R172">
        <f t="shared" si="38"/>
        <v>19</v>
      </c>
      <c r="S172" s="1">
        <v>1</v>
      </c>
      <c r="T172" s="1">
        <f t="shared" si="37"/>
        <v>84</v>
      </c>
      <c r="U172" s="1">
        <v>1</v>
      </c>
      <c r="V172" s="1">
        <v>1</v>
      </c>
      <c r="X172" s="1">
        <f t="shared" si="33"/>
        <v>106050</v>
      </c>
      <c r="Y172" s="1">
        <f t="shared" si="34"/>
        <v>10100</v>
      </c>
      <c r="Z172" s="1">
        <f t="shared" si="35"/>
        <v>3030</v>
      </c>
      <c r="AA172" s="1">
        <f t="shared" si="36"/>
        <v>3030</v>
      </c>
      <c r="AC172" s="13"/>
      <c r="AD172" s="13"/>
      <c r="AE172" s="13"/>
      <c r="AF172" s="13"/>
    </row>
    <row r="173" spans="18:32" ht="20.100000000000001" customHeight="1">
      <c r="R173">
        <f t="shared" si="38"/>
        <v>19</v>
      </c>
      <c r="S173" s="1">
        <v>3</v>
      </c>
      <c r="T173" s="1">
        <f t="shared" si="37"/>
        <v>84</v>
      </c>
      <c r="U173" s="1">
        <v>2.5</v>
      </c>
      <c r="V173" s="1">
        <v>1.3</v>
      </c>
      <c r="X173" s="1">
        <f t="shared" si="33"/>
        <v>265125</v>
      </c>
      <c r="Y173" s="1">
        <f t="shared" si="34"/>
        <v>13130</v>
      </c>
      <c r="Z173" s="1">
        <f t="shared" si="35"/>
        <v>3030</v>
      </c>
      <c r="AA173" s="1">
        <f t="shared" si="36"/>
        <v>3030</v>
      </c>
      <c r="AC173" s="13"/>
      <c r="AD173" s="13"/>
      <c r="AE173" s="13"/>
      <c r="AF173" s="13"/>
    </row>
    <row r="174" spans="18:32" ht="20.100000000000001" customHeight="1">
      <c r="R174">
        <f t="shared" si="38"/>
        <v>19</v>
      </c>
      <c r="S174" s="1">
        <v>3</v>
      </c>
      <c r="T174" s="1">
        <f t="shared" si="37"/>
        <v>84</v>
      </c>
      <c r="U174" s="1">
        <v>2.5</v>
      </c>
      <c r="V174" s="1">
        <v>1.3</v>
      </c>
      <c r="X174" s="1">
        <f t="shared" si="33"/>
        <v>265125</v>
      </c>
      <c r="Y174" s="1">
        <f t="shared" si="34"/>
        <v>13130</v>
      </c>
      <c r="Z174" s="1">
        <f t="shared" si="35"/>
        <v>3030</v>
      </c>
      <c r="AA174" s="1">
        <f t="shared" si="36"/>
        <v>3030</v>
      </c>
      <c r="AC174" s="13"/>
      <c r="AD174" s="13"/>
      <c r="AE174" s="13"/>
      <c r="AF174" s="13"/>
    </row>
    <row r="175" spans="18:32" ht="20.100000000000001" customHeight="1">
      <c r="R175">
        <f t="shared" si="38"/>
        <v>20</v>
      </c>
      <c r="S175" s="1">
        <v>1</v>
      </c>
      <c r="T175" s="1">
        <f t="shared" si="37"/>
        <v>85</v>
      </c>
      <c r="U175" s="1">
        <v>1</v>
      </c>
      <c r="V175" s="1">
        <v>1</v>
      </c>
      <c r="X175" s="1">
        <f t="shared" si="33"/>
        <v>108150</v>
      </c>
      <c r="Y175" s="1">
        <f t="shared" si="34"/>
        <v>10300</v>
      </c>
      <c r="Z175" s="1">
        <f t="shared" si="35"/>
        <v>3090</v>
      </c>
      <c r="AA175" s="1">
        <f t="shared" si="36"/>
        <v>3090</v>
      </c>
      <c r="AC175" s="13"/>
      <c r="AD175" s="13"/>
      <c r="AE175" s="13"/>
      <c r="AF175" s="13"/>
    </row>
    <row r="176" spans="18:32" ht="20.100000000000001" customHeight="1">
      <c r="R176">
        <f t="shared" si="38"/>
        <v>20</v>
      </c>
      <c r="S176" s="1">
        <v>3</v>
      </c>
      <c r="T176" s="1">
        <f t="shared" si="37"/>
        <v>85</v>
      </c>
      <c r="U176" s="1">
        <v>2.5</v>
      </c>
      <c r="V176" s="1">
        <v>1.3</v>
      </c>
      <c r="X176" s="1">
        <f t="shared" si="33"/>
        <v>270375</v>
      </c>
      <c r="Y176" s="1">
        <f t="shared" si="34"/>
        <v>13390</v>
      </c>
      <c r="Z176" s="1">
        <f t="shared" si="35"/>
        <v>3090</v>
      </c>
      <c r="AA176" s="1">
        <f t="shared" si="36"/>
        <v>3090</v>
      </c>
      <c r="AC176" s="13"/>
      <c r="AD176" s="13"/>
      <c r="AE176" s="13"/>
      <c r="AF176" s="13"/>
    </row>
    <row r="177" spans="18:32" ht="20.100000000000001" customHeight="1">
      <c r="R177">
        <f t="shared" si="38"/>
        <v>20</v>
      </c>
      <c r="S177" s="1">
        <v>3</v>
      </c>
      <c r="T177" s="1">
        <f t="shared" si="37"/>
        <v>85</v>
      </c>
      <c r="U177" s="1">
        <v>2.5</v>
      </c>
      <c r="V177" s="1">
        <v>1.3</v>
      </c>
      <c r="X177" s="1">
        <f t="shared" si="33"/>
        <v>270375</v>
      </c>
      <c r="Y177" s="1">
        <f t="shared" si="34"/>
        <v>13390</v>
      </c>
      <c r="Z177" s="1">
        <f t="shared" si="35"/>
        <v>3090</v>
      </c>
      <c r="AA177" s="1">
        <f t="shared" si="36"/>
        <v>3090</v>
      </c>
      <c r="AC177" s="13"/>
      <c r="AD177" s="13"/>
      <c r="AE177" s="13"/>
      <c r="AF177" s="13"/>
    </row>
    <row r="178" spans="18:32" ht="20.100000000000001" customHeight="1"/>
    <row r="179" spans="18:32" ht="20.100000000000001" customHeight="1"/>
    <row r="180" spans="18:32" ht="20.100000000000001" customHeight="1"/>
    <row r="181" spans="18:32" ht="20.100000000000001" customHeight="1"/>
    <row r="182" spans="18:32" ht="20.100000000000001" customHeight="1"/>
    <row r="183" spans="18:32" ht="20.100000000000001" customHeight="1"/>
    <row r="184" spans="18:32" ht="20.100000000000001" customHeight="1"/>
    <row r="185" spans="18:32" ht="20.100000000000001" customHeight="1"/>
    <row r="186" spans="18:32" ht="20.100000000000001" customHeight="1"/>
    <row r="187" spans="18:32" ht="20.100000000000001" customHeight="1"/>
    <row r="188" spans="18:32" ht="20.100000000000001" customHeight="1"/>
    <row r="189" spans="18:32" ht="20.100000000000001" customHeight="1"/>
    <row r="190" spans="18:32" ht="20.100000000000001" customHeight="1"/>
    <row r="191" spans="18:32" ht="20.100000000000001" customHeight="1"/>
    <row r="192" spans="18:3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</sheetData>
  <phoneticPr fontId="35" type="noConversion"/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54"/>
  <sheetViews>
    <sheetView topLeftCell="F1" workbookViewId="0">
      <selection activeCell="H35" sqref="H35"/>
    </sheetView>
  </sheetViews>
  <sheetFormatPr defaultColWidth="9" defaultRowHeight="14.25"/>
  <cols>
    <col min="1" max="1" width="9" style="13"/>
    <col min="2" max="2" width="27.5" style="13" bestFit="1" customWidth="1"/>
    <col min="3" max="3" width="9" style="13"/>
    <col min="4" max="4" width="20.5" style="13" bestFit="1" customWidth="1"/>
    <col min="5" max="5" width="26.25" style="13" customWidth="1"/>
    <col min="6" max="7" width="20.5" style="13" bestFit="1" customWidth="1"/>
    <col min="8" max="8" width="13.125" style="13" customWidth="1"/>
    <col min="9" max="9" width="12.125" style="13" customWidth="1"/>
    <col min="11" max="11" width="12" customWidth="1"/>
    <col min="12" max="12" width="18.125" customWidth="1"/>
    <col min="13" max="13" width="16.875" customWidth="1"/>
    <col min="14" max="14" width="15.125" customWidth="1"/>
    <col min="15" max="15" width="20.5" bestFit="1" customWidth="1"/>
    <col min="16" max="16" width="16.375" bestFit="1" customWidth="1"/>
    <col min="17" max="17" width="12.5" customWidth="1"/>
    <col min="18" max="18" width="10.875" customWidth="1"/>
    <col min="19" max="19" width="10.5" bestFit="1" customWidth="1"/>
  </cols>
  <sheetData>
    <row r="1" spans="1:21" s="5" customFormat="1" ht="20.100000000000001" customHeight="1">
      <c r="A1" s="4" t="s">
        <v>25</v>
      </c>
      <c r="B1" s="4" t="s">
        <v>26</v>
      </c>
      <c r="C1" s="4" t="s">
        <v>27</v>
      </c>
      <c r="D1" s="4" t="s">
        <v>2</v>
      </c>
      <c r="E1" s="4" t="s">
        <v>3</v>
      </c>
      <c r="F1" s="4" t="s">
        <v>28</v>
      </c>
      <c r="G1" s="4" t="s">
        <v>29</v>
      </c>
      <c r="H1" s="4"/>
      <c r="I1" s="4"/>
    </row>
    <row r="2" spans="1:21" s="5" customFormat="1" ht="20.100000000000001" customHeight="1">
      <c r="A2" s="1">
        <v>1</v>
      </c>
      <c r="B2" s="1">
        <v>0.75</v>
      </c>
      <c r="C2" s="1">
        <v>2</v>
      </c>
      <c r="D2" s="1">
        <f>E2*7.5</f>
        <v>1500</v>
      </c>
      <c r="E2" s="1">
        <f>$C2*总表!E$4</f>
        <v>200</v>
      </c>
      <c r="F2" s="1">
        <f>E2</f>
        <v>200</v>
      </c>
      <c r="G2" s="1">
        <f>E2</f>
        <v>200</v>
      </c>
      <c r="H2" s="1">
        <f>E2*3</f>
        <v>600</v>
      </c>
      <c r="I2" s="4"/>
      <c r="J2" s="53"/>
      <c r="K2" s="53"/>
      <c r="R2" s="1"/>
      <c r="S2" s="1"/>
      <c r="T2" s="1"/>
      <c r="U2" s="1"/>
    </row>
    <row r="3" spans="1:21" s="5" customFormat="1" ht="20.100000000000001" customHeight="1">
      <c r="A3" s="1">
        <v>2</v>
      </c>
      <c r="B3" s="1">
        <v>1.5</v>
      </c>
      <c r="C3" s="1">
        <v>3.5</v>
      </c>
      <c r="D3" s="1">
        <f t="shared" ref="D3:D11" si="0">E3*7.5</f>
        <v>2625</v>
      </c>
      <c r="E3" s="1">
        <f>$C3*总表!E$4</f>
        <v>350</v>
      </c>
      <c r="F3" s="1">
        <f t="shared" ref="F3:F11" si="1">E3</f>
        <v>350</v>
      </c>
      <c r="G3" s="1">
        <f t="shared" ref="G3:G11" si="2">E3</f>
        <v>350</v>
      </c>
      <c r="H3" s="1">
        <f t="shared" ref="H3:H11" si="3">E3*3</f>
        <v>1050</v>
      </c>
      <c r="I3" s="4"/>
      <c r="J3" s="4"/>
      <c r="K3" s="53"/>
      <c r="L3" s="4" t="s">
        <v>2454</v>
      </c>
      <c r="M3" s="1"/>
      <c r="N3" s="4" t="s">
        <v>2455</v>
      </c>
      <c r="O3" s="1"/>
      <c r="R3" s="1" t="s">
        <v>765</v>
      </c>
      <c r="S3" s="1">
        <v>790</v>
      </c>
      <c r="T3" s="1" t="str">
        <f>"生命+"&amp;S3</f>
        <v>生命+790</v>
      </c>
      <c r="U3" s="1"/>
    </row>
    <row r="4" spans="1:21" s="5" customFormat="1" ht="20.100000000000001" customHeight="1">
      <c r="A4" s="1">
        <v>3</v>
      </c>
      <c r="B4" s="1">
        <v>2.25</v>
      </c>
      <c r="C4" s="1">
        <v>5</v>
      </c>
      <c r="D4" s="1">
        <f t="shared" si="0"/>
        <v>3750</v>
      </c>
      <c r="E4" s="1">
        <f>$C4*总表!E$4</f>
        <v>500</v>
      </c>
      <c r="F4" s="1">
        <f t="shared" si="1"/>
        <v>500</v>
      </c>
      <c r="G4" s="1">
        <f t="shared" si="2"/>
        <v>500</v>
      </c>
      <c r="H4" s="1">
        <f t="shared" si="3"/>
        <v>1500</v>
      </c>
      <c r="I4" s="4" t="s">
        <v>2456</v>
      </c>
      <c r="J4" s="4" t="s">
        <v>2457</v>
      </c>
      <c r="K4" s="1">
        <v>1</v>
      </c>
      <c r="L4" s="4" t="s">
        <v>2282</v>
      </c>
      <c r="M4" s="1" t="s">
        <v>2688</v>
      </c>
      <c r="N4" s="1" t="s">
        <v>2282</v>
      </c>
      <c r="O4" s="1" t="s">
        <v>2696</v>
      </c>
      <c r="R4" s="1"/>
      <c r="S4" s="1">
        <v>1580</v>
      </c>
      <c r="T4" s="1" t="str">
        <f t="shared" ref="T4:T12" si="4">"生命+"&amp;S4</f>
        <v>生命+1580</v>
      </c>
      <c r="U4" s="1"/>
    </row>
    <row r="5" spans="1:21" s="5" customFormat="1" ht="20.100000000000001" customHeight="1">
      <c r="A5" s="1">
        <v>4</v>
      </c>
      <c r="B5" s="1">
        <v>3</v>
      </c>
      <c r="C5" s="1">
        <v>6.5</v>
      </c>
      <c r="D5" s="1">
        <f t="shared" si="0"/>
        <v>4875</v>
      </c>
      <c r="E5" s="1">
        <f>$C5*总表!E$4</f>
        <v>650</v>
      </c>
      <c r="F5" s="1">
        <f t="shared" si="1"/>
        <v>650</v>
      </c>
      <c r="G5" s="1">
        <f t="shared" si="2"/>
        <v>650</v>
      </c>
      <c r="H5" s="1">
        <f t="shared" si="3"/>
        <v>1950</v>
      </c>
      <c r="I5" s="4"/>
      <c r="J5" s="4" t="s">
        <v>2458</v>
      </c>
      <c r="K5" s="1">
        <v>2</v>
      </c>
      <c r="L5" s="4" t="s">
        <v>2289</v>
      </c>
      <c r="M5" s="1" t="s">
        <v>2690</v>
      </c>
      <c r="N5" s="1" t="s">
        <v>2459</v>
      </c>
      <c r="O5" s="1" t="s">
        <v>2697</v>
      </c>
      <c r="R5" s="1"/>
      <c r="S5" s="1">
        <v>2360</v>
      </c>
      <c r="T5" s="1" t="str">
        <f t="shared" si="4"/>
        <v>生命+2360</v>
      </c>
      <c r="U5" s="1"/>
    </row>
    <row r="6" spans="1:21" s="5" customFormat="1" ht="20.100000000000001" customHeight="1">
      <c r="A6" s="1">
        <v>5</v>
      </c>
      <c r="B6" s="1">
        <v>3.75</v>
      </c>
      <c r="C6" s="1">
        <v>8</v>
      </c>
      <c r="D6" s="1">
        <f t="shared" si="0"/>
        <v>6000</v>
      </c>
      <c r="E6" s="1">
        <f>$C6*总表!E$4</f>
        <v>800</v>
      </c>
      <c r="F6" s="1">
        <f t="shared" si="1"/>
        <v>800</v>
      </c>
      <c r="G6" s="1">
        <f t="shared" si="2"/>
        <v>800</v>
      </c>
      <c r="H6" s="1">
        <f t="shared" si="3"/>
        <v>2400</v>
      </c>
      <c r="I6" s="4"/>
      <c r="J6" s="4" t="s">
        <v>2460</v>
      </c>
      <c r="K6" s="1">
        <v>3</v>
      </c>
      <c r="L6" s="4" t="s">
        <v>2294</v>
      </c>
      <c r="M6" s="1" t="s">
        <v>2691</v>
      </c>
      <c r="N6" s="1" t="s">
        <v>2459</v>
      </c>
      <c r="O6" s="1" t="s">
        <v>2698</v>
      </c>
      <c r="R6" s="1"/>
      <c r="S6" s="1">
        <v>3150</v>
      </c>
      <c r="T6" s="1" t="str">
        <f t="shared" si="4"/>
        <v>生命+3150</v>
      </c>
      <c r="U6" s="1"/>
    </row>
    <row r="7" spans="1:21" s="5" customFormat="1" ht="20.100000000000001" customHeight="1">
      <c r="A7" s="1">
        <v>6</v>
      </c>
      <c r="B7" s="1">
        <v>4.5</v>
      </c>
      <c r="C7" s="1">
        <v>10</v>
      </c>
      <c r="D7" s="1">
        <f t="shared" si="0"/>
        <v>7500</v>
      </c>
      <c r="E7" s="1">
        <f>$C7*总表!E$4</f>
        <v>1000</v>
      </c>
      <c r="F7" s="1">
        <f t="shared" si="1"/>
        <v>1000</v>
      </c>
      <c r="G7" s="1">
        <f t="shared" si="2"/>
        <v>1000</v>
      </c>
      <c r="H7" s="1">
        <f t="shared" si="3"/>
        <v>3000</v>
      </c>
      <c r="I7" s="4"/>
      <c r="J7" s="53"/>
      <c r="K7" s="53"/>
      <c r="L7" s="4" t="s">
        <v>2304</v>
      </c>
      <c r="M7" s="1" t="s">
        <v>2692</v>
      </c>
      <c r="N7" s="1" t="s">
        <v>2461</v>
      </c>
      <c r="O7" s="1" t="s">
        <v>2699</v>
      </c>
      <c r="R7" s="1"/>
      <c r="S7" s="1">
        <v>3940</v>
      </c>
      <c r="T7" s="1" t="str">
        <f t="shared" si="4"/>
        <v>生命+3940</v>
      </c>
      <c r="U7" s="1"/>
    </row>
    <row r="8" spans="1:21" s="5" customFormat="1" ht="20.100000000000001" customHeight="1">
      <c r="A8" s="1">
        <v>7</v>
      </c>
      <c r="B8" s="1">
        <v>5.25</v>
      </c>
      <c r="C8" s="1">
        <v>12</v>
      </c>
      <c r="D8" s="1">
        <f t="shared" si="0"/>
        <v>9000</v>
      </c>
      <c r="E8" s="1">
        <f>$C8*总表!E$4</f>
        <v>1200</v>
      </c>
      <c r="F8" s="1">
        <f t="shared" si="1"/>
        <v>1200</v>
      </c>
      <c r="G8" s="1">
        <f t="shared" si="2"/>
        <v>1200</v>
      </c>
      <c r="H8" s="1">
        <f t="shared" si="3"/>
        <v>3600</v>
      </c>
      <c r="I8" s="1"/>
      <c r="L8" s="4" t="s">
        <v>2462</v>
      </c>
      <c r="M8" s="1" t="s">
        <v>2693</v>
      </c>
      <c r="N8" s="1" t="s">
        <v>2461</v>
      </c>
      <c r="O8" s="1" t="s">
        <v>2700</v>
      </c>
      <c r="R8" s="1"/>
      <c r="S8" s="1">
        <v>4730</v>
      </c>
      <c r="T8" s="1" t="str">
        <f t="shared" si="4"/>
        <v>生命+4730</v>
      </c>
      <c r="U8" s="1"/>
    </row>
    <row r="9" spans="1:21" s="5" customFormat="1" ht="20.100000000000001" customHeight="1">
      <c r="A9" s="1">
        <v>8</v>
      </c>
      <c r="B9" s="1">
        <v>6</v>
      </c>
      <c r="C9" s="1">
        <v>14</v>
      </c>
      <c r="D9" s="1">
        <f t="shared" si="0"/>
        <v>10500</v>
      </c>
      <c r="E9" s="1">
        <f>$C9*总表!E$4</f>
        <v>1400</v>
      </c>
      <c r="F9" s="1">
        <f t="shared" si="1"/>
        <v>1400</v>
      </c>
      <c r="G9" s="1">
        <f t="shared" si="2"/>
        <v>1400</v>
      </c>
      <c r="H9" s="1">
        <f t="shared" si="3"/>
        <v>4200</v>
      </c>
      <c r="I9" s="1"/>
      <c r="L9" s="4" t="s">
        <v>2298</v>
      </c>
      <c r="M9" s="1" t="s">
        <v>2694</v>
      </c>
      <c r="N9" s="1" t="s">
        <v>2459</v>
      </c>
      <c r="O9" s="1" t="s">
        <v>2697</v>
      </c>
      <c r="R9" s="1"/>
      <c r="S9" s="1">
        <v>5510</v>
      </c>
      <c r="T9" s="1" t="str">
        <f t="shared" si="4"/>
        <v>生命+5510</v>
      </c>
      <c r="U9" s="1"/>
    </row>
    <row r="10" spans="1:21" s="5" customFormat="1" ht="20.100000000000001" customHeight="1">
      <c r="A10" s="1">
        <v>9</v>
      </c>
      <c r="B10" s="1">
        <v>6.75</v>
      </c>
      <c r="C10" s="1">
        <v>17</v>
      </c>
      <c r="D10" s="1">
        <f t="shared" si="0"/>
        <v>12750</v>
      </c>
      <c r="E10" s="1">
        <f>$C10*总表!E$4</f>
        <v>1700</v>
      </c>
      <c r="F10" s="1">
        <f t="shared" si="1"/>
        <v>1700</v>
      </c>
      <c r="G10" s="1">
        <f t="shared" si="2"/>
        <v>1700</v>
      </c>
      <c r="H10" s="1">
        <f t="shared" si="3"/>
        <v>5100</v>
      </c>
      <c r="I10" s="1"/>
      <c r="K10" s="5" t="s">
        <v>2695</v>
      </c>
      <c r="L10" s="4" t="s">
        <v>2286</v>
      </c>
      <c r="M10" s="1" t="s">
        <v>2689</v>
      </c>
      <c r="N10" s="1" t="s">
        <v>2282</v>
      </c>
      <c r="O10" s="1" t="s">
        <v>2696</v>
      </c>
      <c r="R10" s="1"/>
      <c r="S10" s="1">
        <v>6300</v>
      </c>
      <c r="T10" s="1" t="str">
        <f t="shared" si="4"/>
        <v>生命+6300</v>
      </c>
      <c r="U10" s="1"/>
    </row>
    <row r="11" spans="1:21" s="5" customFormat="1" ht="20.100000000000001" customHeight="1">
      <c r="A11" s="1">
        <v>10</v>
      </c>
      <c r="B11" s="1">
        <v>7.5</v>
      </c>
      <c r="C11" s="1">
        <v>20</v>
      </c>
      <c r="D11" s="1">
        <f t="shared" si="0"/>
        <v>15000</v>
      </c>
      <c r="E11" s="1">
        <f>$C11*总表!E$4</f>
        <v>2000</v>
      </c>
      <c r="F11" s="1">
        <f t="shared" si="1"/>
        <v>2000</v>
      </c>
      <c r="G11" s="1">
        <f t="shared" si="2"/>
        <v>2000</v>
      </c>
      <c r="H11" s="1">
        <f t="shared" si="3"/>
        <v>6000</v>
      </c>
      <c r="I11" s="1"/>
      <c r="R11" s="1"/>
      <c r="S11" s="1">
        <v>7090</v>
      </c>
      <c r="T11" s="1" t="str">
        <f t="shared" si="4"/>
        <v>生命+7090</v>
      </c>
      <c r="U11" s="1"/>
    </row>
    <row r="12" spans="1:21" ht="20.100000000000001" customHeight="1">
      <c r="Q12" s="5"/>
      <c r="R12" s="1"/>
      <c r="S12" s="1">
        <v>7880</v>
      </c>
      <c r="T12" s="1" t="str">
        <f t="shared" si="4"/>
        <v>生命+7880</v>
      </c>
      <c r="U12" s="1"/>
    </row>
    <row r="13" spans="1:21" ht="20.100000000000001" customHeight="1">
      <c r="L13" s="4" t="s">
        <v>2701</v>
      </c>
      <c r="M13" s="1" t="s">
        <v>2704</v>
      </c>
      <c r="Q13" s="5"/>
      <c r="R13" s="1"/>
      <c r="S13" s="1"/>
      <c r="T13" s="1"/>
      <c r="U13" s="1"/>
    </row>
    <row r="14" spans="1:21" ht="20.100000000000001" customHeight="1">
      <c r="D14" s="103" t="s">
        <v>2770</v>
      </c>
      <c r="E14" s="103" t="s">
        <v>2771</v>
      </c>
      <c r="F14" s="103" t="s">
        <v>2772</v>
      </c>
      <c r="G14" s="103" t="s">
        <v>2773</v>
      </c>
      <c r="L14" s="4" t="s">
        <v>2702</v>
      </c>
      <c r="M14" s="1" t="s">
        <v>2705</v>
      </c>
    </row>
    <row r="15" spans="1:21" ht="20.100000000000001" customHeight="1">
      <c r="C15" s="13">
        <v>1</v>
      </c>
      <c r="D15" s="1" t="str">
        <f>D$14&amp;"+"&amp;D2&amp;"\n"&amp;D$14&amp;"+"&amp;$C15&amp;"%"</f>
        <v>生命+1500\n生命+1%</v>
      </c>
      <c r="E15" s="1" t="str">
        <f>E$14&amp;"+"&amp;E2&amp;"\n"&amp;E$14&amp;"+"&amp;$C15&amp;"%"</f>
        <v>攻击+200\n攻击+1%</v>
      </c>
      <c r="F15" s="1" t="str">
        <f>F$14&amp;"+"&amp;F2&amp;"\n"&amp;F$14&amp;"+"&amp;$C15&amp;"%"</f>
        <v>物防+200\n物防+1%</v>
      </c>
      <c r="G15" s="1" t="str">
        <f>G$14&amp;"+"&amp;G2&amp;"\n"&amp;G$14&amp;"+"&amp;$C15&amp;"%"</f>
        <v>魔防+200\n魔防+1%</v>
      </c>
      <c r="H15" s="1" t="s">
        <v>2712</v>
      </c>
      <c r="I15" s="1" t="s">
        <v>2713</v>
      </c>
      <c r="K15" s="13"/>
      <c r="L15" s="4" t="s">
        <v>2703</v>
      </c>
      <c r="M15" s="1" t="s">
        <v>2706</v>
      </c>
    </row>
    <row r="16" spans="1:21" ht="20.100000000000001" customHeight="1">
      <c r="C16" s="13">
        <v>2</v>
      </c>
      <c r="D16" s="1" t="str">
        <f t="shared" ref="D16:D24" si="5">D$14&amp;"+"&amp;D3&amp;"\n"&amp;D$14&amp;"+"&amp;C16&amp;"%"</f>
        <v>生命+2625\n生命+2%</v>
      </c>
      <c r="E16" s="1" t="str">
        <f t="shared" ref="E16:F24" si="6">E$14&amp;"+"&amp;E3&amp;"\n"&amp;E$14&amp;"+"&amp;$C16&amp;"%"</f>
        <v>攻击+350\n攻击+2%</v>
      </c>
      <c r="F16" s="1" t="str">
        <f t="shared" si="6"/>
        <v>物防+350\n物防+2%</v>
      </c>
      <c r="G16" s="1" t="str">
        <f t="shared" ref="G16" si="7">G$14&amp;"+"&amp;G3&amp;"\n"&amp;G$14&amp;"+"&amp;$C16&amp;"%"</f>
        <v>魔防+350\n魔防+2%</v>
      </c>
    </row>
    <row r="17" spans="3:17" ht="20.100000000000001" customHeight="1">
      <c r="C17" s="13">
        <v>3</v>
      </c>
      <c r="D17" s="1" t="str">
        <f t="shared" si="5"/>
        <v>生命+3750\n生命+3%</v>
      </c>
      <c r="E17" s="1" t="str">
        <f t="shared" si="6"/>
        <v>攻击+500\n攻击+3%</v>
      </c>
      <c r="F17" s="1" t="str">
        <f t="shared" si="6"/>
        <v>物防+500\n物防+3%</v>
      </c>
      <c r="G17" s="1" t="str">
        <f t="shared" ref="G17" si="8">G$14&amp;"+"&amp;G4&amp;"\n"&amp;G$14&amp;"+"&amp;$C17&amp;"%"</f>
        <v>魔防+500\n魔防+3%</v>
      </c>
      <c r="L17" s="4" t="s">
        <v>2877</v>
      </c>
    </row>
    <row r="18" spans="3:17" ht="20.100000000000001" customHeight="1">
      <c r="C18" s="13">
        <v>4</v>
      </c>
      <c r="D18" s="1" t="str">
        <f t="shared" si="5"/>
        <v>生命+4875\n生命+4%</v>
      </c>
      <c r="E18" s="1" t="str">
        <f t="shared" si="6"/>
        <v>攻击+650\n攻击+4%</v>
      </c>
      <c r="F18" s="1" t="str">
        <f t="shared" si="6"/>
        <v>物防+650\n物防+4%</v>
      </c>
      <c r="G18" s="1" t="str">
        <f t="shared" ref="G18" si="9">G$14&amp;"+"&amp;G5&amp;"\n"&amp;G$14&amp;"+"&amp;$C18&amp;"%"</f>
        <v>魔防+650\n魔防+4%</v>
      </c>
      <c r="K18" s="5"/>
      <c r="L18" s="5"/>
      <c r="M18" s="5"/>
      <c r="N18" s="5"/>
      <c r="O18" s="5"/>
      <c r="P18" s="5"/>
      <c r="Q18" s="5"/>
    </row>
    <row r="19" spans="3:17" ht="20.100000000000001" customHeight="1">
      <c r="C19" s="13">
        <v>5</v>
      </c>
      <c r="D19" s="1" t="str">
        <f t="shared" si="5"/>
        <v>生命+6000\n生命+5%</v>
      </c>
      <c r="E19" s="1" t="str">
        <f t="shared" si="6"/>
        <v>攻击+800\n攻击+5%</v>
      </c>
      <c r="F19" s="1" t="str">
        <f t="shared" si="6"/>
        <v>物防+800\n物防+5%</v>
      </c>
      <c r="G19" s="1" t="str">
        <f t="shared" ref="G19" si="10">G$14&amp;"+"&amp;G6&amp;"\n"&amp;G$14&amp;"+"&amp;$C19&amp;"%"</f>
        <v>魔防+800\n魔防+5%</v>
      </c>
      <c r="K19" s="5"/>
      <c r="L19" s="1" t="s">
        <v>2707</v>
      </c>
      <c r="M19" s="5"/>
      <c r="N19" s="5"/>
      <c r="O19" s="5"/>
      <c r="P19" s="5"/>
      <c r="Q19" s="5"/>
    </row>
    <row r="20" spans="3:17" ht="20.100000000000001" customHeight="1">
      <c r="C20" s="13">
        <v>6</v>
      </c>
      <c r="D20" s="1" t="str">
        <f t="shared" si="5"/>
        <v>生命+7500\n生命+6%</v>
      </c>
      <c r="E20" s="1" t="str">
        <f t="shared" si="6"/>
        <v>攻击+1000\n攻击+6%</v>
      </c>
      <c r="F20" s="1" t="str">
        <f t="shared" si="6"/>
        <v>物防+1000\n物防+6%</v>
      </c>
      <c r="G20" s="1" t="str">
        <f t="shared" ref="G20" si="11">G$14&amp;"+"&amp;G7&amp;"\n"&amp;G$14&amp;"+"&amp;$C20&amp;"%"</f>
        <v>魔防+1000\n魔防+6%</v>
      </c>
      <c r="K20" s="1">
        <v>0</v>
      </c>
      <c r="L20" s="1" t="s">
        <v>2710</v>
      </c>
      <c r="M20" s="1">
        <v>0</v>
      </c>
      <c r="N20" s="1" t="s">
        <v>2710</v>
      </c>
      <c r="O20" s="1">
        <v>0</v>
      </c>
      <c r="P20" s="1" t="s">
        <v>2710</v>
      </c>
      <c r="Q20" s="1"/>
    </row>
    <row r="21" spans="3:17" ht="20.100000000000001" customHeight="1">
      <c r="C21" s="13">
        <v>7</v>
      </c>
      <c r="D21" s="1" t="str">
        <f t="shared" si="5"/>
        <v>生命+9000\n生命+7%</v>
      </c>
      <c r="E21" s="1" t="str">
        <f t="shared" si="6"/>
        <v>攻击+1200\n攻击+7%</v>
      </c>
      <c r="F21" s="1" t="str">
        <f t="shared" si="6"/>
        <v>物防+1200\n物防+7%</v>
      </c>
      <c r="G21" s="1" t="str">
        <f t="shared" ref="G21" si="12">G$14&amp;"+"&amp;G8&amp;"\n"&amp;G$14&amp;"+"&amp;$C21&amp;"%"</f>
        <v>魔防+1200\n魔防+7%</v>
      </c>
      <c r="K21" s="1">
        <v>1</v>
      </c>
      <c r="L21" s="1" t="s">
        <v>2711</v>
      </c>
      <c r="M21" s="1">
        <v>1</v>
      </c>
      <c r="N21" s="1" t="s">
        <v>2709</v>
      </c>
      <c r="O21" s="1">
        <v>1</v>
      </c>
      <c r="P21" s="1" t="s">
        <v>2709</v>
      </c>
      <c r="Q21" s="1"/>
    </row>
    <row r="22" spans="3:17" ht="20.100000000000001" customHeight="1">
      <c r="C22" s="13">
        <v>8</v>
      </c>
      <c r="D22" s="1" t="str">
        <f t="shared" si="5"/>
        <v>生命+10500\n生命+8%</v>
      </c>
      <c r="E22" s="1" t="str">
        <f t="shared" si="6"/>
        <v>攻击+1400\n攻击+8%</v>
      </c>
      <c r="F22" s="1" t="str">
        <f t="shared" si="6"/>
        <v>物防+1400\n物防+8%</v>
      </c>
      <c r="G22" s="1" t="str">
        <f t="shared" ref="G22" si="13">G$14&amp;"+"&amp;G9&amp;"\n"&amp;G$14&amp;"+"&amp;$C22&amp;"%"</f>
        <v>魔防+1400\n魔防+8%</v>
      </c>
      <c r="K22" s="1">
        <v>2</v>
      </c>
      <c r="L22" s="1" t="s">
        <v>2709</v>
      </c>
      <c r="M22" s="1">
        <v>2</v>
      </c>
      <c r="N22" s="1" t="s">
        <v>2708</v>
      </c>
      <c r="O22" s="1"/>
      <c r="P22" s="1"/>
      <c r="Q22" s="1"/>
    </row>
    <row r="23" spans="3:17" ht="20.100000000000001" customHeight="1">
      <c r="C23" s="13">
        <v>9</v>
      </c>
      <c r="D23" s="1" t="str">
        <f t="shared" si="5"/>
        <v>生命+12750\n生命+9%</v>
      </c>
      <c r="E23" s="1" t="str">
        <f t="shared" si="6"/>
        <v>攻击+1700\n攻击+9%</v>
      </c>
      <c r="F23" s="1" t="str">
        <f t="shared" si="6"/>
        <v>物防+1700\n物防+9%</v>
      </c>
      <c r="G23" s="1" t="str">
        <f t="shared" ref="G23" si="14">G$14&amp;"+"&amp;G10&amp;"\n"&amp;G$14&amp;"+"&amp;$C23&amp;"%"</f>
        <v>魔防+1700\n魔防+9%</v>
      </c>
      <c r="K23" s="1">
        <v>3</v>
      </c>
      <c r="L23" s="1" t="s">
        <v>2708</v>
      </c>
      <c r="M23" s="1"/>
      <c r="N23" s="1"/>
      <c r="O23" s="1"/>
      <c r="P23" s="1"/>
      <c r="Q23" s="1"/>
    </row>
    <row r="24" spans="3:17" ht="20.100000000000001" customHeight="1">
      <c r="C24" s="13">
        <v>10</v>
      </c>
      <c r="D24" s="1" t="str">
        <f t="shared" si="5"/>
        <v>生命+15000\n生命+10%</v>
      </c>
      <c r="E24" s="1" t="str">
        <f t="shared" si="6"/>
        <v>攻击+2000\n攻击+10%</v>
      </c>
      <c r="F24" s="1" t="str">
        <f t="shared" si="6"/>
        <v>物防+2000\n物防+10%</v>
      </c>
      <c r="G24" s="1" t="str">
        <f t="shared" ref="G24" si="15">G$14&amp;"+"&amp;G11&amp;"\n"&amp;G$14&amp;"+"&amp;$C24&amp;"%"</f>
        <v>魔防+2000\n魔防+10%</v>
      </c>
      <c r="K24" s="5"/>
      <c r="L24" s="5"/>
      <c r="M24" s="5"/>
      <c r="N24" s="5"/>
      <c r="O24" s="5"/>
      <c r="P24" s="5"/>
      <c r="Q24" s="5"/>
    </row>
    <row r="25" spans="3:17" ht="20.100000000000001" customHeight="1">
      <c r="C25" s="1">
        <v>11</v>
      </c>
      <c r="D25" s="1">
        <v>100202</v>
      </c>
      <c r="E25" s="1">
        <v>100402</v>
      </c>
      <c r="F25" s="1">
        <v>100602</v>
      </c>
      <c r="G25" s="1">
        <v>100802</v>
      </c>
      <c r="H25" s="1"/>
      <c r="I25" s="1"/>
      <c r="J25" s="5"/>
      <c r="K25" s="5"/>
      <c r="L25" s="5"/>
    </row>
    <row r="26" spans="3:17" ht="20.100000000000001" customHeight="1">
      <c r="C26" s="1">
        <v>12</v>
      </c>
      <c r="D26" s="1">
        <v>100203</v>
      </c>
      <c r="E26" s="1">
        <v>100403</v>
      </c>
      <c r="F26" s="1">
        <v>100603</v>
      </c>
      <c r="G26" s="1">
        <v>100803</v>
      </c>
      <c r="H26" s="1"/>
      <c r="I26" s="1"/>
      <c r="J26" s="5"/>
      <c r="K26" s="5"/>
      <c r="L26" s="1">
        <v>450</v>
      </c>
      <c r="M26" s="103" t="s">
        <v>2878</v>
      </c>
      <c r="N26" s="13">
        <v>1</v>
      </c>
      <c r="O26" s="13"/>
      <c r="P26" s="13"/>
      <c r="Q26" s="13"/>
    </row>
    <row r="27" spans="3:17" ht="20.100000000000001" customHeight="1">
      <c r="C27" s="1">
        <v>0.01</v>
      </c>
      <c r="D27" s="1" t="str">
        <f>D$26&amp;";"&amp;D2&amp;"@"&amp;D$25&amp;";"&amp;C27</f>
        <v>100203;1500@100202;0.01</v>
      </c>
      <c r="E27" s="1" t="str">
        <f>E$26&amp;";"&amp;E2&amp;"@"&amp;E$25&amp;";"&amp;$C27</f>
        <v>100403;200@100402;0.01</v>
      </c>
      <c r="F27" s="1" t="str">
        <f>F$26&amp;";"&amp;F2&amp;"@"&amp;F$25&amp;";"&amp;$C27</f>
        <v>100603;200@100602;0.01</v>
      </c>
      <c r="G27" s="1" t="str">
        <f>G$26&amp;";"&amp;G2&amp;"@"&amp;G$25&amp;";"&amp;$C27</f>
        <v>100803;200@100802;0.01</v>
      </c>
      <c r="H27" s="1"/>
      <c r="I27" s="1"/>
      <c r="J27" s="5"/>
      <c r="K27" s="5"/>
      <c r="L27" s="1">
        <v>900</v>
      </c>
      <c r="M27" s="103" t="s">
        <v>2879</v>
      </c>
      <c r="N27" s="13">
        <v>5</v>
      </c>
      <c r="O27" s="13">
        <v>5</v>
      </c>
      <c r="P27" s="13">
        <v>20</v>
      </c>
      <c r="Q27" s="13"/>
    </row>
    <row r="28" spans="3:17" ht="20.100000000000001" customHeight="1">
      <c r="C28" s="1">
        <v>0.02</v>
      </c>
      <c r="D28" s="1" t="str">
        <f t="shared" ref="D28:D36" si="16">D$26&amp;";"&amp;D3&amp;"@"&amp;D$25&amp;";"&amp;C28</f>
        <v>100203;2625@100202;0.02</v>
      </c>
      <c r="E28" s="1" t="str">
        <f t="shared" ref="E28:G28" si="17">E$26&amp;";"&amp;E3&amp;"@"&amp;E$25&amp;";"&amp;$C28</f>
        <v>100403;350@100402;0.02</v>
      </c>
      <c r="F28" s="1" t="str">
        <f t="shared" si="17"/>
        <v>100603;350@100602;0.02</v>
      </c>
      <c r="G28" s="1" t="str">
        <f t="shared" si="17"/>
        <v>100803;350@100802;0.02</v>
      </c>
      <c r="H28" s="1"/>
      <c r="I28" s="1"/>
      <c r="J28" s="5"/>
      <c r="K28" s="5"/>
      <c r="L28" s="1">
        <v>1350</v>
      </c>
      <c r="M28" s="13"/>
      <c r="N28" s="13"/>
      <c r="O28" s="13">
        <v>8</v>
      </c>
      <c r="P28" s="13">
        <v>30</v>
      </c>
      <c r="Q28" s="13"/>
    </row>
    <row r="29" spans="3:17" ht="20.100000000000001" customHeight="1">
      <c r="C29" s="1">
        <v>0.03</v>
      </c>
      <c r="D29" s="1" t="str">
        <f t="shared" si="16"/>
        <v>100203;3750@100202;0.03</v>
      </c>
      <c r="E29" s="1" t="str">
        <f t="shared" ref="E29:G29" si="18">E$26&amp;";"&amp;E4&amp;"@"&amp;E$25&amp;";"&amp;$C29</f>
        <v>100403;500@100402;0.03</v>
      </c>
      <c r="F29" s="1" t="str">
        <f t="shared" si="18"/>
        <v>100603;500@100602;0.03</v>
      </c>
      <c r="G29" s="1" t="str">
        <f t="shared" si="18"/>
        <v>100803;500@100802;0.03</v>
      </c>
      <c r="H29" s="1"/>
      <c r="I29" s="1"/>
      <c r="J29" s="5"/>
      <c r="K29" s="5"/>
      <c r="L29" s="1">
        <v>1800</v>
      </c>
      <c r="M29" s="13"/>
      <c r="N29" s="13"/>
      <c r="O29" s="13">
        <v>10</v>
      </c>
      <c r="P29" s="13">
        <v>50</v>
      </c>
      <c r="Q29" s="13"/>
    </row>
    <row r="30" spans="3:17" ht="20.100000000000001" customHeight="1">
      <c r="C30" s="1">
        <v>0.04</v>
      </c>
      <c r="D30" s="1" t="str">
        <f t="shared" si="16"/>
        <v>100203;4875@100202;0.04</v>
      </c>
      <c r="E30" s="1" t="str">
        <f t="shared" ref="E30:G30" si="19">E$26&amp;";"&amp;E5&amp;"@"&amp;E$25&amp;";"&amp;$C30</f>
        <v>100403;650@100402;0.04</v>
      </c>
      <c r="F30" s="1" t="str">
        <f t="shared" si="19"/>
        <v>100603;650@100602;0.04</v>
      </c>
      <c r="G30" s="1" t="str">
        <f t="shared" si="19"/>
        <v>100803;650@100802;0.04</v>
      </c>
      <c r="H30" s="1"/>
      <c r="I30" s="1"/>
      <c r="J30" s="5"/>
      <c r="K30" s="5"/>
      <c r="L30" s="1">
        <v>2250</v>
      </c>
      <c r="M30" s="13"/>
      <c r="N30" s="13"/>
      <c r="O30" s="13"/>
      <c r="P30" s="13"/>
      <c r="Q30" s="13"/>
    </row>
    <row r="31" spans="3:17" ht="20.100000000000001" customHeight="1">
      <c r="C31" s="1">
        <v>0.05</v>
      </c>
      <c r="D31" s="1" t="str">
        <f t="shared" si="16"/>
        <v>100203;6000@100202;0.05</v>
      </c>
      <c r="E31" s="1" t="str">
        <f t="shared" ref="E31:G31" si="20">E$26&amp;";"&amp;E6&amp;"@"&amp;E$25&amp;";"&amp;$C31</f>
        <v>100403;800@100402;0.05</v>
      </c>
      <c r="F31" s="1" t="str">
        <f t="shared" si="20"/>
        <v>100603;800@100602;0.05</v>
      </c>
      <c r="G31" s="1" t="str">
        <f t="shared" si="20"/>
        <v>100803;800@100802;0.05</v>
      </c>
      <c r="H31" s="1"/>
      <c r="I31" s="1"/>
      <c r="J31" s="5"/>
      <c r="K31" s="5"/>
      <c r="L31" s="1">
        <v>2700</v>
      </c>
      <c r="M31" s="13"/>
      <c r="N31" s="13"/>
      <c r="O31" s="13"/>
      <c r="P31" s="13"/>
      <c r="Q31" s="13"/>
    </row>
    <row r="32" spans="3:17" ht="20.100000000000001" customHeight="1">
      <c r="C32" s="1">
        <v>0.06</v>
      </c>
      <c r="D32" s="1" t="str">
        <f t="shared" si="16"/>
        <v>100203;7500@100202;0.06</v>
      </c>
      <c r="E32" s="1" t="str">
        <f t="shared" ref="E32:G32" si="21">E$26&amp;";"&amp;E7&amp;"@"&amp;E$25&amp;";"&amp;$C32</f>
        <v>100403;1000@100402;0.06</v>
      </c>
      <c r="F32" s="1" t="str">
        <f t="shared" si="21"/>
        <v>100603;1000@100602;0.06</v>
      </c>
      <c r="G32" s="1" t="str">
        <f t="shared" si="21"/>
        <v>100803;1000@100802;0.06</v>
      </c>
      <c r="H32" s="1"/>
      <c r="I32" s="1"/>
      <c r="J32" s="5"/>
      <c r="K32" s="5"/>
      <c r="L32" s="1">
        <v>3150</v>
      </c>
      <c r="M32" s="13"/>
      <c r="N32" s="13"/>
      <c r="O32" s="13"/>
      <c r="P32" s="13"/>
      <c r="Q32" s="13"/>
    </row>
    <row r="33" spans="1:18" ht="20.100000000000001" customHeight="1">
      <c r="C33" s="1">
        <v>7.0000000000000007E-2</v>
      </c>
      <c r="D33" s="1" t="str">
        <f t="shared" si="16"/>
        <v>100203;9000@100202;0.07</v>
      </c>
      <c r="E33" s="1" t="str">
        <f t="shared" ref="E33:G33" si="22">E$26&amp;";"&amp;E8&amp;"@"&amp;E$25&amp;";"&amp;$C33</f>
        <v>100403;1200@100402;0.07</v>
      </c>
      <c r="F33" s="1" t="str">
        <f t="shared" si="22"/>
        <v>100603;1200@100602;0.07</v>
      </c>
      <c r="G33" s="1" t="str">
        <f t="shared" si="22"/>
        <v>100803;1200@100802;0.07</v>
      </c>
      <c r="H33" s="1"/>
      <c r="I33" s="1"/>
      <c r="J33" s="5"/>
      <c r="K33" s="5"/>
      <c r="L33" s="1">
        <v>3600</v>
      </c>
      <c r="M33" s="13"/>
      <c r="N33" s="13">
        <v>2003</v>
      </c>
      <c r="O33" s="13"/>
      <c r="P33" s="13"/>
      <c r="Q33" s="13"/>
    </row>
    <row r="34" spans="1:18" ht="20.100000000000001" customHeight="1">
      <c r="C34" s="1">
        <v>0.08</v>
      </c>
      <c r="D34" s="1" t="str">
        <f t="shared" si="16"/>
        <v>100203;10500@100202;0.08</v>
      </c>
      <c r="E34" s="1" t="str">
        <f t="shared" ref="E34:G34" si="23">E$26&amp;";"&amp;E9&amp;"@"&amp;E$25&amp;";"&amp;$C34</f>
        <v>100403;1400@100402;0.08</v>
      </c>
      <c r="F34" s="1" t="str">
        <f t="shared" si="23"/>
        <v>100603;1400@100602;0.08</v>
      </c>
      <c r="G34" s="1" t="str">
        <f t="shared" si="23"/>
        <v>100803;1400@100802;0.08</v>
      </c>
      <c r="H34" s="1"/>
      <c r="I34" s="1"/>
      <c r="J34" s="5"/>
      <c r="K34" s="5"/>
      <c r="L34" s="1">
        <v>4050</v>
      </c>
      <c r="M34" s="13"/>
      <c r="N34" s="13"/>
      <c r="O34" s="13"/>
      <c r="P34" s="13"/>
      <c r="Q34" s="13"/>
    </row>
    <row r="35" spans="1:18" ht="20.100000000000001" customHeight="1">
      <c r="C35" s="1">
        <v>0.09</v>
      </c>
      <c r="D35" s="1" t="str">
        <f t="shared" si="16"/>
        <v>100203;12750@100202;0.09</v>
      </c>
      <c r="E35" s="1" t="str">
        <f t="shared" ref="E35:G35" si="24">E$26&amp;";"&amp;E10&amp;"@"&amp;E$25&amp;";"&amp;$C35</f>
        <v>100403;1700@100402;0.09</v>
      </c>
      <c r="F35" s="1" t="str">
        <f t="shared" si="24"/>
        <v>100603;1700@100602;0.09</v>
      </c>
      <c r="G35" s="1" t="str">
        <f t="shared" si="24"/>
        <v>100803;1700@100802;0.09</v>
      </c>
      <c r="H35" s="1"/>
      <c r="I35" s="1"/>
      <c r="J35" s="5"/>
      <c r="K35" s="5"/>
      <c r="L35" s="1">
        <v>4500</v>
      </c>
      <c r="M35" s="13"/>
      <c r="N35" s="13"/>
      <c r="O35" s="13"/>
      <c r="P35" s="13"/>
      <c r="Q35" s="13"/>
    </row>
    <row r="36" spans="1:18" ht="20.100000000000001" customHeight="1">
      <c r="C36" s="1">
        <v>0.1</v>
      </c>
      <c r="D36" s="1" t="str">
        <f t="shared" si="16"/>
        <v>100203;15000@100202;0.1</v>
      </c>
      <c r="E36" s="1" t="str">
        <f t="shared" ref="E36:G36" si="25">E$26&amp;";"&amp;E11&amp;"@"&amp;E$25&amp;";"&amp;$C36</f>
        <v>100403;2000@100402;0.1</v>
      </c>
      <c r="F36" s="1" t="str">
        <f t="shared" si="25"/>
        <v>100603;2000@100602;0.1</v>
      </c>
      <c r="G36" s="1" t="str">
        <f t="shared" si="25"/>
        <v>100803;2000@100802;0.1</v>
      </c>
      <c r="H36" s="1"/>
      <c r="I36" s="1"/>
      <c r="J36" s="5"/>
      <c r="K36" s="5"/>
      <c r="L36" s="5"/>
    </row>
    <row r="37" spans="1:18" ht="20.100000000000001" customHeight="1">
      <c r="M37" s="1"/>
      <c r="N37" s="1"/>
      <c r="O37" s="1"/>
      <c r="P37" s="1"/>
      <c r="Q37" s="1"/>
      <c r="R37" s="1"/>
    </row>
    <row r="38" spans="1:18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5"/>
      <c r="K38" s="5"/>
      <c r="L38" s="5"/>
      <c r="M38" s="1"/>
      <c r="N38" s="1"/>
      <c r="O38" s="1"/>
      <c r="P38" s="1"/>
      <c r="Q38" s="1"/>
      <c r="R38" s="1"/>
    </row>
    <row r="39" spans="1:18" ht="20.100000000000001" customHeight="1">
      <c r="A39" s="1"/>
      <c r="B39" s="1" t="str">
        <f>"\n对怪攻击造成伤害提升"&amp;C39&amp;"点"</f>
        <v>\n对怪攻击造成伤害提升300点</v>
      </c>
      <c r="C39" s="1">
        <v>300</v>
      </c>
      <c r="D39" s="1">
        <v>121203</v>
      </c>
      <c r="E39" s="1" t="str">
        <f>"@"&amp;D39&amp;";"&amp;C39</f>
        <v>@121203;300</v>
      </c>
      <c r="F39" s="1">
        <v>200203</v>
      </c>
      <c r="G39" s="1">
        <v>0.01</v>
      </c>
      <c r="H39" s="1">
        <v>200103</v>
      </c>
      <c r="I39" s="1">
        <v>0.01</v>
      </c>
      <c r="J39" s="5"/>
      <c r="K39" s="5" t="str">
        <f>F39&amp;";"&amp;G39&amp;"@"&amp;H39&amp;";"&amp;I39</f>
        <v>200203;0.01@200103;0.01</v>
      </c>
      <c r="L39" s="5"/>
      <c r="M39" s="1"/>
      <c r="N39" s="1" t="s">
        <v>2880</v>
      </c>
      <c r="O39" s="1"/>
      <c r="P39" s="1"/>
      <c r="Q39" s="1"/>
      <c r="R39" s="1"/>
    </row>
    <row r="40" spans="1:18" ht="20.100000000000001" customHeight="1">
      <c r="A40" s="1"/>
      <c r="B40" s="1" t="str">
        <f>"\n对怪攻击造成伤害提升"&amp;C40&amp;"点"</f>
        <v>\n对怪攻击造成伤害提升525点</v>
      </c>
      <c r="C40" s="1">
        <v>525</v>
      </c>
      <c r="D40" s="1">
        <v>121203</v>
      </c>
      <c r="E40" s="1" t="str">
        <f t="shared" ref="E40:E48" si="26">"@"&amp;D40&amp;";"&amp;C40</f>
        <v>@121203;525</v>
      </c>
      <c r="F40" s="1">
        <v>200203</v>
      </c>
      <c r="G40" s="1">
        <v>0.02</v>
      </c>
      <c r="H40" s="1">
        <v>200103</v>
      </c>
      <c r="I40" s="1">
        <v>0.02</v>
      </c>
      <c r="J40" s="5"/>
      <c r="K40" s="5" t="str">
        <f t="shared" ref="K40:K51" si="27">F40&amp;";"&amp;G40&amp;"@"&amp;H40&amp;";"&amp;I40</f>
        <v>200203;0.02@200103;0.02</v>
      </c>
      <c r="L40" s="5"/>
      <c r="M40" s="1" t="s">
        <v>2887</v>
      </c>
      <c r="N40" s="1">
        <v>5</v>
      </c>
      <c r="O40" s="1" t="s">
        <v>2881</v>
      </c>
      <c r="P40" s="1" t="s">
        <v>2885</v>
      </c>
      <c r="Q40" s="1"/>
      <c r="R40" s="1"/>
    </row>
    <row r="41" spans="1:18" ht="20.100000000000001" customHeight="1">
      <c r="A41" s="1"/>
      <c r="B41" s="1" t="str">
        <f>"\n对怪攻击造成伤害提升"&amp;C41&amp;"点"</f>
        <v>\n对怪攻击造成伤害提升750点</v>
      </c>
      <c r="C41" s="1">
        <v>750</v>
      </c>
      <c r="D41" s="1">
        <v>121203</v>
      </c>
      <c r="E41" s="1" t="str">
        <f t="shared" si="26"/>
        <v>@121203;750</v>
      </c>
      <c r="F41" s="1">
        <v>200203</v>
      </c>
      <c r="G41" s="1">
        <v>0.03</v>
      </c>
      <c r="H41" s="1">
        <v>200103</v>
      </c>
      <c r="I41" s="1">
        <v>0.03</v>
      </c>
      <c r="J41" s="5"/>
      <c r="K41" s="5" t="str">
        <f t="shared" si="27"/>
        <v>200203;0.03@200103;0.03</v>
      </c>
      <c r="L41" s="5"/>
      <c r="M41" s="1" t="s">
        <v>2888</v>
      </c>
      <c r="N41" s="1">
        <v>8</v>
      </c>
      <c r="O41" s="1" t="s">
        <v>2884</v>
      </c>
      <c r="P41" s="1" t="s">
        <v>2882</v>
      </c>
      <c r="Q41" s="1"/>
      <c r="R41" s="1"/>
    </row>
    <row r="42" spans="1:18" ht="20.100000000000001" customHeight="1">
      <c r="A42" s="1"/>
      <c r="B42" s="1" t="str">
        <f>"\n对怪攻击造成伤害提升"&amp;C42&amp;"点"</f>
        <v>\n对怪攻击造成伤害提升975点</v>
      </c>
      <c r="C42" s="1">
        <v>975</v>
      </c>
      <c r="D42" s="1">
        <v>121203</v>
      </c>
      <c r="E42" s="1" t="str">
        <f t="shared" si="26"/>
        <v>@121203;975</v>
      </c>
      <c r="F42" s="1">
        <v>200203</v>
      </c>
      <c r="G42" s="1">
        <v>0.04</v>
      </c>
      <c r="H42" s="1">
        <v>200103</v>
      </c>
      <c r="I42" s="1">
        <v>0.04</v>
      </c>
      <c r="J42" s="5"/>
      <c r="K42" s="5" t="str">
        <f t="shared" si="27"/>
        <v>200203;0.04@200103;0.04</v>
      </c>
      <c r="L42" s="5"/>
      <c r="M42" s="1" t="s">
        <v>2889</v>
      </c>
      <c r="N42" s="1">
        <v>10</v>
      </c>
      <c r="O42" s="1" t="s">
        <v>2883</v>
      </c>
      <c r="P42" s="1" t="s">
        <v>2886</v>
      </c>
      <c r="Q42" s="1"/>
      <c r="R42" s="1"/>
    </row>
    <row r="43" spans="1:18" ht="20.100000000000001" customHeight="1">
      <c r="A43" s="1"/>
      <c r="B43" s="1" t="str">
        <f t="shared" ref="B43:B48" si="28">"\n对怪攻击造成伤害提升"&amp;C43&amp;"点"</f>
        <v>\n对怪攻击造成伤害提升1200点</v>
      </c>
      <c r="C43" s="1">
        <v>1200</v>
      </c>
      <c r="D43" s="1">
        <v>121203</v>
      </c>
      <c r="E43" s="1" t="str">
        <f t="shared" si="26"/>
        <v>@121203;1200</v>
      </c>
      <c r="F43" s="1">
        <v>200203</v>
      </c>
      <c r="G43" s="1">
        <v>0.05</v>
      </c>
      <c r="H43" s="1">
        <v>200103</v>
      </c>
      <c r="I43" s="1">
        <v>0.05</v>
      </c>
      <c r="J43" s="5"/>
      <c r="K43" s="5" t="str">
        <f t="shared" si="27"/>
        <v>200203;0.05@200103;0.05</v>
      </c>
      <c r="L43" s="5"/>
      <c r="M43" s="1"/>
      <c r="N43" s="1"/>
      <c r="O43" s="1"/>
      <c r="P43" s="1"/>
      <c r="Q43" s="1"/>
      <c r="R43" s="1"/>
    </row>
    <row r="44" spans="1:18" ht="20.100000000000001" customHeight="1">
      <c r="A44" s="1"/>
      <c r="B44" s="1" t="str">
        <f t="shared" si="28"/>
        <v>\n对怪攻击造成伤害提升1500点</v>
      </c>
      <c r="C44" s="1">
        <v>1500</v>
      </c>
      <c r="D44" s="1">
        <v>121203</v>
      </c>
      <c r="E44" s="1" t="str">
        <f t="shared" si="26"/>
        <v>@121203;1500</v>
      </c>
      <c r="F44" s="1">
        <v>200203</v>
      </c>
      <c r="G44" s="1">
        <v>0.06</v>
      </c>
      <c r="H44" s="1">
        <v>200103</v>
      </c>
      <c r="I44" s="1">
        <v>0.06</v>
      </c>
      <c r="J44" s="5"/>
      <c r="K44" s="5" t="str">
        <f t="shared" si="27"/>
        <v>200203;0.06@200103;0.06</v>
      </c>
      <c r="L44" s="5"/>
      <c r="M44" s="1"/>
      <c r="N44" s="1"/>
      <c r="O44" s="1"/>
      <c r="P44" s="1"/>
      <c r="Q44" s="1"/>
      <c r="R44" s="1"/>
    </row>
    <row r="45" spans="1:18" ht="20.100000000000001" customHeight="1">
      <c r="A45" s="1"/>
      <c r="B45" s="1" t="str">
        <f t="shared" si="28"/>
        <v>\n对怪攻击造成伤害提升1800点</v>
      </c>
      <c r="C45" s="1">
        <v>1800</v>
      </c>
      <c r="D45" s="1">
        <v>121203</v>
      </c>
      <c r="E45" s="1" t="str">
        <f t="shared" si="26"/>
        <v>@121203;1800</v>
      </c>
      <c r="F45" s="1">
        <v>200203</v>
      </c>
      <c r="G45" s="1">
        <v>7.0000000000000007E-2</v>
      </c>
      <c r="H45" s="1">
        <v>200103</v>
      </c>
      <c r="I45" s="1">
        <v>7.0000000000000007E-2</v>
      </c>
      <c r="J45" s="5"/>
      <c r="K45" s="5" t="str">
        <f t="shared" si="27"/>
        <v>200203;0.07@200103;0.07</v>
      </c>
      <c r="L45" s="5"/>
      <c r="M45" s="1"/>
      <c r="N45" s="1"/>
      <c r="O45" s="1"/>
      <c r="P45" s="1"/>
      <c r="Q45" s="1"/>
      <c r="R45" s="1"/>
    </row>
    <row r="46" spans="1:18" ht="20.100000000000001" customHeight="1">
      <c r="A46" s="1"/>
      <c r="B46" s="1" t="str">
        <f t="shared" si="28"/>
        <v>\n对怪攻击造成伤害提升2100点</v>
      </c>
      <c r="C46" s="1">
        <v>2100</v>
      </c>
      <c r="D46" s="1">
        <v>121203</v>
      </c>
      <c r="E46" s="1" t="str">
        <f t="shared" si="26"/>
        <v>@121203;2100</v>
      </c>
      <c r="F46" s="1">
        <v>200203</v>
      </c>
      <c r="G46" s="1">
        <v>0.08</v>
      </c>
      <c r="H46" s="1">
        <v>200103</v>
      </c>
      <c r="I46" s="1">
        <v>0.08</v>
      </c>
      <c r="J46" s="5"/>
      <c r="K46" s="5" t="str">
        <f t="shared" si="27"/>
        <v>200203;0.08@200103;0.08</v>
      </c>
      <c r="L46" s="5"/>
      <c r="M46" s="1"/>
      <c r="N46" s="1"/>
      <c r="O46" s="1"/>
      <c r="P46" s="1"/>
      <c r="Q46" s="1"/>
      <c r="R46" s="1"/>
    </row>
    <row r="47" spans="1:18" ht="20.100000000000001" customHeight="1">
      <c r="A47" s="1"/>
      <c r="B47" s="1" t="str">
        <f t="shared" si="28"/>
        <v>\n对怪攻击造成伤害提升2550点</v>
      </c>
      <c r="C47" s="1">
        <v>2550</v>
      </c>
      <c r="D47" s="1">
        <v>121203</v>
      </c>
      <c r="E47" s="1" t="str">
        <f t="shared" si="26"/>
        <v>@121203;2550</v>
      </c>
      <c r="F47" s="1">
        <v>200203</v>
      </c>
      <c r="G47" s="1">
        <v>0.09</v>
      </c>
      <c r="H47" s="1">
        <v>200103</v>
      </c>
      <c r="I47" s="1">
        <v>0.09</v>
      </c>
      <c r="J47" s="5"/>
      <c r="K47" s="5" t="str">
        <f t="shared" si="27"/>
        <v>200203;0.09@200103;0.09</v>
      </c>
      <c r="L47" s="5"/>
      <c r="M47" s="1"/>
      <c r="N47" s="1"/>
      <c r="O47" s="1"/>
      <c r="P47" s="1"/>
      <c r="Q47" s="1"/>
      <c r="R47" s="1"/>
    </row>
    <row r="48" spans="1:18" ht="20.100000000000001" customHeight="1">
      <c r="A48" s="1"/>
      <c r="B48" s="1" t="str">
        <f t="shared" si="28"/>
        <v>\n对怪攻击造成伤害提升3000点</v>
      </c>
      <c r="C48" s="1">
        <v>3000</v>
      </c>
      <c r="D48" s="1">
        <v>121203</v>
      </c>
      <c r="E48" s="1" t="str">
        <f t="shared" si="26"/>
        <v>@121203;3000</v>
      </c>
      <c r="F48" s="1">
        <v>200203</v>
      </c>
      <c r="G48" s="1">
        <v>0.1</v>
      </c>
      <c r="H48" s="1">
        <v>200103</v>
      </c>
      <c r="I48" s="1">
        <v>0.1</v>
      </c>
      <c r="J48" s="5"/>
      <c r="K48" s="5" t="str">
        <f t="shared" si="27"/>
        <v>200203;0.1@200103;0.1</v>
      </c>
      <c r="L48" s="5"/>
      <c r="M48" s="1"/>
      <c r="N48" s="1"/>
      <c r="O48" s="1"/>
      <c r="P48" s="1"/>
      <c r="Q48" s="1"/>
      <c r="R48" s="1"/>
    </row>
    <row r="49" spans="1:12" ht="20.100000000000001" customHeight="1">
      <c r="A49" s="1"/>
      <c r="B49" s="1"/>
      <c r="C49" s="1"/>
      <c r="D49" s="1"/>
      <c r="E49" s="1"/>
      <c r="F49" s="1">
        <v>200203</v>
      </c>
      <c r="G49" s="1">
        <v>0.01</v>
      </c>
      <c r="H49" s="1">
        <v>200103</v>
      </c>
      <c r="I49" s="1">
        <v>0.01</v>
      </c>
      <c r="J49" s="5"/>
      <c r="K49" s="5" t="str">
        <f t="shared" si="27"/>
        <v>200203;0.01@200103;0.01</v>
      </c>
      <c r="L49" s="5"/>
    </row>
    <row r="50" spans="1:12" ht="20.100000000000001" customHeight="1">
      <c r="A50" s="1"/>
      <c r="B50" s="1"/>
      <c r="C50" s="1"/>
      <c r="D50" s="1"/>
      <c r="E50" s="1"/>
      <c r="F50" s="1">
        <v>200203</v>
      </c>
      <c r="G50" s="1">
        <v>0.01</v>
      </c>
      <c r="H50" s="1">
        <v>200103</v>
      </c>
      <c r="I50" s="1">
        <v>0.01</v>
      </c>
      <c r="J50" s="5"/>
      <c r="K50" s="5" t="str">
        <f t="shared" si="27"/>
        <v>200203;0.01@200103;0.01</v>
      </c>
      <c r="L50" s="5"/>
    </row>
    <row r="51" spans="1:12" ht="20.100000000000001" customHeight="1">
      <c r="A51" s="1"/>
      <c r="B51" s="1"/>
      <c r="C51" s="1"/>
      <c r="D51" s="1"/>
      <c r="E51" s="1"/>
      <c r="F51" s="1">
        <v>200203</v>
      </c>
      <c r="G51" s="1">
        <v>0.01</v>
      </c>
      <c r="H51" s="1">
        <v>200103</v>
      </c>
      <c r="I51" s="1">
        <v>0.01</v>
      </c>
      <c r="J51" s="5"/>
      <c r="K51" s="5" t="str">
        <f t="shared" si="27"/>
        <v>200203;0.01@200103;0.01</v>
      </c>
      <c r="L51" s="5"/>
    </row>
    <row r="52" spans="1:12" ht="20.100000000000001" customHeight="1">
      <c r="A52" s="1"/>
      <c r="B52" s="1"/>
      <c r="C52" s="1"/>
      <c r="D52" s="1"/>
      <c r="E52" s="1"/>
      <c r="F52" s="1"/>
      <c r="G52" s="1"/>
      <c r="H52" s="1"/>
      <c r="I52" s="1"/>
      <c r="J52" s="5"/>
      <c r="K52" s="5"/>
      <c r="L52" s="5"/>
    </row>
    <row r="53" spans="1:12" ht="20.100000000000001" customHeight="1"/>
    <row r="54" spans="1:12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1:P41"/>
  <sheetViews>
    <sheetView workbookViewId="0">
      <selection activeCell="B1" sqref="B1:R26"/>
    </sheetView>
  </sheetViews>
  <sheetFormatPr defaultColWidth="9" defaultRowHeight="14.25"/>
  <cols>
    <col min="4" max="4" width="11.375" customWidth="1"/>
    <col min="10" max="10" width="38.375" customWidth="1"/>
  </cols>
  <sheetData>
    <row r="1" spans="3:16" s="1" customFormat="1" ht="20.100000000000001" customHeight="1"/>
    <row r="2" spans="3:16" s="1" customFormat="1" ht="20.100000000000001" customHeight="1">
      <c r="E2" s="1" t="s">
        <v>2463</v>
      </c>
      <c r="F2" s="1" t="s">
        <v>2464</v>
      </c>
      <c r="J2" s="1" t="s">
        <v>2465</v>
      </c>
    </row>
    <row r="3" spans="3:16" s="1" customFormat="1" ht="20.100000000000001" customHeight="1">
      <c r="D3" s="1" t="s">
        <v>2466</v>
      </c>
      <c r="E3" s="1">
        <v>100</v>
      </c>
      <c r="J3" s="1" t="s">
        <v>2467</v>
      </c>
    </row>
    <row r="4" spans="3:16" s="1" customFormat="1" ht="20.100000000000001" customHeight="1">
      <c r="D4" s="1" t="s">
        <v>2468</v>
      </c>
      <c r="E4" s="1">
        <v>130</v>
      </c>
    </row>
    <row r="5" spans="3:16" s="1" customFormat="1" ht="20.100000000000001" customHeight="1">
      <c r="D5" s="1" t="s">
        <v>2469</v>
      </c>
      <c r="E5" s="1">
        <v>150</v>
      </c>
    </row>
    <row r="6" spans="3:16" s="1" customFormat="1" ht="20.100000000000001" customHeight="1"/>
    <row r="7" spans="3:16" s="1" customFormat="1" ht="20.100000000000001" customHeight="1"/>
    <row r="8" spans="3:16" s="1" customFormat="1" ht="20.100000000000001" customHeight="1">
      <c r="I8" s="1" t="s">
        <v>2470</v>
      </c>
      <c r="M8" s="1" t="s">
        <v>2471</v>
      </c>
      <c r="P8" s="1" t="s">
        <v>2472</v>
      </c>
    </row>
    <row r="9" spans="3:16" s="1" customFormat="1" ht="20.100000000000001" customHeight="1">
      <c r="C9" s="1" t="s">
        <v>876</v>
      </c>
      <c r="H9" s="1" t="s">
        <v>2473</v>
      </c>
      <c r="I9" s="1" t="s">
        <v>1879</v>
      </c>
      <c r="J9" s="1" t="s">
        <v>2474</v>
      </c>
    </row>
    <row r="10" spans="3:16" s="1" customFormat="1" ht="20.100000000000001" customHeight="1">
      <c r="C10" s="1">
        <v>10</v>
      </c>
      <c r="I10" s="1" t="s">
        <v>2475</v>
      </c>
      <c r="J10" s="1" t="s">
        <v>3</v>
      </c>
    </row>
    <row r="11" spans="3:16" s="1" customFormat="1" ht="20.100000000000001" customHeight="1">
      <c r="C11" s="1">
        <v>20</v>
      </c>
      <c r="I11" s="1" t="s">
        <v>2476</v>
      </c>
      <c r="J11" s="1" t="s">
        <v>28</v>
      </c>
    </row>
    <row r="12" spans="3:16" s="1" customFormat="1" ht="20.100000000000001" customHeight="1">
      <c r="C12" s="1">
        <v>30</v>
      </c>
      <c r="J12" s="1" t="s">
        <v>29</v>
      </c>
    </row>
    <row r="13" spans="3:16" s="1" customFormat="1" ht="20.100000000000001" customHeight="1">
      <c r="C13" s="1">
        <v>40</v>
      </c>
      <c r="J13" s="1" t="s">
        <v>2</v>
      </c>
    </row>
    <row r="14" spans="3:16" s="1" customFormat="1" ht="20.100000000000001" customHeight="1">
      <c r="C14" s="1">
        <v>50</v>
      </c>
      <c r="M14" s="1" t="s">
        <v>1264</v>
      </c>
    </row>
    <row r="15" spans="3:16" s="1" customFormat="1" ht="20.100000000000001" customHeight="1">
      <c r="M15" s="1">
        <v>23500</v>
      </c>
      <c r="O15" s="1">
        <v>10000</v>
      </c>
      <c r="P15" s="1">
        <f>(O15-2000)*0.2/M15</f>
        <v>6.8085106382978725E-2</v>
      </c>
    </row>
    <row r="16" spans="3:16" s="1" customFormat="1" ht="20.100000000000001" customHeight="1">
      <c r="O16" s="1">
        <v>4000</v>
      </c>
      <c r="P16" s="1">
        <f>(O16-2000)*0.2/32500</f>
        <v>1.2307692307692308E-2</v>
      </c>
    </row>
    <row r="17" spans="8:10" s="1" customFormat="1" ht="20.100000000000001" customHeight="1">
      <c r="H17" s="1" t="s">
        <v>2477</v>
      </c>
      <c r="J17" s="1" t="s">
        <v>845</v>
      </c>
    </row>
    <row r="18" spans="8:10" s="1" customFormat="1" ht="20.100000000000001" customHeight="1">
      <c r="J18" s="1" t="s">
        <v>848</v>
      </c>
    </row>
    <row r="19" spans="8:10" s="1" customFormat="1" ht="20.100000000000001" customHeight="1"/>
    <row r="20" spans="8:10" s="1" customFormat="1" ht="20.100000000000001" customHeight="1"/>
    <row r="21" spans="8:10" s="1" customFormat="1" ht="20.100000000000001" customHeight="1"/>
    <row r="22" spans="8:10" s="1" customFormat="1" ht="20.100000000000001" customHeight="1"/>
    <row r="23" spans="8:10" s="1" customFormat="1" ht="20.100000000000001" customHeight="1"/>
    <row r="24" spans="8:10" s="1" customFormat="1" ht="20.100000000000001" customHeight="1"/>
    <row r="25" spans="8:10" s="1" customFormat="1" ht="20.100000000000001" customHeight="1">
      <c r="H25" s="1" t="s">
        <v>2478</v>
      </c>
      <c r="J25" s="7" t="s">
        <v>2479</v>
      </c>
    </row>
    <row r="26" spans="8:10" s="1" customFormat="1" ht="20.100000000000001" customHeight="1"/>
    <row r="27" spans="8:10" s="1" customFormat="1" ht="20.100000000000001" customHeight="1"/>
    <row r="28" spans="8:10" s="1" customFormat="1" ht="20.100000000000001" customHeight="1"/>
    <row r="29" spans="8:10" s="1" customFormat="1" ht="20.100000000000001" customHeight="1"/>
    <row r="30" spans="8:10" s="1" customFormat="1" ht="20.100000000000001" customHeight="1"/>
    <row r="31" spans="8:10" s="1" customFormat="1" ht="20.100000000000001" customHeight="1"/>
    <row r="32" spans="8:10" s="1" customFormat="1" ht="20.100000000000001" customHeight="1"/>
    <row r="33" s="1" customFormat="1" ht="20.100000000000001" customHeight="1"/>
    <row r="34" s="1" customFormat="1" ht="20.100000000000001" customHeight="1"/>
    <row r="35" s="1" customFormat="1" ht="20.100000000000001" customHeight="1"/>
    <row r="36" s="1" customFormat="1" ht="20.100000000000001" customHeight="1"/>
    <row r="37" s="1" customFormat="1" ht="20.100000000000001" customHeight="1"/>
    <row r="38" s="1" customFormat="1" ht="20.100000000000001" customHeight="1"/>
    <row r="39" s="1" customFormat="1" ht="20.100000000000001" customHeight="1"/>
    <row r="40" s="1" customFormat="1" ht="20.100000000000001" customHeight="1"/>
    <row r="41" s="1" customFormat="1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M182"/>
  <sheetViews>
    <sheetView workbookViewId="0">
      <selection activeCell="J5" sqref="J5"/>
    </sheetView>
  </sheetViews>
  <sheetFormatPr defaultColWidth="9" defaultRowHeight="14.25"/>
  <cols>
    <col min="1" max="1" width="9" style="1"/>
    <col min="10" max="16" width="12.25" customWidth="1"/>
    <col min="18" max="18" width="16" customWidth="1"/>
    <col min="32" max="33" width="11.375" customWidth="1"/>
  </cols>
  <sheetData>
    <row r="1" spans="1:39" s="1" customFormat="1" ht="20.100000000000001" customHeight="1">
      <c r="A1" s="1" t="s">
        <v>2480</v>
      </c>
      <c r="B1" s="4" t="s">
        <v>2481</v>
      </c>
      <c r="C1" s="4" t="s">
        <v>2482</v>
      </c>
      <c r="D1" s="4" t="s">
        <v>26</v>
      </c>
      <c r="E1" s="4" t="s">
        <v>27</v>
      </c>
      <c r="F1" s="4" t="s">
        <v>2</v>
      </c>
      <c r="G1" s="4" t="s">
        <v>3</v>
      </c>
      <c r="H1" s="4" t="s">
        <v>28</v>
      </c>
      <c r="I1" s="4" t="s">
        <v>29</v>
      </c>
      <c r="P1" s="4"/>
      <c r="Q1" s="1" t="s">
        <v>2480</v>
      </c>
      <c r="R1" s="1" t="s">
        <v>2483</v>
      </c>
      <c r="S1" s="1" t="s">
        <v>2456</v>
      </c>
      <c r="T1" s="1" t="s">
        <v>25</v>
      </c>
      <c r="U1" s="4" t="s">
        <v>2</v>
      </c>
      <c r="V1" s="4" t="s">
        <v>3</v>
      </c>
      <c r="W1" s="4" t="s">
        <v>28</v>
      </c>
      <c r="X1" s="4" t="s">
        <v>29</v>
      </c>
      <c r="AF1" s="1" t="s">
        <v>2484</v>
      </c>
      <c r="AG1" s="1" t="s">
        <v>2485</v>
      </c>
      <c r="AH1" s="1" t="s">
        <v>2486</v>
      </c>
      <c r="AI1" s="1" t="s">
        <v>2456</v>
      </c>
      <c r="AJ1" s="4" t="s">
        <v>2</v>
      </c>
      <c r="AK1" s="4" t="s">
        <v>3</v>
      </c>
      <c r="AL1" s="4" t="s">
        <v>28</v>
      </c>
      <c r="AM1" s="4" t="s">
        <v>29</v>
      </c>
    </row>
    <row r="2" spans="1:39" s="1" customFormat="1" ht="20.100000000000001" customHeight="1">
      <c r="A2" s="1">
        <f>100+B2</f>
        <v>101</v>
      </c>
      <c r="B2" s="1">
        <v>1</v>
      </c>
      <c r="C2" s="1">
        <v>0.5</v>
      </c>
      <c r="D2" s="1">
        <v>1</v>
      </c>
      <c r="E2" s="1">
        <f>D2</f>
        <v>1</v>
      </c>
      <c r="F2" s="1">
        <f>$D2*总表!D$4</f>
        <v>1050</v>
      </c>
      <c r="G2" s="1">
        <f>$E2*总表!E$4</f>
        <v>100</v>
      </c>
      <c r="H2" s="1">
        <f>$E2*总表!F$4</f>
        <v>30</v>
      </c>
      <c r="I2" s="1">
        <f>$E2*总表!G$4</f>
        <v>30</v>
      </c>
      <c r="Q2" s="1">
        <f>S2*100+T2</f>
        <v>101</v>
      </c>
      <c r="R2" s="6" t="s">
        <v>2896</v>
      </c>
      <c r="S2" s="6">
        <v>1</v>
      </c>
      <c r="T2" s="1">
        <v>1</v>
      </c>
      <c r="U2" s="1">
        <f>LOOKUP($Q2,$A:$A,F:F)</f>
        <v>1050</v>
      </c>
      <c r="V2" s="1">
        <f>LOOKUP($Q2,$A:$A,G:G)</f>
        <v>100</v>
      </c>
      <c r="W2" s="1">
        <f>LOOKUP($Q2,$A:$A,H:H)</f>
        <v>30</v>
      </c>
      <c r="X2" s="1">
        <f>LOOKUP($Q2,$A:$A,I:I)</f>
        <v>30</v>
      </c>
      <c r="AE2" s="1">
        <f>AI2*100+AH2</f>
        <v>120</v>
      </c>
      <c r="AF2" s="1">
        <v>3.5</v>
      </c>
      <c r="AG2" s="1">
        <v>1.1000000000000001</v>
      </c>
      <c r="AH2" s="1">
        <v>20</v>
      </c>
      <c r="AI2" s="1">
        <v>1</v>
      </c>
      <c r="AJ2" s="1">
        <f>ROUND(LOOKUP($AE2,$A:$A,F:F)*AF2,0)</f>
        <v>38588</v>
      </c>
      <c r="AK2" s="1">
        <f>ROUND(LOOKUP($AE2,$A:$A,G:G)*$AG2,0)</f>
        <v>1155</v>
      </c>
      <c r="AL2" s="1">
        <f>ROUND(LOOKUP($AE2,$A:$A,H:H)*$AG2,0)</f>
        <v>347</v>
      </c>
      <c r="AM2" s="1">
        <f>ROUND(LOOKUP($AE2,$A:$A,I:I)*$AG2,0)</f>
        <v>347</v>
      </c>
    </row>
    <row r="3" spans="1:39" s="1" customFormat="1" ht="20.100000000000001" customHeight="1">
      <c r="A3" s="1">
        <f t="shared" ref="A3:A66" si="0">100+B3</f>
        <v>102</v>
      </c>
      <c r="B3" s="1">
        <v>2</v>
      </c>
      <c r="C3" s="1">
        <v>0.5</v>
      </c>
      <c r="D3" s="1">
        <f>D2+C2</f>
        <v>1.5</v>
      </c>
      <c r="E3" s="1">
        <f t="shared" ref="E3:E66" si="1">D3</f>
        <v>1.5</v>
      </c>
      <c r="F3" s="1">
        <f>$D3*总表!D$4</f>
        <v>1575</v>
      </c>
      <c r="G3" s="1">
        <f>$E3*总表!E$4</f>
        <v>150</v>
      </c>
      <c r="H3" s="1">
        <f>$E3*总表!F$4</f>
        <v>45</v>
      </c>
      <c r="I3" s="1">
        <f>$E3*总表!G$4</f>
        <v>45</v>
      </c>
      <c r="Q3" s="1">
        <f t="shared" ref="Q3:Q61" si="2">S3*100+T3</f>
        <v>103</v>
      </c>
      <c r="R3" s="6" t="s">
        <v>2897</v>
      </c>
      <c r="S3" s="6">
        <v>1</v>
      </c>
      <c r="T3" s="1">
        <v>3</v>
      </c>
      <c r="U3" s="1">
        <f t="shared" ref="U3:U61" si="3">LOOKUP($Q3,$A:$A,F:F)</f>
        <v>2100</v>
      </c>
      <c r="V3" s="1">
        <f t="shared" ref="V3:V61" si="4">LOOKUP($Q3,$A:$A,G:G)</f>
        <v>200</v>
      </c>
      <c r="W3" s="1">
        <f t="shared" ref="W3:W61" si="5">LOOKUP($Q3,$A:$A,H:H)</f>
        <v>60</v>
      </c>
      <c r="X3" s="1">
        <f t="shared" ref="X3:X61" si="6">LOOKUP($Q3,$A:$A,I:I)</f>
        <v>60</v>
      </c>
      <c r="AE3" s="1">
        <f t="shared" ref="AE3:AE31" si="7">AI3*100+AH3</f>
        <v>120</v>
      </c>
      <c r="AF3" s="1">
        <v>3.5</v>
      </c>
      <c r="AG3" s="1">
        <v>1.1000000000000001</v>
      </c>
      <c r="AH3" s="1">
        <v>20</v>
      </c>
      <c r="AI3" s="1">
        <v>1</v>
      </c>
      <c r="AJ3" s="1">
        <f t="shared" ref="AJ3:AJ31" si="8">ROUND(LOOKUP($AE3,$A:$A,F:F)*AF3,0)</f>
        <v>38588</v>
      </c>
      <c r="AK3" s="1">
        <f t="shared" ref="AK3:AK31" si="9">ROUND(LOOKUP($AE3,$A:$A,G:G)*$AG3,0)</f>
        <v>1155</v>
      </c>
      <c r="AL3" s="1">
        <f t="shared" ref="AL3:AL31" si="10">ROUND(LOOKUP($AE3,$A:$A,H:H)*$AG3,0)</f>
        <v>347</v>
      </c>
      <c r="AM3" s="1">
        <f t="shared" ref="AM3:AM31" si="11">ROUND(LOOKUP($AE3,$A:$A,I:I)*$AG3,0)</f>
        <v>347</v>
      </c>
    </row>
    <row r="4" spans="1:39" s="1" customFormat="1" ht="20.100000000000001" customHeight="1">
      <c r="A4" s="1">
        <f t="shared" si="0"/>
        <v>103</v>
      </c>
      <c r="B4" s="1">
        <v>3</v>
      </c>
      <c r="C4" s="1">
        <v>0.5</v>
      </c>
      <c r="D4" s="1">
        <f t="shared" ref="D4:D67" si="12">D3+C3</f>
        <v>2</v>
      </c>
      <c r="E4" s="1">
        <f t="shared" si="1"/>
        <v>2</v>
      </c>
      <c r="F4" s="1">
        <f>$D4*总表!D$4</f>
        <v>2100</v>
      </c>
      <c r="G4" s="1">
        <f>$E4*总表!E$4</f>
        <v>200</v>
      </c>
      <c r="H4" s="1">
        <f>$E4*总表!F$4</f>
        <v>60</v>
      </c>
      <c r="I4" s="1">
        <f>$E4*总表!G$4</f>
        <v>60</v>
      </c>
      <c r="Q4" s="1">
        <f t="shared" si="2"/>
        <v>105</v>
      </c>
      <c r="R4" s="6" t="s">
        <v>2898</v>
      </c>
      <c r="S4" s="6">
        <v>1</v>
      </c>
      <c r="T4" s="1">
        <v>5</v>
      </c>
      <c r="U4" s="1">
        <f t="shared" si="3"/>
        <v>3150</v>
      </c>
      <c r="V4" s="1">
        <f t="shared" si="4"/>
        <v>300</v>
      </c>
      <c r="W4" s="1">
        <f t="shared" si="5"/>
        <v>90</v>
      </c>
      <c r="X4" s="1">
        <f t="shared" si="6"/>
        <v>90</v>
      </c>
      <c r="AE4" s="1">
        <f t="shared" si="7"/>
        <v>120</v>
      </c>
      <c r="AF4" s="1">
        <v>3.5</v>
      </c>
      <c r="AG4" s="1">
        <v>1.1000000000000001</v>
      </c>
      <c r="AH4" s="1">
        <v>20</v>
      </c>
      <c r="AI4" s="1">
        <v>1</v>
      </c>
      <c r="AJ4" s="1">
        <f t="shared" si="8"/>
        <v>38588</v>
      </c>
      <c r="AK4" s="1">
        <f t="shared" si="9"/>
        <v>1155</v>
      </c>
      <c r="AL4" s="1">
        <f t="shared" si="10"/>
        <v>347</v>
      </c>
      <c r="AM4" s="1">
        <f t="shared" si="11"/>
        <v>347</v>
      </c>
    </row>
    <row r="5" spans="1:39" s="1" customFormat="1" ht="20.100000000000001" customHeight="1">
      <c r="A5" s="1">
        <f t="shared" si="0"/>
        <v>104</v>
      </c>
      <c r="B5" s="1">
        <v>4</v>
      </c>
      <c r="C5" s="1">
        <v>0.5</v>
      </c>
      <c r="D5" s="1">
        <f t="shared" si="12"/>
        <v>2.5</v>
      </c>
      <c r="E5" s="1">
        <f t="shared" si="1"/>
        <v>2.5</v>
      </c>
      <c r="F5" s="1">
        <f>$D5*总表!D$4</f>
        <v>2625</v>
      </c>
      <c r="G5" s="1">
        <f>$E5*总表!E$4</f>
        <v>250</v>
      </c>
      <c r="H5" s="1">
        <f>$E5*总表!F$4</f>
        <v>75</v>
      </c>
      <c r="I5" s="1">
        <f>$E5*总表!G$4</f>
        <v>75</v>
      </c>
      <c r="Q5" s="1">
        <f t="shared" si="2"/>
        <v>107</v>
      </c>
      <c r="R5" s="6" t="s">
        <v>2899</v>
      </c>
      <c r="S5" s="6">
        <v>1</v>
      </c>
      <c r="T5" s="1">
        <v>7</v>
      </c>
      <c r="U5" s="1">
        <f t="shared" si="3"/>
        <v>4200</v>
      </c>
      <c r="V5" s="1">
        <f t="shared" si="4"/>
        <v>400</v>
      </c>
      <c r="W5" s="1">
        <f t="shared" si="5"/>
        <v>120</v>
      </c>
      <c r="X5" s="1">
        <f t="shared" si="6"/>
        <v>120</v>
      </c>
      <c r="AE5" s="1">
        <f t="shared" si="7"/>
        <v>120</v>
      </c>
      <c r="AF5" s="1">
        <v>3.5</v>
      </c>
      <c r="AG5" s="1">
        <v>1.1000000000000001</v>
      </c>
      <c r="AH5" s="1">
        <v>20</v>
      </c>
      <c r="AI5" s="1">
        <v>1</v>
      </c>
      <c r="AJ5" s="1">
        <f t="shared" si="8"/>
        <v>38588</v>
      </c>
      <c r="AK5" s="1">
        <f t="shared" si="9"/>
        <v>1155</v>
      </c>
      <c r="AL5" s="1">
        <f t="shared" si="10"/>
        <v>347</v>
      </c>
      <c r="AM5" s="1">
        <f t="shared" si="11"/>
        <v>347</v>
      </c>
    </row>
    <row r="6" spans="1:39" s="1" customFormat="1" ht="20.100000000000001" customHeight="1">
      <c r="A6" s="1">
        <f t="shared" si="0"/>
        <v>105</v>
      </c>
      <c r="B6" s="1">
        <v>5</v>
      </c>
      <c r="C6" s="1">
        <v>0.5</v>
      </c>
      <c r="D6" s="1">
        <f t="shared" si="12"/>
        <v>3</v>
      </c>
      <c r="E6" s="1">
        <f t="shared" si="1"/>
        <v>3</v>
      </c>
      <c r="F6" s="1">
        <f>$D6*总表!D$4</f>
        <v>3150</v>
      </c>
      <c r="G6" s="1">
        <f>$E6*总表!E$4</f>
        <v>300</v>
      </c>
      <c r="H6" s="1">
        <f>$E6*总表!F$4</f>
        <v>90</v>
      </c>
      <c r="I6" s="1">
        <f>$E6*总表!G$4</f>
        <v>90</v>
      </c>
      <c r="Q6" s="1">
        <f t="shared" si="2"/>
        <v>109</v>
      </c>
      <c r="R6" s="6" t="s">
        <v>2900</v>
      </c>
      <c r="S6" s="6">
        <v>1</v>
      </c>
      <c r="T6" s="1">
        <v>9</v>
      </c>
      <c r="U6" s="1">
        <f t="shared" si="3"/>
        <v>5250</v>
      </c>
      <c r="V6" s="1">
        <f t="shared" si="4"/>
        <v>500</v>
      </c>
      <c r="W6" s="1">
        <f t="shared" si="5"/>
        <v>150</v>
      </c>
      <c r="X6" s="1">
        <f t="shared" si="6"/>
        <v>150</v>
      </c>
      <c r="AE6" s="1">
        <f t="shared" si="7"/>
        <v>320</v>
      </c>
      <c r="AF6" s="1">
        <v>3.5</v>
      </c>
      <c r="AG6" s="1">
        <v>1.1000000000000001</v>
      </c>
      <c r="AH6" s="1">
        <v>20</v>
      </c>
      <c r="AI6" s="1">
        <v>3</v>
      </c>
      <c r="AJ6" s="1">
        <f t="shared" si="8"/>
        <v>308700</v>
      </c>
      <c r="AK6" s="1">
        <f t="shared" si="9"/>
        <v>1444</v>
      </c>
      <c r="AL6" s="1">
        <f t="shared" si="10"/>
        <v>433</v>
      </c>
      <c r="AM6" s="1">
        <f t="shared" si="11"/>
        <v>433</v>
      </c>
    </row>
    <row r="7" spans="1:39" s="1" customFormat="1" ht="20.100000000000001" customHeight="1">
      <c r="A7" s="1">
        <f t="shared" si="0"/>
        <v>106</v>
      </c>
      <c r="B7" s="1">
        <v>6</v>
      </c>
      <c r="C7" s="1">
        <v>0.5</v>
      </c>
      <c r="D7" s="1">
        <f t="shared" si="12"/>
        <v>3.5</v>
      </c>
      <c r="E7" s="1">
        <f t="shared" si="1"/>
        <v>3.5</v>
      </c>
      <c r="F7" s="1">
        <f>$D7*总表!D$4</f>
        <v>3675</v>
      </c>
      <c r="G7" s="1">
        <f>$E7*总表!E$4</f>
        <v>350</v>
      </c>
      <c r="H7" s="1">
        <f>$E7*总表!F$4</f>
        <v>105</v>
      </c>
      <c r="I7" s="1">
        <f>$E7*总表!G$4</f>
        <v>105</v>
      </c>
      <c r="Q7" s="1">
        <f t="shared" si="2"/>
        <v>112</v>
      </c>
      <c r="R7" s="6" t="s">
        <v>2901</v>
      </c>
      <c r="S7" s="6">
        <v>1</v>
      </c>
      <c r="T7" s="1">
        <v>12</v>
      </c>
      <c r="U7" s="1">
        <f t="shared" si="3"/>
        <v>6825</v>
      </c>
      <c r="V7" s="1">
        <f t="shared" si="4"/>
        <v>650</v>
      </c>
      <c r="W7" s="1">
        <f t="shared" si="5"/>
        <v>195</v>
      </c>
      <c r="X7" s="1">
        <f t="shared" si="6"/>
        <v>195</v>
      </c>
      <c r="AE7" s="1">
        <f t="shared" si="7"/>
        <v>321</v>
      </c>
      <c r="AF7" s="1">
        <v>3.5</v>
      </c>
      <c r="AG7" s="1">
        <v>1.1000000000000001</v>
      </c>
      <c r="AH7" s="1">
        <v>21</v>
      </c>
      <c r="AI7" s="1">
        <v>3</v>
      </c>
      <c r="AJ7" s="1">
        <f t="shared" si="8"/>
        <v>323400</v>
      </c>
      <c r="AK7" s="1">
        <f t="shared" si="9"/>
        <v>1513</v>
      </c>
      <c r="AL7" s="1">
        <f t="shared" si="10"/>
        <v>454</v>
      </c>
      <c r="AM7" s="1">
        <f t="shared" si="11"/>
        <v>454</v>
      </c>
    </row>
    <row r="8" spans="1:39" s="1" customFormat="1" ht="20.100000000000001" customHeight="1">
      <c r="A8" s="1">
        <f t="shared" si="0"/>
        <v>107</v>
      </c>
      <c r="B8" s="1">
        <v>7</v>
      </c>
      <c r="C8" s="1">
        <v>0.5</v>
      </c>
      <c r="D8" s="1">
        <f t="shared" si="12"/>
        <v>4</v>
      </c>
      <c r="E8" s="1">
        <f t="shared" si="1"/>
        <v>4</v>
      </c>
      <c r="F8" s="1">
        <f>$D8*总表!D$4</f>
        <v>4200</v>
      </c>
      <c r="G8" s="1">
        <f>$E8*总表!E$4</f>
        <v>400</v>
      </c>
      <c r="H8" s="1">
        <f>$E8*总表!F$4</f>
        <v>120</v>
      </c>
      <c r="I8" s="1">
        <f>$E8*总表!G$4</f>
        <v>120</v>
      </c>
      <c r="Q8" s="1">
        <f t="shared" si="2"/>
        <v>115</v>
      </c>
      <c r="R8" s="6" t="s">
        <v>2902</v>
      </c>
      <c r="S8" s="6">
        <v>1</v>
      </c>
      <c r="T8" s="1">
        <v>15</v>
      </c>
      <c r="U8" s="1">
        <f t="shared" si="3"/>
        <v>8400</v>
      </c>
      <c r="V8" s="1">
        <f t="shared" si="4"/>
        <v>800</v>
      </c>
      <c r="W8" s="1">
        <f t="shared" si="5"/>
        <v>240</v>
      </c>
      <c r="X8" s="1">
        <f t="shared" si="6"/>
        <v>240</v>
      </c>
      <c r="AE8" s="1">
        <f t="shared" si="7"/>
        <v>323</v>
      </c>
      <c r="AF8" s="1">
        <v>3.5</v>
      </c>
      <c r="AG8" s="1">
        <v>1.1000000000000001</v>
      </c>
      <c r="AH8" s="1">
        <v>23</v>
      </c>
      <c r="AI8" s="1">
        <v>3</v>
      </c>
      <c r="AJ8" s="1">
        <f t="shared" si="8"/>
        <v>382200</v>
      </c>
      <c r="AK8" s="1">
        <f t="shared" si="9"/>
        <v>1788</v>
      </c>
      <c r="AL8" s="1">
        <f t="shared" si="10"/>
        <v>537</v>
      </c>
      <c r="AM8" s="1">
        <f t="shared" si="11"/>
        <v>537</v>
      </c>
    </row>
    <row r="9" spans="1:39" s="1" customFormat="1" ht="20.100000000000001" customHeight="1">
      <c r="A9" s="1">
        <f t="shared" si="0"/>
        <v>108</v>
      </c>
      <c r="B9" s="1">
        <v>8</v>
      </c>
      <c r="C9" s="1">
        <v>0.5</v>
      </c>
      <c r="D9" s="1">
        <f t="shared" si="12"/>
        <v>4.5</v>
      </c>
      <c r="E9" s="1">
        <f t="shared" si="1"/>
        <v>4.5</v>
      </c>
      <c r="F9" s="1">
        <f>$D9*总表!D$4</f>
        <v>4725</v>
      </c>
      <c r="G9" s="1">
        <f>$E9*总表!E$4</f>
        <v>450</v>
      </c>
      <c r="H9" s="1">
        <f>$E9*总表!F$4</f>
        <v>135</v>
      </c>
      <c r="I9" s="1">
        <f>$E9*总表!G$4</f>
        <v>135</v>
      </c>
      <c r="Q9" s="1">
        <f t="shared" si="2"/>
        <v>305</v>
      </c>
      <c r="R9" s="6" t="s">
        <v>2903</v>
      </c>
      <c r="S9" s="6">
        <v>3</v>
      </c>
      <c r="T9" s="1">
        <v>5</v>
      </c>
      <c r="U9" s="1">
        <f t="shared" si="3"/>
        <v>25200</v>
      </c>
      <c r="V9" s="1">
        <f t="shared" si="4"/>
        <v>375</v>
      </c>
      <c r="W9" s="1">
        <f t="shared" si="5"/>
        <v>113</v>
      </c>
      <c r="X9" s="1">
        <f t="shared" si="6"/>
        <v>113</v>
      </c>
      <c r="AE9" s="1">
        <f t="shared" si="7"/>
        <v>125</v>
      </c>
      <c r="AF9" s="1">
        <v>3.5</v>
      </c>
      <c r="AG9" s="1">
        <v>1.1000000000000001</v>
      </c>
      <c r="AH9" s="1">
        <v>25</v>
      </c>
      <c r="AI9" s="1">
        <v>1</v>
      </c>
      <c r="AJ9" s="1">
        <f t="shared" si="8"/>
        <v>55125</v>
      </c>
      <c r="AK9" s="1">
        <f t="shared" si="9"/>
        <v>1650</v>
      </c>
      <c r="AL9" s="1">
        <f t="shared" si="10"/>
        <v>495</v>
      </c>
      <c r="AM9" s="1">
        <f t="shared" si="11"/>
        <v>495</v>
      </c>
    </row>
    <row r="10" spans="1:39" s="1" customFormat="1" ht="20.100000000000001" customHeight="1">
      <c r="A10" s="1">
        <f t="shared" si="0"/>
        <v>109</v>
      </c>
      <c r="B10" s="1">
        <v>9</v>
      </c>
      <c r="C10" s="1">
        <v>0.5</v>
      </c>
      <c r="D10" s="1">
        <f t="shared" si="12"/>
        <v>5</v>
      </c>
      <c r="E10" s="1">
        <f t="shared" si="1"/>
        <v>5</v>
      </c>
      <c r="F10" s="1">
        <f>$D10*总表!D$4</f>
        <v>5250</v>
      </c>
      <c r="G10" s="1">
        <f>$E10*总表!E$4</f>
        <v>500</v>
      </c>
      <c r="H10" s="1">
        <f>$E10*总表!F$4</f>
        <v>150</v>
      </c>
      <c r="I10" s="1">
        <f>$E10*总表!G$4</f>
        <v>150</v>
      </c>
      <c r="Q10" s="1">
        <f t="shared" si="2"/>
        <v>308</v>
      </c>
      <c r="R10" s="6" t="s">
        <v>2904</v>
      </c>
      <c r="S10" s="6">
        <v>3</v>
      </c>
      <c r="T10" s="1">
        <v>8</v>
      </c>
      <c r="U10" s="1">
        <f t="shared" si="3"/>
        <v>37800</v>
      </c>
      <c r="V10" s="1">
        <f t="shared" si="4"/>
        <v>563</v>
      </c>
      <c r="W10" s="1">
        <f t="shared" si="5"/>
        <v>169</v>
      </c>
      <c r="X10" s="1">
        <f t="shared" si="6"/>
        <v>169</v>
      </c>
      <c r="AE10" s="1">
        <f t="shared" si="7"/>
        <v>132</v>
      </c>
      <c r="AF10" s="1">
        <v>3.5</v>
      </c>
      <c r="AG10" s="1">
        <v>1.1000000000000001</v>
      </c>
      <c r="AH10" s="1">
        <v>32</v>
      </c>
      <c r="AI10" s="1">
        <v>1</v>
      </c>
      <c r="AJ10" s="1">
        <f t="shared" si="8"/>
        <v>95550</v>
      </c>
      <c r="AK10" s="1">
        <f t="shared" si="9"/>
        <v>2860</v>
      </c>
      <c r="AL10" s="1">
        <f t="shared" si="10"/>
        <v>858</v>
      </c>
      <c r="AM10" s="1">
        <f t="shared" si="11"/>
        <v>858</v>
      </c>
    </row>
    <row r="11" spans="1:39" s="1" customFormat="1" ht="20.100000000000001" customHeight="1">
      <c r="A11" s="1">
        <f t="shared" si="0"/>
        <v>110</v>
      </c>
      <c r="B11" s="1">
        <v>10</v>
      </c>
      <c r="C11" s="1">
        <v>0.5</v>
      </c>
      <c r="D11" s="1">
        <f t="shared" si="12"/>
        <v>5.5</v>
      </c>
      <c r="E11" s="1">
        <f t="shared" si="1"/>
        <v>5.5</v>
      </c>
      <c r="F11" s="1">
        <f>$D11*总表!D$4</f>
        <v>5775</v>
      </c>
      <c r="G11" s="1">
        <f>$E11*总表!E$4</f>
        <v>550</v>
      </c>
      <c r="H11" s="1">
        <f>$E11*总表!F$4</f>
        <v>165</v>
      </c>
      <c r="I11" s="1">
        <f>$E11*总表!G$4</f>
        <v>165</v>
      </c>
      <c r="Q11" s="1">
        <f t="shared" si="2"/>
        <v>310</v>
      </c>
      <c r="R11" s="6" t="s">
        <v>2905</v>
      </c>
      <c r="S11" s="6">
        <v>3</v>
      </c>
      <c r="T11" s="1">
        <v>10</v>
      </c>
      <c r="U11" s="1">
        <f t="shared" si="3"/>
        <v>46200</v>
      </c>
      <c r="V11" s="1">
        <f t="shared" si="4"/>
        <v>688</v>
      </c>
      <c r="W11" s="1">
        <f t="shared" si="5"/>
        <v>206</v>
      </c>
      <c r="X11" s="1">
        <f t="shared" si="6"/>
        <v>206</v>
      </c>
      <c r="AE11" s="1">
        <f t="shared" si="7"/>
        <v>132</v>
      </c>
      <c r="AF11" s="1">
        <v>3.5</v>
      </c>
      <c r="AG11" s="1">
        <v>1.1000000000000001</v>
      </c>
      <c r="AH11" s="1">
        <v>32</v>
      </c>
      <c r="AI11" s="1">
        <v>1</v>
      </c>
      <c r="AJ11" s="1">
        <f t="shared" si="8"/>
        <v>95550</v>
      </c>
      <c r="AK11" s="1">
        <f t="shared" si="9"/>
        <v>2860</v>
      </c>
      <c r="AL11" s="1">
        <f t="shared" si="10"/>
        <v>858</v>
      </c>
      <c r="AM11" s="1">
        <f t="shared" si="11"/>
        <v>858</v>
      </c>
    </row>
    <row r="12" spans="1:39" s="1" customFormat="1" ht="20.100000000000001" customHeight="1">
      <c r="A12" s="1">
        <f t="shared" si="0"/>
        <v>111</v>
      </c>
      <c r="B12" s="1">
        <v>11</v>
      </c>
      <c r="C12" s="1">
        <v>0.5</v>
      </c>
      <c r="D12" s="1">
        <f t="shared" si="12"/>
        <v>6</v>
      </c>
      <c r="E12" s="1">
        <f t="shared" si="1"/>
        <v>6</v>
      </c>
      <c r="F12" s="1">
        <f>$D12*总表!D$4</f>
        <v>6300</v>
      </c>
      <c r="G12" s="1">
        <f>$E12*总表!E$4</f>
        <v>600</v>
      </c>
      <c r="H12" s="1">
        <f>$E12*总表!F$4</f>
        <v>180</v>
      </c>
      <c r="I12" s="1">
        <f>$E12*总表!G$4</f>
        <v>180</v>
      </c>
      <c r="Q12" s="1">
        <f t="shared" si="2"/>
        <v>312</v>
      </c>
      <c r="R12" s="6" t="s">
        <v>2906</v>
      </c>
      <c r="S12" s="6">
        <v>3</v>
      </c>
      <c r="T12" s="1">
        <v>12</v>
      </c>
      <c r="U12" s="1">
        <f t="shared" si="3"/>
        <v>54600</v>
      </c>
      <c r="V12" s="1">
        <f t="shared" si="4"/>
        <v>813</v>
      </c>
      <c r="W12" s="1">
        <f t="shared" si="5"/>
        <v>244</v>
      </c>
      <c r="X12" s="1">
        <f t="shared" si="6"/>
        <v>244</v>
      </c>
      <c r="AE12" s="1">
        <f t="shared" si="7"/>
        <v>132</v>
      </c>
      <c r="AF12" s="1">
        <v>3.5</v>
      </c>
      <c r="AG12" s="1">
        <v>1.1000000000000001</v>
      </c>
      <c r="AH12" s="1">
        <v>32</v>
      </c>
      <c r="AI12" s="1">
        <v>1</v>
      </c>
      <c r="AJ12" s="1">
        <f t="shared" si="8"/>
        <v>95550</v>
      </c>
      <c r="AK12" s="1">
        <f t="shared" si="9"/>
        <v>2860</v>
      </c>
      <c r="AL12" s="1">
        <f t="shared" si="10"/>
        <v>858</v>
      </c>
      <c r="AM12" s="1">
        <f t="shared" si="11"/>
        <v>858</v>
      </c>
    </row>
    <row r="13" spans="1:39" s="1" customFormat="1" ht="20.100000000000001" customHeight="1">
      <c r="A13" s="1">
        <f t="shared" si="0"/>
        <v>112</v>
      </c>
      <c r="B13" s="1">
        <v>12</v>
      </c>
      <c r="C13" s="1">
        <v>0.5</v>
      </c>
      <c r="D13" s="1">
        <f t="shared" si="12"/>
        <v>6.5</v>
      </c>
      <c r="E13" s="1">
        <f t="shared" si="1"/>
        <v>6.5</v>
      </c>
      <c r="F13" s="1">
        <f>$D13*总表!D$4</f>
        <v>6825</v>
      </c>
      <c r="G13" s="1">
        <f>$E13*总表!E$4</f>
        <v>650</v>
      </c>
      <c r="H13" s="1">
        <f>$E13*总表!F$4</f>
        <v>195</v>
      </c>
      <c r="I13" s="1">
        <f>$E13*总表!G$4</f>
        <v>195</v>
      </c>
      <c r="Q13" s="1">
        <f t="shared" si="2"/>
        <v>315</v>
      </c>
      <c r="R13" s="6" t="s">
        <v>2907</v>
      </c>
      <c r="S13" s="6">
        <v>3</v>
      </c>
      <c r="T13" s="1">
        <v>15</v>
      </c>
      <c r="U13" s="1">
        <f t="shared" si="3"/>
        <v>67200</v>
      </c>
      <c r="V13" s="1">
        <f t="shared" si="4"/>
        <v>1000</v>
      </c>
      <c r="W13" s="1">
        <f t="shared" si="5"/>
        <v>300</v>
      </c>
      <c r="X13" s="1">
        <f t="shared" si="6"/>
        <v>300</v>
      </c>
      <c r="AE13" s="1">
        <f t="shared" si="7"/>
        <v>132</v>
      </c>
      <c r="AF13" s="1">
        <v>3.5</v>
      </c>
      <c r="AG13" s="1">
        <v>1.1000000000000001</v>
      </c>
      <c r="AH13" s="1">
        <v>32</v>
      </c>
      <c r="AI13" s="1">
        <v>1</v>
      </c>
      <c r="AJ13" s="1">
        <f t="shared" si="8"/>
        <v>95550</v>
      </c>
      <c r="AK13" s="1">
        <f t="shared" si="9"/>
        <v>2860</v>
      </c>
      <c r="AL13" s="1">
        <f t="shared" si="10"/>
        <v>858</v>
      </c>
      <c r="AM13" s="1">
        <f t="shared" si="11"/>
        <v>858</v>
      </c>
    </row>
    <row r="14" spans="1:39" s="1" customFormat="1" ht="20.100000000000001" customHeight="1">
      <c r="A14" s="1">
        <f t="shared" si="0"/>
        <v>113</v>
      </c>
      <c r="B14" s="1">
        <v>13</v>
      </c>
      <c r="C14" s="1">
        <v>0.5</v>
      </c>
      <c r="D14" s="1">
        <f t="shared" si="12"/>
        <v>7</v>
      </c>
      <c r="E14" s="1">
        <f t="shared" si="1"/>
        <v>7</v>
      </c>
      <c r="F14" s="1">
        <f>$D14*总表!D$4</f>
        <v>7350</v>
      </c>
      <c r="G14" s="1">
        <f>$E14*总表!E$4</f>
        <v>700</v>
      </c>
      <c r="H14" s="1">
        <f>$E14*总表!F$4</f>
        <v>210</v>
      </c>
      <c r="I14" s="1">
        <f>$E14*总表!G$4</f>
        <v>210</v>
      </c>
      <c r="Q14" s="1">
        <f t="shared" si="2"/>
        <v>318</v>
      </c>
      <c r="R14" s="6" t="s">
        <v>2908</v>
      </c>
      <c r="S14" s="6">
        <v>3</v>
      </c>
      <c r="T14" s="1">
        <v>18</v>
      </c>
      <c r="U14" s="1">
        <f t="shared" si="3"/>
        <v>79800</v>
      </c>
      <c r="V14" s="1">
        <f t="shared" si="4"/>
        <v>1188</v>
      </c>
      <c r="W14" s="1">
        <f t="shared" si="5"/>
        <v>356</v>
      </c>
      <c r="X14" s="1">
        <f t="shared" si="6"/>
        <v>356</v>
      </c>
      <c r="AE14" s="1">
        <f t="shared" si="7"/>
        <v>333</v>
      </c>
      <c r="AF14" s="1">
        <v>3.5</v>
      </c>
      <c r="AG14" s="1">
        <v>1.1000000000000001</v>
      </c>
      <c r="AH14" s="1">
        <v>33</v>
      </c>
      <c r="AI14" s="1">
        <v>3</v>
      </c>
      <c r="AJ14" s="1">
        <f t="shared" si="8"/>
        <v>793800</v>
      </c>
      <c r="AK14" s="1">
        <f t="shared" si="9"/>
        <v>3713</v>
      </c>
      <c r="AL14" s="1">
        <f t="shared" si="10"/>
        <v>1114</v>
      </c>
      <c r="AM14" s="1">
        <f t="shared" si="11"/>
        <v>1114</v>
      </c>
    </row>
    <row r="15" spans="1:39" s="1" customFormat="1" ht="20.100000000000001" customHeight="1">
      <c r="A15" s="1">
        <f t="shared" si="0"/>
        <v>114</v>
      </c>
      <c r="B15" s="1">
        <v>14</v>
      </c>
      <c r="C15" s="1">
        <v>0.5</v>
      </c>
      <c r="D15" s="1">
        <f t="shared" si="12"/>
        <v>7.5</v>
      </c>
      <c r="E15" s="1">
        <f t="shared" si="1"/>
        <v>7.5</v>
      </c>
      <c r="F15" s="1">
        <f>$D15*总表!D$4</f>
        <v>7875</v>
      </c>
      <c r="G15" s="1">
        <f>$E15*总表!E$4</f>
        <v>750</v>
      </c>
      <c r="H15" s="1">
        <f>$E15*总表!F$4</f>
        <v>225</v>
      </c>
      <c r="I15" s="1">
        <f>$E15*总表!G$4</f>
        <v>225</v>
      </c>
      <c r="Q15" s="1">
        <f t="shared" si="2"/>
        <v>118</v>
      </c>
      <c r="R15" s="6" t="s">
        <v>2909</v>
      </c>
      <c r="S15" s="6">
        <v>1</v>
      </c>
      <c r="T15" s="1">
        <v>18</v>
      </c>
      <c r="U15" s="1">
        <f t="shared" si="3"/>
        <v>9975</v>
      </c>
      <c r="V15" s="1">
        <f t="shared" si="4"/>
        <v>950</v>
      </c>
      <c r="W15" s="1">
        <f t="shared" si="5"/>
        <v>285</v>
      </c>
      <c r="X15" s="1">
        <f t="shared" si="6"/>
        <v>285</v>
      </c>
      <c r="AE15" s="1">
        <f t="shared" si="7"/>
        <v>334</v>
      </c>
      <c r="AF15" s="1">
        <v>3.5</v>
      </c>
      <c r="AG15" s="1">
        <v>1.1000000000000001</v>
      </c>
      <c r="AH15" s="1">
        <v>34</v>
      </c>
      <c r="AI15" s="1">
        <v>3</v>
      </c>
      <c r="AJ15" s="1">
        <f t="shared" si="8"/>
        <v>823200</v>
      </c>
      <c r="AK15" s="1">
        <f t="shared" si="9"/>
        <v>3850</v>
      </c>
      <c r="AL15" s="1">
        <f t="shared" si="10"/>
        <v>1155</v>
      </c>
      <c r="AM15" s="1">
        <f t="shared" si="11"/>
        <v>1155</v>
      </c>
    </row>
    <row r="16" spans="1:39" s="1" customFormat="1" ht="20.100000000000001" customHeight="1">
      <c r="A16" s="1">
        <f t="shared" si="0"/>
        <v>115</v>
      </c>
      <c r="B16" s="1">
        <v>15</v>
      </c>
      <c r="C16" s="1">
        <v>0.5</v>
      </c>
      <c r="D16" s="1">
        <f t="shared" si="12"/>
        <v>8</v>
      </c>
      <c r="E16" s="1">
        <f t="shared" si="1"/>
        <v>8</v>
      </c>
      <c r="F16" s="1">
        <f>$D16*总表!D$4</f>
        <v>8400</v>
      </c>
      <c r="G16" s="1">
        <f>$E16*总表!E$4</f>
        <v>800</v>
      </c>
      <c r="H16" s="1">
        <f>$E16*总表!F$4</f>
        <v>240</v>
      </c>
      <c r="I16" s="1">
        <f>$E16*总表!G$4</f>
        <v>240</v>
      </c>
      <c r="Q16" s="1">
        <f t="shared" si="2"/>
        <v>120</v>
      </c>
      <c r="R16" s="6" t="s">
        <v>2910</v>
      </c>
      <c r="S16" s="6">
        <v>1</v>
      </c>
      <c r="T16" s="1">
        <v>20</v>
      </c>
      <c r="U16" s="1">
        <f t="shared" si="3"/>
        <v>11025</v>
      </c>
      <c r="V16" s="1">
        <f t="shared" si="4"/>
        <v>1050</v>
      </c>
      <c r="W16" s="1">
        <f t="shared" si="5"/>
        <v>315</v>
      </c>
      <c r="X16" s="1">
        <f t="shared" si="6"/>
        <v>315</v>
      </c>
      <c r="AE16" s="1">
        <f t="shared" si="7"/>
        <v>335</v>
      </c>
      <c r="AF16" s="1">
        <v>3.5</v>
      </c>
      <c r="AG16" s="1">
        <v>1.1000000000000001</v>
      </c>
      <c r="AH16" s="1">
        <v>35</v>
      </c>
      <c r="AI16" s="1">
        <v>3</v>
      </c>
      <c r="AJ16" s="1">
        <f t="shared" si="8"/>
        <v>852600</v>
      </c>
      <c r="AK16" s="1">
        <f t="shared" si="9"/>
        <v>3988</v>
      </c>
      <c r="AL16" s="1">
        <f t="shared" si="10"/>
        <v>1197</v>
      </c>
      <c r="AM16" s="1">
        <f t="shared" si="11"/>
        <v>1197</v>
      </c>
    </row>
    <row r="17" spans="1:39" s="1" customFormat="1" ht="20.100000000000001" customHeight="1">
      <c r="A17" s="1">
        <f t="shared" si="0"/>
        <v>116</v>
      </c>
      <c r="B17" s="1">
        <v>16</v>
      </c>
      <c r="C17" s="1">
        <v>0.5</v>
      </c>
      <c r="D17" s="1">
        <f t="shared" si="12"/>
        <v>8.5</v>
      </c>
      <c r="E17" s="1">
        <f t="shared" si="1"/>
        <v>8.5</v>
      </c>
      <c r="F17" s="1">
        <f>$D17*总表!D$4</f>
        <v>8925</v>
      </c>
      <c r="G17" s="1">
        <f>$E17*总表!E$4</f>
        <v>850</v>
      </c>
      <c r="H17" s="1">
        <f>$E17*总表!F$4</f>
        <v>255</v>
      </c>
      <c r="I17" s="1">
        <f>$E17*总表!G$4</f>
        <v>255</v>
      </c>
      <c r="Q17" s="1">
        <f t="shared" si="2"/>
        <v>122</v>
      </c>
      <c r="R17" s="6" t="s">
        <v>2911</v>
      </c>
      <c r="S17" s="6">
        <v>1</v>
      </c>
      <c r="T17" s="1">
        <v>22</v>
      </c>
      <c r="U17" s="1">
        <f t="shared" si="3"/>
        <v>12600</v>
      </c>
      <c r="V17" s="1">
        <f t="shared" si="4"/>
        <v>1200</v>
      </c>
      <c r="W17" s="1">
        <f t="shared" si="5"/>
        <v>360</v>
      </c>
      <c r="X17" s="1">
        <f t="shared" si="6"/>
        <v>360</v>
      </c>
      <c r="AE17" s="1">
        <f t="shared" si="7"/>
        <v>142</v>
      </c>
      <c r="AF17" s="1">
        <v>3.5</v>
      </c>
      <c r="AG17" s="1">
        <v>1.1000000000000001</v>
      </c>
      <c r="AH17" s="1">
        <v>42</v>
      </c>
      <c r="AI17" s="1">
        <v>1</v>
      </c>
      <c r="AJ17" s="1">
        <f t="shared" si="8"/>
        <v>147000</v>
      </c>
      <c r="AK17" s="1">
        <f t="shared" si="9"/>
        <v>4400</v>
      </c>
      <c r="AL17" s="1">
        <f t="shared" si="10"/>
        <v>1320</v>
      </c>
      <c r="AM17" s="1">
        <f t="shared" si="11"/>
        <v>1320</v>
      </c>
    </row>
    <row r="18" spans="1:39" s="1" customFormat="1" ht="20.100000000000001" customHeight="1">
      <c r="A18" s="1">
        <f t="shared" si="0"/>
        <v>117</v>
      </c>
      <c r="B18" s="1">
        <v>17</v>
      </c>
      <c r="C18" s="1">
        <v>0.5</v>
      </c>
      <c r="D18" s="1">
        <f t="shared" si="12"/>
        <v>9</v>
      </c>
      <c r="E18" s="1">
        <f t="shared" si="1"/>
        <v>9</v>
      </c>
      <c r="F18" s="1">
        <f>$D18*总表!D$4</f>
        <v>9450</v>
      </c>
      <c r="G18" s="1">
        <f>$E18*总表!E$4</f>
        <v>900</v>
      </c>
      <c r="H18" s="1">
        <f>$E18*总表!F$4</f>
        <v>270</v>
      </c>
      <c r="I18" s="1">
        <f>$E18*总表!G$4</f>
        <v>270</v>
      </c>
      <c r="Q18" s="1">
        <f t="shared" si="2"/>
        <v>124</v>
      </c>
      <c r="R18" s="6" t="s">
        <v>2912</v>
      </c>
      <c r="S18" s="6">
        <v>1</v>
      </c>
      <c r="T18" s="1">
        <v>24</v>
      </c>
      <c r="U18" s="1">
        <f t="shared" si="3"/>
        <v>14700</v>
      </c>
      <c r="V18" s="1">
        <f t="shared" si="4"/>
        <v>1400</v>
      </c>
      <c r="W18" s="1">
        <f t="shared" si="5"/>
        <v>420</v>
      </c>
      <c r="X18" s="1">
        <f t="shared" si="6"/>
        <v>420</v>
      </c>
      <c r="AE18" s="1">
        <f t="shared" si="7"/>
        <v>142</v>
      </c>
      <c r="AF18" s="1">
        <v>3.5</v>
      </c>
      <c r="AG18" s="1">
        <v>1.1000000000000001</v>
      </c>
      <c r="AH18" s="1">
        <v>42</v>
      </c>
      <c r="AI18" s="1">
        <v>1</v>
      </c>
      <c r="AJ18" s="1">
        <f t="shared" si="8"/>
        <v>147000</v>
      </c>
      <c r="AK18" s="1">
        <f t="shared" si="9"/>
        <v>4400</v>
      </c>
      <c r="AL18" s="1">
        <f t="shared" si="10"/>
        <v>1320</v>
      </c>
      <c r="AM18" s="1">
        <f t="shared" si="11"/>
        <v>1320</v>
      </c>
    </row>
    <row r="19" spans="1:39" s="1" customFormat="1" ht="20.100000000000001" customHeight="1">
      <c r="A19" s="1">
        <f t="shared" si="0"/>
        <v>118</v>
      </c>
      <c r="B19" s="1">
        <v>18</v>
      </c>
      <c r="C19" s="1">
        <v>0.5</v>
      </c>
      <c r="D19" s="1">
        <f t="shared" si="12"/>
        <v>9.5</v>
      </c>
      <c r="E19" s="1">
        <f t="shared" si="1"/>
        <v>9.5</v>
      </c>
      <c r="F19" s="1">
        <f>$D19*总表!D$4</f>
        <v>9975</v>
      </c>
      <c r="G19" s="1">
        <f>$E19*总表!E$4</f>
        <v>950</v>
      </c>
      <c r="H19" s="1">
        <f>$E19*总表!F$4</f>
        <v>285</v>
      </c>
      <c r="I19" s="1">
        <f>$E19*总表!G$4</f>
        <v>285</v>
      </c>
      <c r="Q19" s="1">
        <f t="shared" si="2"/>
        <v>126</v>
      </c>
      <c r="R19" s="6" t="s">
        <v>2913</v>
      </c>
      <c r="S19" s="6">
        <v>1</v>
      </c>
      <c r="T19" s="1">
        <v>26</v>
      </c>
      <c r="U19" s="1">
        <f t="shared" si="3"/>
        <v>16800</v>
      </c>
      <c r="V19" s="1">
        <f t="shared" si="4"/>
        <v>1600</v>
      </c>
      <c r="W19" s="1">
        <f t="shared" si="5"/>
        <v>480</v>
      </c>
      <c r="X19" s="1">
        <f t="shared" si="6"/>
        <v>480</v>
      </c>
      <c r="AE19" s="1">
        <f t="shared" si="7"/>
        <v>142</v>
      </c>
      <c r="AF19" s="1">
        <v>3.5</v>
      </c>
      <c r="AG19" s="1">
        <v>1.1000000000000001</v>
      </c>
      <c r="AH19" s="1">
        <v>42</v>
      </c>
      <c r="AI19" s="1">
        <v>1</v>
      </c>
      <c r="AJ19" s="1">
        <f t="shared" si="8"/>
        <v>147000</v>
      </c>
      <c r="AK19" s="1">
        <f t="shared" si="9"/>
        <v>4400</v>
      </c>
      <c r="AL19" s="1">
        <f t="shared" si="10"/>
        <v>1320</v>
      </c>
      <c r="AM19" s="1">
        <f t="shared" si="11"/>
        <v>1320</v>
      </c>
    </row>
    <row r="20" spans="1:39" s="1" customFormat="1" ht="20.100000000000001" customHeight="1">
      <c r="A20" s="1">
        <f t="shared" si="0"/>
        <v>119</v>
      </c>
      <c r="B20" s="1">
        <v>19</v>
      </c>
      <c r="C20" s="1">
        <v>0.5</v>
      </c>
      <c r="D20" s="1">
        <f t="shared" si="12"/>
        <v>10</v>
      </c>
      <c r="E20" s="1">
        <f t="shared" si="1"/>
        <v>10</v>
      </c>
      <c r="F20" s="1">
        <f>$D20*总表!D$4</f>
        <v>10500</v>
      </c>
      <c r="G20" s="1">
        <f>$E20*总表!E$4</f>
        <v>1000</v>
      </c>
      <c r="H20" s="1">
        <f>$E20*总表!F$4</f>
        <v>300</v>
      </c>
      <c r="I20" s="1">
        <f>$E20*总表!G$4</f>
        <v>300</v>
      </c>
      <c r="Q20" s="1">
        <f t="shared" si="2"/>
        <v>128</v>
      </c>
      <c r="R20" s="6" t="s">
        <v>2914</v>
      </c>
      <c r="S20" s="6">
        <v>1</v>
      </c>
      <c r="T20" s="1">
        <v>28</v>
      </c>
      <c r="U20" s="1">
        <f t="shared" si="3"/>
        <v>18900</v>
      </c>
      <c r="V20" s="1">
        <f t="shared" si="4"/>
        <v>1800</v>
      </c>
      <c r="W20" s="1">
        <f t="shared" si="5"/>
        <v>540</v>
      </c>
      <c r="X20" s="1">
        <f t="shared" si="6"/>
        <v>540</v>
      </c>
      <c r="AE20" s="1">
        <f t="shared" si="7"/>
        <v>142</v>
      </c>
      <c r="AF20" s="1">
        <v>3.5</v>
      </c>
      <c r="AG20" s="1">
        <v>1.1000000000000001</v>
      </c>
      <c r="AH20" s="1">
        <v>42</v>
      </c>
      <c r="AI20" s="1">
        <v>1</v>
      </c>
      <c r="AJ20" s="1">
        <f t="shared" si="8"/>
        <v>147000</v>
      </c>
      <c r="AK20" s="1">
        <f t="shared" si="9"/>
        <v>4400</v>
      </c>
      <c r="AL20" s="1">
        <f t="shared" si="10"/>
        <v>1320</v>
      </c>
      <c r="AM20" s="1">
        <f t="shared" si="11"/>
        <v>1320</v>
      </c>
    </row>
    <row r="21" spans="1:39" s="1" customFormat="1" ht="20.100000000000001" customHeight="1">
      <c r="A21" s="1">
        <f t="shared" si="0"/>
        <v>120</v>
      </c>
      <c r="B21" s="1">
        <v>20</v>
      </c>
      <c r="C21" s="1">
        <v>0.5</v>
      </c>
      <c r="D21" s="1">
        <f t="shared" si="12"/>
        <v>10.5</v>
      </c>
      <c r="E21" s="1">
        <f t="shared" si="1"/>
        <v>10.5</v>
      </c>
      <c r="F21" s="1">
        <f>$D21*总表!D$4</f>
        <v>11025</v>
      </c>
      <c r="G21" s="1">
        <f>$E21*总表!E$4</f>
        <v>1050</v>
      </c>
      <c r="H21" s="1">
        <f>$E21*总表!F$4</f>
        <v>315</v>
      </c>
      <c r="I21" s="1">
        <f>$E21*总表!G$4</f>
        <v>315</v>
      </c>
      <c r="Q21" s="1">
        <f t="shared" si="2"/>
        <v>128</v>
      </c>
      <c r="R21" s="6" t="s">
        <v>2915</v>
      </c>
      <c r="S21" s="6">
        <v>1</v>
      </c>
      <c r="T21" s="1">
        <v>28</v>
      </c>
      <c r="U21" s="1">
        <f t="shared" si="3"/>
        <v>18900</v>
      </c>
      <c r="V21" s="1">
        <f t="shared" si="4"/>
        <v>1800</v>
      </c>
      <c r="W21" s="1">
        <f t="shared" si="5"/>
        <v>540</v>
      </c>
      <c r="X21" s="1">
        <f t="shared" si="6"/>
        <v>540</v>
      </c>
      <c r="AE21" s="1">
        <f t="shared" si="7"/>
        <v>142</v>
      </c>
      <c r="AF21" s="1">
        <v>3.5</v>
      </c>
      <c r="AG21" s="1">
        <v>1.1000000000000001</v>
      </c>
      <c r="AH21" s="1">
        <v>42</v>
      </c>
      <c r="AI21" s="1">
        <v>1</v>
      </c>
      <c r="AJ21" s="1">
        <f t="shared" si="8"/>
        <v>147000</v>
      </c>
      <c r="AK21" s="1">
        <f t="shared" si="9"/>
        <v>4400</v>
      </c>
      <c r="AL21" s="1">
        <f t="shared" si="10"/>
        <v>1320</v>
      </c>
      <c r="AM21" s="1">
        <f t="shared" si="11"/>
        <v>1320</v>
      </c>
    </row>
    <row r="22" spans="1:39" s="1" customFormat="1" ht="20.100000000000001" customHeight="1">
      <c r="A22" s="1">
        <f t="shared" si="0"/>
        <v>121</v>
      </c>
      <c r="B22" s="1">
        <v>21</v>
      </c>
      <c r="C22" s="1">
        <v>1</v>
      </c>
      <c r="D22" s="1">
        <f t="shared" si="12"/>
        <v>11</v>
      </c>
      <c r="E22" s="1">
        <f t="shared" si="1"/>
        <v>11</v>
      </c>
      <c r="F22" s="1">
        <f>$D22*总表!D$4</f>
        <v>11550</v>
      </c>
      <c r="G22" s="1">
        <f>$E22*总表!E$4</f>
        <v>1100</v>
      </c>
      <c r="H22" s="1">
        <f>$E22*总表!F$4</f>
        <v>330</v>
      </c>
      <c r="I22" s="1">
        <f>$E22*总表!G$4</f>
        <v>330</v>
      </c>
      <c r="Q22" s="1">
        <f t="shared" si="2"/>
        <v>322</v>
      </c>
      <c r="R22" s="6" t="s">
        <v>2916</v>
      </c>
      <c r="S22" s="6">
        <v>3</v>
      </c>
      <c r="T22" s="1">
        <v>22</v>
      </c>
      <c r="U22" s="1">
        <f t="shared" si="3"/>
        <v>100800</v>
      </c>
      <c r="V22" s="1">
        <f t="shared" si="4"/>
        <v>1500</v>
      </c>
      <c r="W22" s="1">
        <f t="shared" si="5"/>
        <v>450</v>
      </c>
      <c r="X22" s="1">
        <f t="shared" si="6"/>
        <v>450</v>
      </c>
      <c r="AE22" s="1">
        <f t="shared" si="7"/>
        <v>343</v>
      </c>
      <c r="AF22" s="1">
        <v>3.5</v>
      </c>
      <c r="AG22" s="1">
        <v>1.1000000000000001</v>
      </c>
      <c r="AH22" s="1">
        <v>43</v>
      </c>
      <c r="AI22" s="1">
        <v>3</v>
      </c>
      <c r="AJ22" s="1">
        <f t="shared" si="8"/>
        <v>1205400</v>
      </c>
      <c r="AK22" s="1">
        <f t="shared" si="9"/>
        <v>5638</v>
      </c>
      <c r="AL22" s="1">
        <f t="shared" si="10"/>
        <v>1692</v>
      </c>
      <c r="AM22" s="1">
        <f t="shared" si="11"/>
        <v>1692</v>
      </c>
    </row>
    <row r="23" spans="1:39" s="1" customFormat="1" ht="20.100000000000001" customHeight="1">
      <c r="A23" s="1">
        <f t="shared" si="0"/>
        <v>122</v>
      </c>
      <c r="B23" s="1">
        <v>22</v>
      </c>
      <c r="C23" s="1">
        <v>1</v>
      </c>
      <c r="D23" s="1">
        <f t="shared" si="12"/>
        <v>12</v>
      </c>
      <c r="E23" s="1">
        <f t="shared" si="1"/>
        <v>12</v>
      </c>
      <c r="F23" s="1">
        <f>$D23*总表!D$4</f>
        <v>12600</v>
      </c>
      <c r="G23" s="1">
        <f>$E23*总表!E$4</f>
        <v>1200</v>
      </c>
      <c r="H23" s="1">
        <f>$E23*总表!F$4</f>
        <v>360</v>
      </c>
      <c r="I23" s="1">
        <f>$E23*总表!G$4</f>
        <v>360</v>
      </c>
      <c r="Q23" s="1">
        <f t="shared" si="2"/>
        <v>324</v>
      </c>
      <c r="R23" s="6" t="s">
        <v>2917</v>
      </c>
      <c r="S23" s="6">
        <v>3</v>
      </c>
      <c r="T23" s="1">
        <v>24</v>
      </c>
      <c r="U23" s="1">
        <f t="shared" si="3"/>
        <v>117600</v>
      </c>
      <c r="V23" s="1">
        <f t="shared" si="4"/>
        <v>1750</v>
      </c>
      <c r="W23" s="1">
        <f t="shared" si="5"/>
        <v>525</v>
      </c>
      <c r="X23" s="1">
        <f t="shared" si="6"/>
        <v>525</v>
      </c>
      <c r="AE23" s="1">
        <f t="shared" si="7"/>
        <v>344</v>
      </c>
      <c r="AF23" s="1">
        <v>3.5</v>
      </c>
      <c r="AG23" s="1">
        <v>1.1000000000000001</v>
      </c>
      <c r="AH23" s="1">
        <v>44</v>
      </c>
      <c r="AI23" s="1">
        <v>3</v>
      </c>
      <c r="AJ23" s="1">
        <f t="shared" si="8"/>
        <v>1234800</v>
      </c>
      <c r="AK23" s="1">
        <f t="shared" si="9"/>
        <v>5775</v>
      </c>
      <c r="AL23" s="1">
        <f t="shared" si="10"/>
        <v>1733</v>
      </c>
      <c r="AM23" s="1">
        <f t="shared" si="11"/>
        <v>1733</v>
      </c>
    </row>
    <row r="24" spans="1:39" s="1" customFormat="1" ht="20.100000000000001" customHeight="1">
      <c r="A24" s="1">
        <f t="shared" si="0"/>
        <v>123</v>
      </c>
      <c r="B24" s="1">
        <v>23</v>
      </c>
      <c r="C24" s="1">
        <v>1</v>
      </c>
      <c r="D24" s="1">
        <f t="shared" si="12"/>
        <v>13</v>
      </c>
      <c r="E24" s="1">
        <f t="shared" si="1"/>
        <v>13</v>
      </c>
      <c r="F24" s="1">
        <f>$D24*总表!D$4</f>
        <v>13650</v>
      </c>
      <c r="G24" s="1">
        <f>$E24*总表!E$4</f>
        <v>1300</v>
      </c>
      <c r="H24" s="1">
        <f>$E24*总表!F$4</f>
        <v>390</v>
      </c>
      <c r="I24" s="1">
        <f>$E24*总表!G$4</f>
        <v>390</v>
      </c>
      <c r="Q24" s="1">
        <f t="shared" si="2"/>
        <v>326</v>
      </c>
      <c r="R24" s="6" t="s">
        <v>2918</v>
      </c>
      <c r="S24" s="6">
        <v>3</v>
      </c>
      <c r="T24" s="1">
        <v>26</v>
      </c>
      <c r="U24" s="1">
        <f t="shared" si="3"/>
        <v>134400</v>
      </c>
      <c r="V24" s="1">
        <f t="shared" si="4"/>
        <v>2000</v>
      </c>
      <c r="W24" s="1">
        <f t="shared" si="5"/>
        <v>600</v>
      </c>
      <c r="X24" s="1">
        <f t="shared" si="6"/>
        <v>600</v>
      </c>
      <c r="AE24" s="1">
        <f t="shared" si="7"/>
        <v>345</v>
      </c>
      <c r="AF24" s="1">
        <v>3.5</v>
      </c>
      <c r="AG24" s="1">
        <v>1.1000000000000001</v>
      </c>
      <c r="AH24" s="1">
        <v>45</v>
      </c>
      <c r="AI24" s="1">
        <v>3</v>
      </c>
      <c r="AJ24" s="1">
        <f t="shared" si="8"/>
        <v>1264200</v>
      </c>
      <c r="AK24" s="1">
        <f t="shared" si="9"/>
        <v>5913</v>
      </c>
      <c r="AL24" s="1">
        <f t="shared" si="10"/>
        <v>1774</v>
      </c>
      <c r="AM24" s="1">
        <f t="shared" si="11"/>
        <v>1774</v>
      </c>
    </row>
    <row r="25" spans="1:39" s="1" customFormat="1" ht="20.100000000000001" customHeight="1">
      <c r="A25" s="1">
        <f t="shared" si="0"/>
        <v>124</v>
      </c>
      <c r="B25" s="1">
        <v>24</v>
      </c>
      <c r="C25" s="1">
        <v>1</v>
      </c>
      <c r="D25" s="1">
        <f t="shared" si="12"/>
        <v>14</v>
      </c>
      <c r="E25" s="1">
        <f t="shared" si="1"/>
        <v>14</v>
      </c>
      <c r="F25" s="1">
        <f>$D25*总表!D$4</f>
        <v>14700</v>
      </c>
      <c r="G25" s="1">
        <f>$E25*总表!E$4</f>
        <v>1400</v>
      </c>
      <c r="H25" s="1">
        <f>$E25*总表!F$4</f>
        <v>420</v>
      </c>
      <c r="I25" s="1">
        <f>$E25*总表!G$4</f>
        <v>420</v>
      </c>
      <c r="Q25" s="1">
        <f t="shared" si="2"/>
        <v>328</v>
      </c>
      <c r="R25" s="6" t="s">
        <v>2919</v>
      </c>
      <c r="S25" s="6">
        <v>3</v>
      </c>
      <c r="T25" s="1">
        <v>28</v>
      </c>
      <c r="U25" s="1">
        <f t="shared" si="3"/>
        <v>151200</v>
      </c>
      <c r="V25" s="1">
        <f t="shared" si="4"/>
        <v>2250</v>
      </c>
      <c r="W25" s="1">
        <f t="shared" si="5"/>
        <v>675</v>
      </c>
      <c r="X25" s="1">
        <f t="shared" si="6"/>
        <v>675</v>
      </c>
      <c r="AE25" s="1">
        <f t="shared" si="7"/>
        <v>152</v>
      </c>
      <c r="AF25" s="1">
        <v>3.5</v>
      </c>
      <c r="AG25" s="1">
        <v>1.1000000000000001</v>
      </c>
      <c r="AH25" s="1">
        <v>52</v>
      </c>
      <c r="AI25" s="1">
        <v>1</v>
      </c>
      <c r="AJ25" s="1">
        <f t="shared" si="8"/>
        <v>198450</v>
      </c>
      <c r="AK25" s="1">
        <f t="shared" si="9"/>
        <v>5940</v>
      </c>
      <c r="AL25" s="1">
        <f t="shared" si="10"/>
        <v>1782</v>
      </c>
      <c r="AM25" s="1">
        <f t="shared" si="11"/>
        <v>1782</v>
      </c>
    </row>
    <row r="26" spans="1:39" s="1" customFormat="1" ht="20.100000000000001" customHeight="1">
      <c r="A26" s="1">
        <f t="shared" si="0"/>
        <v>125</v>
      </c>
      <c r="B26" s="1">
        <v>25</v>
      </c>
      <c r="C26" s="1">
        <v>1</v>
      </c>
      <c r="D26" s="1">
        <f t="shared" si="12"/>
        <v>15</v>
      </c>
      <c r="E26" s="1">
        <f t="shared" si="1"/>
        <v>15</v>
      </c>
      <c r="F26" s="1">
        <f>$D26*总表!D$4</f>
        <v>15750</v>
      </c>
      <c r="G26" s="1">
        <f>$E26*总表!E$4</f>
        <v>1500</v>
      </c>
      <c r="H26" s="1">
        <f>$E26*总表!F$4</f>
        <v>450</v>
      </c>
      <c r="I26" s="1">
        <f>$E26*总表!G$4</f>
        <v>450</v>
      </c>
      <c r="Q26" s="1">
        <f t="shared" si="2"/>
        <v>330</v>
      </c>
      <c r="R26" s="6" t="s">
        <v>2920</v>
      </c>
      <c r="S26" s="6">
        <v>3</v>
      </c>
      <c r="T26" s="1">
        <v>30</v>
      </c>
      <c r="U26" s="1">
        <f t="shared" si="3"/>
        <v>168000</v>
      </c>
      <c r="V26" s="1">
        <f t="shared" si="4"/>
        <v>2500</v>
      </c>
      <c r="W26" s="1">
        <f t="shared" si="5"/>
        <v>750</v>
      </c>
      <c r="X26" s="1">
        <f t="shared" si="6"/>
        <v>750</v>
      </c>
      <c r="AE26" s="1">
        <f t="shared" si="7"/>
        <v>152</v>
      </c>
      <c r="AF26" s="1">
        <v>3.5</v>
      </c>
      <c r="AG26" s="1">
        <v>1.1000000000000001</v>
      </c>
      <c r="AH26" s="1">
        <v>52</v>
      </c>
      <c r="AI26" s="1">
        <v>1</v>
      </c>
      <c r="AJ26" s="1">
        <f t="shared" si="8"/>
        <v>198450</v>
      </c>
      <c r="AK26" s="1">
        <f t="shared" si="9"/>
        <v>5940</v>
      </c>
      <c r="AL26" s="1">
        <f t="shared" si="10"/>
        <v>1782</v>
      </c>
      <c r="AM26" s="1">
        <f t="shared" si="11"/>
        <v>1782</v>
      </c>
    </row>
    <row r="27" spans="1:39" s="1" customFormat="1" ht="20.100000000000001" customHeight="1">
      <c r="A27" s="1">
        <f t="shared" si="0"/>
        <v>126</v>
      </c>
      <c r="B27" s="1">
        <v>26</v>
      </c>
      <c r="C27" s="1">
        <v>1</v>
      </c>
      <c r="D27" s="1">
        <f t="shared" si="12"/>
        <v>16</v>
      </c>
      <c r="E27" s="1">
        <f t="shared" si="1"/>
        <v>16</v>
      </c>
      <c r="F27" s="1">
        <f>$D27*总表!D$4</f>
        <v>16800</v>
      </c>
      <c r="G27" s="1">
        <f>$E27*总表!E$4</f>
        <v>1600</v>
      </c>
      <c r="H27" s="1">
        <f>$E27*总表!F$4</f>
        <v>480</v>
      </c>
      <c r="I27" s="1">
        <f>$E27*总表!G$4</f>
        <v>480</v>
      </c>
      <c r="Q27" s="1">
        <f t="shared" si="2"/>
        <v>130</v>
      </c>
      <c r="R27" s="6" t="s">
        <v>2921</v>
      </c>
      <c r="S27" s="6">
        <v>1</v>
      </c>
      <c r="T27" s="1">
        <v>30</v>
      </c>
      <c r="U27" s="1">
        <f t="shared" si="3"/>
        <v>21000</v>
      </c>
      <c r="V27" s="1">
        <f t="shared" si="4"/>
        <v>2000</v>
      </c>
      <c r="W27" s="1">
        <f t="shared" si="5"/>
        <v>600</v>
      </c>
      <c r="X27" s="1">
        <f t="shared" si="6"/>
        <v>600</v>
      </c>
      <c r="AE27" s="1">
        <f t="shared" si="7"/>
        <v>152</v>
      </c>
      <c r="AF27" s="1">
        <v>3.5</v>
      </c>
      <c r="AG27" s="1">
        <v>1.1000000000000001</v>
      </c>
      <c r="AH27" s="1">
        <v>52</v>
      </c>
      <c r="AI27" s="1">
        <v>1</v>
      </c>
      <c r="AJ27" s="1">
        <f t="shared" si="8"/>
        <v>198450</v>
      </c>
      <c r="AK27" s="1">
        <f t="shared" si="9"/>
        <v>5940</v>
      </c>
      <c r="AL27" s="1">
        <f t="shared" si="10"/>
        <v>1782</v>
      </c>
      <c r="AM27" s="1">
        <f t="shared" si="11"/>
        <v>1782</v>
      </c>
    </row>
    <row r="28" spans="1:39" s="1" customFormat="1" ht="20.100000000000001" customHeight="1">
      <c r="A28" s="1">
        <f t="shared" si="0"/>
        <v>127</v>
      </c>
      <c r="B28" s="1">
        <v>27</v>
      </c>
      <c r="C28" s="1">
        <v>1</v>
      </c>
      <c r="D28" s="1">
        <f t="shared" si="12"/>
        <v>17</v>
      </c>
      <c r="E28" s="1">
        <f t="shared" si="1"/>
        <v>17</v>
      </c>
      <c r="F28" s="1">
        <f>$D28*总表!D$4</f>
        <v>17850</v>
      </c>
      <c r="G28" s="1">
        <f>$E28*总表!E$4</f>
        <v>1700</v>
      </c>
      <c r="H28" s="1">
        <f>$E28*总表!F$4</f>
        <v>510</v>
      </c>
      <c r="I28" s="1">
        <f>$E28*总表!G$4</f>
        <v>510</v>
      </c>
      <c r="Q28" s="1">
        <f t="shared" si="2"/>
        <v>131</v>
      </c>
      <c r="R28" s="6" t="s">
        <v>2922</v>
      </c>
      <c r="S28" s="6">
        <v>1</v>
      </c>
      <c r="T28" s="1">
        <v>31</v>
      </c>
      <c r="U28" s="1">
        <f t="shared" si="3"/>
        <v>26250</v>
      </c>
      <c r="V28" s="1">
        <f t="shared" si="4"/>
        <v>2500</v>
      </c>
      <c r="W28" s="1">
        <f t="shared" si="5"/>
        <v>750</v>
      </c>
      <c r="X28" s="1">
        <f t="shared" si="6"/>
        <v>750</v>
      </c>
      <c r="AE28" s="1">
        <f t="shared" si="7"/>
        <v>152</v>
      </c>
      <c r="AF28" s="1">
        <v>3.5</v>
      </c>
      <c r="AG28" s="1">
        <v>1.1000000000000001</v>
      </c>
      <c r="AH28" s="1">
        <v>52</v>
      </c>
      <c r="AI28" s="1">
        <v>1</v>
      </c>
      <c r="AJ28" s="1">
        <f t="shared" si="8"/>
        <v>198450</v>
      </c>
      <c r="AK28" s="1">
        <f t="shared" si="9"/>
        <v>5940</v>
      </c>
      <c r="AL28" s="1">
        <f t="shared" si="10"/>
        <v>1782</v>
      </c>
      <c r="AM28" s="1">
        <f t="shared" si="11"/>
        <v>1782</v>
      </c>
    </row>
    <row r="29" spans="1:39" s="1" customFormat="1" ht="20.100000000000001" customHeight="1">
      <c r="A29" s="1">
        <f t="shared" si="0"/>
        <v>128</v>
      </c>
      <c r="B29" s="1">
        <v>28</v>
      </c>
      <c r="C29" s="1">
        <v>1</v>
      </c>
      <c r="D29" s="1">
        <f t="shared" si="12"/>
        <v>18</v>
      </c>
      <c r="E29" s="1">
        <f t="shared" si="1"/>
        <v>18</v>
      </c>
      <c r="F29" s="1">
        <f>$D29*总表!D$4</f>
        <v>18900</v>
      </c>
      <c r="G29" s="1">
        <f>$E29*总表!E$4</f>
        <v>1800</v>
      </c>
      <c r="H29" s="1">
        <f>$E29*总表!F$4</f>
        <v>540</v>
      </c>
      <c r="I29" s="1">
        <f>$E29*总表!G$4</f>
        <v>540</v>
      </c>
      <c r="Q29" s="1">
        <f t="shared" si="2"/>
        <v>132</v>
      </c>
      <c r="R29" s="6" t="s">
        <v>2923</v>
      </c>
      <c r="S29" s="6">
        <v>1</v>
      </c>
      <c r="T29" s="1">
        <v>32</v>
      </c>
      <c r="U29" s="1">
        <f t="shared" si="3"/>
        <v>27300</v>
      </c>
      <c r="V29" s="1">
        <f t="shared" si="4"/>
        <v>2600</v>
      </c>
      <c r="W29" s="1">
        <f t="shared" si="5"/>
        <v>780</v>
      </c>
      <c r="X29" s="1">
        <f t="shared" si="6"/>
        <v>780</v>
      </c>
      <c r="AE29" s="1">
        <f t="shared" si="7"/>
        <v>353</v>
      </c>
      <c r="AF29" s="1">
        <v>3.5</v>
      </c>
      <c r="AG29" s="1">
        <v>1.1000000000000001</v>
      </c>
      <c r="AH29" s="1">
        <v>53</v>
      </c>
      <c r="AI29" s="1">
        <v>3</v>
      </c>
      <c r="AJ29" s="1">
        <f t="shared" si="8"/>
        <v>1617000</v>
      </c>
      <c r="AK29" s="1">
        <f t="shared" si="9"/>
        <v>7563</v>
      </c>
      <c r="AL29" s="1">
        <f t="shared" si="10"/>
        <v>2269</v>
      </c>
      <c r="AM29" s="1">
        <f t="shared" si="11"/>
        <v>2269</v>
      </c>
    </row>
    <row r="30" spans="1:39" s="1" customFormat="1" ht="20.100000000000001" customHeight="1">
      <c r="A30" s="1">
        <f t="shared" si="0"/>
        <v>129</v>
      </c>
      <c r="B30" s="1">
        <v>29</v>
      </c>
      <c r="C30" s="1">
        <v>1</v>
      </c>
      <c r="D30" s="1">
        <f t="shared" si="12"/>
        <v>19</v>
      </c>
      <c r="E30" s="1">
        <f t="shared" si="1"/>
        <v>19</v>
      </c>
      <c r="F30" s="1">
        <f>$D30*总表!D$4</f>
        <v>19950</v>
      </c>
      <c r="G30" s="1">
        <f>$E30*总表!E$4</f>
        <v>1900</v>
      </c>
      <c r="H30" s="1">
        <f>$E30*总表!F$4</f>
        <v>570</v>
      </c>
      <c r="I30" s="1">
        <f>$E30*总表!G$4</f>
        <v>570</v>
      </c>
      <c r="Q30" s="1">
        <f t="shared" si="2"/>
        <v>133</v>
      </c>
      <c r="R30" s="6" t="s">
        <v>2924</v>
      </c>
      <c r="S30" s="6">
        <v>1</v>
      </c>
      <c r="T30" s="1">
        <v>33</v>
      </c>
      <c r="U30" s="1">
        <f t="shared" si="3"/>
        <v>28350</v>
      </c>
      <c r="V30" s="1">
        <f t="shared" si="4"/>
        <v>2700</v>
      </c>
      <c r="W30" s="1">
        <f t="shared" si="5"/>
        <v>810</v>
      </c>
      <c r="X30" s="1">
        <f t="shared" si="6"/>
        <v>810</v>
      </c>
      <c r="AE30" s="1">
        <f t="shared" si="7"/>
        <v>354</v>
      </c>
      <c r="AF30" s="1">
        <v>3.5</v>
      </c>
      <c r="AG30" s="1">
        <v>1.1000000000000001</v>
      </c>
      <c r="AH30" s="1">
        <v>54</v>
      </c>
      <c r="AI30" s="1">
        <v>3</v>
      </c>
      <c r="AJ30" s="1">
        <f t="shared" si="8"/>
        <v>1646400</v>
      </c>
      <c r="AK30" s="1">
        <f t="shared" si="9"/>
        <v>7700</v>
      </c>
      <c r="AL30" s="1">
        <f t="shared" si="10"/>
        <v>2310</v>
      </c>
      <c r="AM30" s="1">
        <f t="shared" si="11"/>
        <v>2310</v>
      </c>
    </row>
    <row r="31" spans="1:39" s="1" customFormat="1" ht="20.100000000000001" customHeight="1">
      <c r="A31" s="1">
        <f t="shared" si="0"/>
        <v>130</v>
      </c>
      <c r="B31" s="1">
        <v>30</v>
      </c>
      <c r="C31" s="1">
        <v>5</v>
      </c>
      <c r="D31" s="1">
        <f t="shared" si="12"/>
        <v>20</v>
      </c>
      <c r="E31" s="1">
        <f t="shared" si="1"/>
        <v>20</v>
      </c>
      <c r="F31" s="1">
        <f>$D31*总表!D$4</f>
        <v>21000</v>
      </c>
      <c r="G31" s="1">
        <f>$E31*总表!E$4</f>
        <v>2000</v>
      </c>
      <c r="H31" s="1">
        <f>$E31*总表!F$4</f>
        <v>600</v>
      </c>
      <c r="I31" s="1">
        <f>$E31*总表!G$4</f>
        <v>600</v>
      </c>
      <c r="Q31" s="1">
        <f t="shared" si="2"/>
        <v>135</v>
      </c>
      <c r="R31" s="6" t="s">
        <v>2925</v>
      </c>
      <c r="S31" s="6">
        <v>1</v>
      </c>
      <c r="T31" s="1">
        <v>35</v>
      </c>
      <c r="U31" s="1">
        <f t="shared" si="3"/>
        <v>30450</v>
      </c>
      <c r="V31" s="1">
        <f t="shared" si="4"/>
        <v>2900</v>
      </c>
      <c r="W31" s="1">
        <f t="shared" si="5"/>
        <v>870</v>
      </c>
      <c r="X31" s="1">
        <f t="shared" si="6"/>
        <v>870</v>
      </c>
      <c r="AE31" s="1">
        <f t="shared" si="7"/>
        <v>355</v>
      </c>
      <c r="AF31" s="1">
        <v>3.5</v>
      </c>
      <c r="AG31" s="1">
        <v>1.1000000000000001</v>
      </c>
      <c r="AH31" s="1">
        <v>55</v>
      </c>
      <c r="AI31" s="1">
        <v>3</v>
      </c>
      <c r="AJ31" s="1">
        <f t="shared" si="8"/>
        <v>1675800</v>
      </c>
      <c r="AK31" s="1">
        <f t="shared" si="9"/>
        <v>7838</v>
      </c>
      <c r="AL31" s="1">
        <f t="shared" si="10"/>
        <v>2352</v>
      </c>
      <c r="AM31" s="1">
        <f t="shared" si="11"/>
        <v>2352</v>
      </c>
    </row>
    <row r="32" spans="1:39" s="1" customFormat="1" ht="20.100000000000001" customHeight="1">
      <c r="A32" s="1">
        <f t="shared" si="0"/>
        <v>131</v>
      </c>
      <c r="B32" s="1">
        <v>31</v>
      </c>
      <c r="C32" s="1">
        <v>1</v>
      </c>
      <c r="D32" s="1">
        <f t="shared" si="12"/>
        <v>25</v>
      </c>
      <c r="E32" s="1">
        <f t="shared" si="1"/>
        <v>25</v>
      </c>
      <c r="F32" s="1">
        <f>$D32*总表!D$4</f>
        <v>26250</v>
      </c>
      <c r="G32" s="1">
        <f>$E32*总表!E$4</f>
        <v>2500</v>
      </c>
      <c r="H32" s="1">
        <f>$E32*总表!F$4</f>
        <v>750</v>
      </c>
      <c r="I32" s="1">
        <f>$E32*总表!G$4</f>
        <v>750</v>
      </c>
      <c r="Q32" s="1">
        <f t="shared" si="2"/>
        <v>136</v>
      </c>
      <c r="R32" s="6" t="s">
        <v>2926</v>
      </c>
      <c r="S32" s="6">
        <v>1</v>
      </c>
      <c r="T32" s="1">
        <v>36</v>
      </c>
      <c r="U32" s="1">
        <f t="shared" si="3"/>
        <v>31500</v>
      </c>
      <c r="V32" s="1">
        <f t="shared" si="4"/>
        <v>3000</v>
      </c>
      <c r="W32" s="1">
        <f t="shared" si="5"/>
        <v>900</v>
      </c>
      <c r="X32" s="1">
        <f t="shared" si="6"/>
        <v>900</v>
      </c>
    </row>
    <row r="33" spans="1:32" s="1" customFormat="1" ht="20.100000000000001" customHeight="1">
      <c r="A33" s="1">
        <f t="shared" si="0"/>
        <v>132</v>
      </c>
      <c r="B33" s="1">
        <v>32</v>
      </c>
      <c r="C33" s="1">
        <v>1</v>
      </c>
      <c r="D33" s="1">
        <f t="shared" si="12"/>
        <v>26</v>
      </c>
      <c r="E33" s="1">
        <f t="shared" si="1"/>
        <v>26</v>
      </c>
      <c r="F33" s="1">
        <f>$D33*总表!D$4</f>
        <v>27300</v>
      </c>
      <c r="G33" s="1">
        <f>$E33*总表!E$4</f>
        <v>2600</v>
      </c>
      <c r="H33" s="1">
        <f>$E33*总表!F$4</f>
        <v>780</v>
      </c>
      <c r="I33" s="1">
        <f>$E33*总表!G$4</f>
        <v>780</v>
      </c>
      <c r="Q33" s="1">
        <f t="shared" si="2"/>
        <v>138</v>
      </c>
      <c r="R33" s="6" t="s">
        <v>2927</v>
      </c>
      <c r="S33" s="6">
        <v>1</v>
      </c>
      <c r="T33" s="1">
        <v>38</v>
      </c>
      <c r="U33" s="1">
        <f t="shared" si="3"/>
        <v>33600</v>
      </c>
      <c r="V33" s="1">
        <f t="shared" si="4"/>
        <v>3200</v>
      </c>
      <c r="W33" s="1">
        <f t="shared" si="5"/>
        <v>960</v>
      </c>
      <c r="X33" s="1">
        <f t="shared" si="6"/>
        <v>960</v>
      </c>
    </row>
    <row r="34" spans="1:32" s="1" customFormat="1" ht="20.100000000000001" customHeight="1">
      <c r="A34" s="1">
        <f t="shared" si="0"/>
        <v>133</v>
      </c>
      <c r="B34" s="1">
        <v>33</v>
      </c>
      <c r="C34" s="1">
        <v>1</v>
      </c>
      <c r="D34" s="1">
        <f t="shared" si="12"/>
        <v>27</v>
      </c>
      <c r="E34" s="1">
        <f t="shared" si="1"/>
        <v>27</v>
      </c>
      <c r="F34" s="1">
        <f>$D34*总表!D$4</f>
        <v>28350</v>
      </c>
      <c r="G34" s="1">
        <f>$E34*总表!E$4</f>
        <v>2700</v>
      </c>
      <c r="H34" s="1">
        <f>$E34*总表!F$4</f>
        <v>810</v>
      </c>
      <c r="I34" s="1">
        <f>$E34*总表!G$4</f>
        <v>810</v>
      </c>
      <c r="Q34" s="1">
        <f t="shared" si="2"/>
        <v>332</v>
      </c>
      <c r="R34" s="6" t="s">
        <v>2928</v>
      </c>
      <c r="S34" s="6">
        <v>3</v>
      </c>
      <c r="T34" s="1">
        <v>32</v>
      </c>
      <c r="U34" s="1">
        <f t="shared" si="3"/>
        <v>218400</v>
      </c>
      <c r="V34" s="1">
        <f t="shared" si="4"/>
        <v>3250</v>
      </c>
      <c r="W34" s="1">
        <f t="shared" si="5"/>
        <v>975</v>
      </c>
      <c r="X34" s="1">
        <f t="shared" si="6"/>
        <v>975</v>
      </c>
    </row>
    <row r="35" spans="1:32" s="1" customFormat="1" ht="20.100000000000001" customHeight="1">
      <c r="A35" s="1">
        <f t="shared" si="0"/>
        <v>134</v>
      </c>
      <c r="B35" s="1">
        <v>34</v>
      </c>
      <c r="C35" s="1">
        <v>1</v>
      </c>
      <c r="D35" s="1">
        <f t="shared" si="12"/>
        <v>28</v>
      </c>
      <c r="E35" s="1">
        <f t="shared" si="1"/>
        <v>28</v>
      </c>
      <c r="F35" s="1">
        <f>$D35*总表!D$4</f>
        <v>29400</v>
      </c>
      <c r="G35" s="1">
        <f>$E35*总表!E$4</f>
        <v>2800</v>
      </c>
      <c r="H35" s="1">
        <f>$E35*总表!F$4</f>
        <v>840</v>
      </c>
      <c r="I35" s="1">
        <f>$E35*总表!G$4</f>
        <v>840</v>
      </c>
      <c r="Q35" s="1">
        <f t="shared" si="2"/>
        <v>334</v>
      </c>
      <c r="R35" s="6" t="s">
        <v>2499</v>
      </c>
      <c r="S35" s="6">
        <v>3</v>
      </c>
      <c r="T35" s="1">
        <v>34</v>
      </c>
      <c r="U35" s="1">
        <f t="shared" si="3"/>
        <v>235200</v>
      </c>
      <c r="V35" s="1">
        <f t="shared" si="4"/>
        <v>3500</v>
      </c>
      <c r="W35" s="1">
        <f t="shared" si="5"/>
        <v>1050</v>
      </c>
      <c r="X35" s="1">
        <f t="shared" si="6"/>
        <v>1050</v>
      </c>
    </row>
    <row r="36" spans="1:32" s="1" customFormat="1" ht="20.100000000000001" customHeight="1">
      <c r="A36" s="1">
        <f t="shared" si="0"/>
        <v>135</v>
      </c>
      <c r="B36" s="1">
        <v>35</v>
      </c>
      <c r="C36" s="1">
        <v>1</v>
      </c>
      <c r="D36" s="1">
        <f t="shared" si="12"/>
        <v>29</v>
      </c>
      <c r="E36" s="1">
        <f t="shared" si="1"/>
        <v>29</v>
      </c>
      <c r="F36" s="1">
        <f>$D36*总表!D$4</f>
        <v>30450</v>
      </c>
      <c r="G36" s="1">
        <f>$E36*总表!E$4</f>
        <v>2900</v>
      </c>
      <c r="H36" s="1">
        <f>$E36*总表!F$4</f>
        <v>870</v>
      </c>
      <c r="I36" s="1">
        <f>$E36*总表!G$4</f>
        <v>870</v>
      </c>
      <c r="Q36" s="1">
        <f t="shared" si="2"/>
        <v>336</v>
      </c>
      <c r="R36" s="6" t="s">
        <v>2929</v>
      </c>
      <c r="S36" s="6">
        <v>3</v>
      </c>
      <c r="T36" s="1">
        <v>36</v>
      </c>
      <c r="U36" s="1">
        <f t="shared" si="3"/>
        <v>252000</v>
      </c>
      <c r="V36" s="1">
        <f t="shared" si="4"/>
        <v>3750</v>
      </c>
      <c r="W36" s="1">
        <f t="shared" si="5"/>
        <v>1125</v>
      </c>
      <c r="X36" s="1">
        <f t="shared" si="6"/>
        <v>1125</v>
      </c>
    </row>
    <row r="37" spans="1:32" s="1" customFormat="1" ht="20.100000000000001" customHeight="1">
      <c r="A37" s="1">
        <f t="shared" si="0"/>
        <v>136</v>
      </c>
      <c r="B37" s="1">
        <v>36</v>
      </c>
      <c r="C37" s="1">
        <v>1</v>
      </c>
      <c r="D37" s="1">
        <f t="shared" si="12"/>
        <v>30</v>
      </c>
      <c r="E37" s="1">
        <f t="shared" si="1"/>
        <v>30</v>
      </c>
      <c r="F37" s="1">
        <f>$D37*总表!D$4</f>
        <v>31500</v>
      </c>
      <c r="G37" s="1">
        <f>$E37*总表!E$4</f>
        <v>3000</v>
      </c>
      <c r="H37" s="1">
        <f>$E37*总表!F$4</f>
        <v>900</v>
      </c>
      <c r="I37" s="1">
        <f>$E37*总表!G$4</f>
        <v>900</v>
      </c>
      <c r="Q37" s="1">
        <f t="shared" si="2"/>
        <v>338</v>
      </c>
      <c r="R37" s="6" t="s">
        <v>2930</v>
      </c>
      <c r="S37" s="6">
        <v>3</v>
      </c>
      <c r="T37" s="1">
        <v>38</v>
      </c>
      <c r="U37" s="1">
        <f t="shared" si="3"/>
        <v>268800</v>
      </c>
      <c r="V37" s="1">
        <f t="shared" si="4"/>
        <v>4000</v>
      </c>
      <c r="W37" s="1">
        <f t="shared" si="5"/>
        <v>1200</v>
      </c>
      <c r="X37" s="1">
        <f t="shared" si="6"/>
        <v>1200</v>
      </c>
    </row>
    <row r="38" spans="1:32" s="1" customFormat="1" ht="20.100000000000001" customHeight="1">
      <c r="A38" s="1">
        <f t="shared" si="0"/>
        <v>137</v>
      </c>
      <c r="B38" s="1">
        <v>37</v>
      </c>
      <c r="C38" s="1">
        <v>1</v>
      </c>
      <c r="D38" s="1">
        <f t="shared" si="12"/>
        <v>31</v>
      </c>
      <c r="E38" s="1">
        <f t="shared" si="1"/>
        <v>31</v>
      </c>
      <c r="F38" s="1">
        <f>$D38*总表!D$4</f>
        <v>32550</v>
      </c>
      <c r="G38" s="1">
        <f>$E38*总表!E$4</f>
        <v>3100</v>
      </c>
      <c r="H38" s="1">
        <f>$E38*总表!F$4</f>
        <v>930</v>
      </c>
      <c r="I38" s="1">
        <f>$E38*总表!G$4</f>
        <v>930</v>
      </c>
      <c r="Q38" s="1">
        <f t="shared" si="2"/>
        <v>340</v>
      </c>
      <c r="R38" s="6" t="s">
        <v>2931</v>
      </c>
      <c r="S38" s="6">
        <v>3</v>
      </c>
      <c r="T38" s="1">
        <v>40</v>
      </c>
      <c r="U38" s="1">
        <f t="shared" si="3"/>
        <v>285600</v>
      </c>
      <c r="V38" s="1">
        <f t="shared" si="4"/>
        <v>4250</v>
      </c>
      <c r="W38" s="1">
        <f t="shared" si="5"/>
        <v>1275</v>
      </c>
      <c r="X38" s="1">
        <f t="shared" si="6"/>
        <v>1275</v>
      </c>
    </row>
    <row r="39" spans="1:32" s="1" customFormat="1" ht="20.100000000000001" customHeight="1">
      <c r="A39" s="1">
        <f t="shared" si="0"/>
        <v>138</v>
      </c>
      <c r="B39" s="1">
        <v>38</v>
      </c>
      <c r="C39" s="1">
        <v>1</v>
      </c>
      <c r="D39" s="1">
        <f t="shared" si="12"/>
        <v>32</v>
      </c>
      <c r="E39" s="1">
        <f t="shared" si="1"/>
        <v>32</v>
      </c>
      <c r="F39" s="1">
        <f>$D39*总表!D$4</f>
        <v>33600</v>
      </c>
      <c r="G39" s="1">
        <f>$E39*总表!E$4</f>
        <v>3200</v>
      </c>
      <c r="H39" s="1">
        <f>$E39*总表!F$4</f>
        <v>960</v>
      </c>
      <c r="I39" s="1">
        <f>$E39*总表!G$4</f>
        <v>960</v>
      </c>
      <c r="Q39" s="1">
        <f t="shared" si="2"/>
        <v>140</v>
      </c>
      <c r="R39" s="6" t="s">
        <v>2932</v>
      </c>
      <c r="S39" s="6">
        <v>1</v>
      </c>
      <c r="T39" s="1">
        <v>40</v>
      </c>
      <c r="U39" s="1">
        <f t="shared" si="3"/>
        <v>35700</v>
      </c>
      <c r="V39" s="1">
        <f t="shared" si="4"/>
        <v>3400</v>
      </c>
      <c r="W39" s="1">
        <f t="shared" si="5"/>
        <v>1020</v>
      </c>
      <c r="X39" s="1">
        <f t="shared" si="6"/>
        <v>1020</v>
      </c>
    </row>
    <row r="40" spans="1:32" s="1" customFormat="1" ht="20.100000000000001" customHeight="1">
      <c r="A40" s="1">
        <f t="shared" si="0"/>
        <v>139</v>
      </c>
      <c r="B40" s="1">
        <v>39</v>
      </c>
      <c r="C40" s="1">
        <v>1</v>
      </c>
      <c r="D40" s="1">
        <f t="shared" si="12"/>
        <v>33</v>
      </c>
      <c r="E40" s="1">
        <f t="shared" si="1"/>
        <v>33</v>
      </c>
      <c r="F40" s="1">
        <f>$D40*总表!D$4</f>
        <v>34650</v>
      </c>
      <c r="G40" s="1">
        <f>$E40*总表!E$4</f>
        <v>3300</v>
      </c>
      <c r="H40" s="1">
        <f>$E40*总表!F$4</f>
        <v>990</v>
      </c>
      <c r="I40" s="1">
        <f>$E40*总表!G$4</f>
        <v>990</v>
      </c>
      <c r="Q40" s="1">
        <f t="shared" si="2"/>
        <v>141</v>
      </c>
      <c r="R40" s="6" t="s">
        <v>2933</v>
      </c>
      <c r="S40" s="6">
        <v>1</v>
      </c>
      <c r="T40" s="1">
        <v>41</v>
      </c>
      <c r="U40" s="1">
        <f t="shared" si="3"/>
        <v>40950</v>
      </c>
      <c r="V40" s="1">
        <f t="shared" si="4"/>
        <v>3900</v>
      </c>
      <c r="W40" s="1">
        <f t="shared" si="5"/>
        <v>1170</v>
      </c>
      <c r="X40" s="1">
        <f t="shared" si="6"/>
        <v>1170</v>
      </c>
    </row>
    <row r="41" spans="1:32" s="1" customFormat="1" ht="20.100000000000001" customHeight="1">
      <c r="A41" s="1">
        <f t="shared" si="0"/>
        <v>140</v>
      </c>
      <c r="B41" s="1">
        <v>40</v>
      </c>
      <c r="C41" s="1">
        <v>5</v>
      </c>
      <c r="D41" s="1">
        <f t="shared" si="12"/>
        <v>34</v>
      </c>
      <c r="E41" s="1">
        <f t="shared" si="1"/>
        <v>34</v>
      </c>
      <c r="F41" s="1">
        <f>$D41*总表!D$4</f>
        <v>35700</v>
      </c>
      <c r="G41" s="1">
        <f>$E41*总表!E$4</f>
        <v>3400</v>
      </c>
      <c r="H41" s="1">
        <f>$E41*总表!F$4</f>
        <v>1020</v>
      </c>
      <c r="I41" s="1">
        <f>$E41*总表!G$4</f>
        <v>1020</v>
      </c>
      <c r="Q41" s="1">
        <f t="shared" si="2"/>
        <v>142</v>
      </c>
      <c r="R41" s="6" t="s">
        <v>2934</v>
      </c>
      <c r="S41" s="6">
        <v>1</v>
      </c>
      <c r="T41" s="1">
        <v>42</v>
      </c>
      <c r="U41" s="1">
        <f t="shared" si="3"/>
        <v>42000</v>
      </c>
      <c r="V41" s="1">
        <f t="shared" si="4"/>
        <v>4000</v>
      </c>
      <c r="W41" s="1">
        <f t="shared" si="5"/>
        <v>1200</v>
      </c>
      <c r="X41" s="1">
        <f t="shared" si="6"/>
        <v>1200</v>
      </c>
    </row>
    <row r="42" spans="1:32" s="1" customFormat="1" ht="20.100000000000001" customHeight="1">
      <c r="A42" s="1">
        <f t="shared" si="0"/>
        <v>141</v>
      </c>
      <c r="B42" s="1">
        <v>41</v>
      </c>
      <c r="C42" s="1">
        <v>1</v>
      </c>
      <c r="D42" s="1">
        <f t="shared" si="12"/>
        <v>39</v>
      </c>
      <c r="E42" s="1">
        <f t="shared" si="1"/>
        <v>39</v>
      </c>
      <c r="F42" s="1">
        <f>$D42*总表!D$4</f>
        <v>40950</v>
      </c>
      <c r="G42" s="1">
        <f>$E42*总表!E$4</f>
        <v>3900</v>
      </c>
      <c r="H42" s="1">
        <f>$E42*总表!F$4</f>
        <v>1170</v>
      </c>
      <c r="I42" s="1">
        <f>$E42*总表!G$4</f>
        <v>1170</v>
      </c>
      <c r="Q42" s="1">
        <f t="shared" si="2"/>
        <v>143</v>
      </c>
      <c r="R42" s="6" t="s">
        <v>2935</v>
      </c>
      <c r="S42" s="6">
        <v>1</v>
      </c>
      <c r="T42" s="1">
        <v>43</v>
      </c>
      <c r="U42" s="1">
        <f t="shared" si="3"/>
        <v>43050</v>
      </c>
      <c r="V42" s="1">
        <f t="shared" si="4"/>
        <v>4100</v>
      </c>
      <c r="W42" s="1">
        <f t="shared" si="5"/>
        <v>1230</v>
      </c>
      <c r="X42" s="1">
        <f t="shared" si="6"/>
        <v>1230</v>
      </c>
    </row>
    <row r="43" spans="1:32" s="1" customFormat="1" ht="20.100000000000001" customHeight="1">
      <c r="A43" s="1">
        <f t="shared" si="0"/>
        <v>142</v>
      </c>
      <c r="B43" s="1">
        <v>42</v>
      </c>
      <c r="C43" s="1">
        <v>1</v>
      </c>
      <c r="D43" s="1">
        <f t="shared" si="12"/>
        <v>40</v>
      </c>
      <c r="E43" s="1">
        <f t="shared" si="1"/>
        <v>40</v>
      </c>
      <c r="F43" s="1">
        <f>$D43*总表!D$4</f>
        <v>42000</v>
      </c>
      <c r="G43" s="1">
        <f>$E43*总表!E$4</f>
        <v>4000</v>
      </c>
      <c r="H43" s="1">
        <f>$E43*总表!F$4</f>
        <v>1200</v>
      </c>
      <c r="I43" s="1">
        <f>$E43*总表!G$4</f>
        <v>1200</v>
      </c>
      <c r="Q43" s="1">
        <f t="shared" si="2"/>
        <v>145</v>
      </c>
      <c r="R43" s="6" t="s">
        <v>2936</v>
      </c>
      <c r="S43" s="6">
        <v>1</v>
      </c>
      <c r="T43" s="1">
        <v>45</v>
      </c>
      <c r="U43" s="1">
        <f t="shared" si="3"/>
        <v>45150</v>
      </c>
      <c r="V43" s="1">
        <f t="shared" si="4"/>
        <v>4300</v>
      </c>
      <c r="W43" s="1">
        <f t="shared" si="5"/>
        <v>1290</v>
      </c>
      <c r="X43" s="1">
        <f t="shared" si="6"/>
        <v>1290</v>
      </c>
    </row>
    <row r="44" spans="1:32" s="1" customFormat="1" ht="20.100000000000001" customHeight="1">
      <c r="A44" s="1">
        <f t="shared" si="0"/>
        <v>143</v>
      </c>
      <c r="B44" s="1">
        <v>43</v>
      </c>
      <c r="C44" s="1">
        <v>1</v>
      </c>
      <c r="D44" s="1">
        <f t="shared" si="12"/>
        <v>41</v>
      </c>
      <c r="E44" s="1">
        <f t="shared" si="1"/>
        <v>41</v>
      </c>
      <c r="F44" s="1">
        <f>$D44*总表!D$4</f>
        <v>43050</v>
      </c>
      <c r="G44" s="1">
        <f>$E44*总表!E$4</f>
        <v>4100</v>
      </c>
      <c r="H44" s="1">
        <f>$E44*总表!F$4</f>
        <v>1230</v>
      </c>
      <c r="I44" s="1">
        <f>$E44*总表!G$4</f>
        <v>1230</v>
      </c>
      <c r="Q44" s="1">
        <f t="shared" si="2"/>
        <v>146</v>
      </c>
      <c r="R44" s="6" t="s">
        <v>2937</v>
      </c>
      <c r="S44" s="6">
        <v>1</v>
      </c>
      <c r="T44" s="1">
        <v>46</v>
      </c>
      <c r="U44" s="1">
        <f t="shared" si="3"/>
        <v>46200</v>
      </c>
      <c r="V44" s="1">
        <f t="shared" si="4"/>
        <v>4400</v>
      </c>
      <c r="W44" s="1">
        <f t="shared" si="5"/>
        <v>1320</v>
      </c>
      <c r="X44" s="1">
        <f t="shared" si="6"/>
        <v>1320</v>
      </c>
      <c r="AE44" s="6" t="s">
        <v>2487</v>
      </c>
      <c r="AF44" s="8" t="s">
        <v>2530</v>
      </c>
    </row>
    <row r="45" spans="1:32" s="1" customFormat="1" ht="20.100000000000001" customHeight="1">
      <c r="A45" s="1">
        <f t="shared" si="0"/>
        <v>144</v>
      </c>
      <c r="B45" s="1">
        <v>44</v>
      </c>
      <c r="C45" s="1">
        <v>1</v>
      </c>
      <c r="D45" s="1">
        <f t="shared" si="12"/>
        <v>42</v>
      </c>
      <c r="E45" s="1">
        <f t="shared" si="1"/>
        <v>42</v>
      </c>
      <c r="F45" s="1">
        <f>$D45*总表!D$4</f>
        <v>44100</v>
      </c>
      <c r="G45" s="1">
        <f>$E45*总表!E$4</f>
        <v>4200</v>
      </c>
      <c r="H45" s="1">
        <f>$E45*总表!F$4</f>
        <v>1260</v>
      </c>
      <c r="I45" s="1">
        <f>$E45*总表!G$4</f>
        <v>1260</v>
      </c>
      <c r="Q45" s="1">
        <f t="shared" si="2"/>
        <v>148</v>
      </c>
      <c r="R45" s="6" t="s">
        <v>2938</v>
      </c>
      <c r="S45" s="6">
        <v>1</v>
      </c>
      <c r="T45" s="1">
        <v>48</v>
      </c>
      <c r="U45" s="1">
        <f t="shared" si="3"/>
        <v>48300</v>
      </c>
      <c r="V45" s="1">
        <f t="shared" si="4"/>
        <v>4600</v>
      </c>
      <c r="W45" s="1">
        <f t="shared" si="5"/>
        <v>1380</v>
      </c>
      <c r="X45" s="1">
        <f t="shared" si="6"/>
        <v>1380</v>
      </c>
      <c r="AE45" s="6" t="s">
        <v>2488</v>
      </c>
      <c r="AF45" s="8" t="s">
        <v>2530</v>
      </c>
    </row>
    <row r="46" spans="1:32" s="1" customFormat="1" ht="20.100000000000001" customHeight="1">
      <c r="A46" s="1">
        <f t="shared" si="0"/>
        <v>145</v>
      </c>
      <c r="B46" s="1">
        <v>45</v>
      </c>
      <c r="C46" s="1">
        <v>1</v>
      </c>
      <c r="D46" s="1">
        <f t="shared" si="12"/>
        <v>43</v>
      </c>
      <c r="E46" s="1">
        <f t="shared" si="1"/>
        <v>43</v>
      </c>
      <c r="F46" s="1">
        <f>$D46*总表!D$4</f>
        <v>45150</v>
      </c>
      <c r="G46" s="1">
        <f>$E46*总表!E$4</f>
        <v>4300</v>
      </c>
      <c r="H46" s="1">
        <f>$E46*总表!F$4</f>
        <v>1290</v>
      </c>
      <c r="I46" s="1">
        <f>$E46*总表!G$4</f>
        <v>1290</v>
      </c>
      <c r="Q46" s="1">
        <f t="shared" si="2"/>
        <v>342</v>
      </c>
      <c r="R46" s="6" t="s">
        <v>2939</v>
      </c>
      <c r="S46" s="6">
        <v>3</v>
      </c>
      <c r="T46" s="1">
        <v>42</v>
      </c>
      <c r="U46" s="1">
        <f t="shared" si="3"/>
        <v>336000</v>
      </c>
      <c r="V46" s="1">
        <f t="shared" si="4"/>
        <v>5000</v>
      </c>
      <c r="W46" s="1">
        <f t="shared" si="5"/>
        <v>1500</v>
      </c>
      <c r="X46" s="1">
        <f t="shared" si="6"/>
        <v>1500</v>
      </c>
      <c r="AE46" s="6" t="s">
        <v>2489</v>
      </c>
      <c r="AF46" s="8" t="s">
        <v>2530</v>
      </c>
    </row>
    <row r="47" spans="1:32" s="1" customFormat="1" ht="20.100000000000001" customHeight="1">
      <c r="A47" s="1">
        <f t="shared" si="0"/>
        <v>146</v>
      </c>
      <c r="B47" s="1">
        <v>46</v>
      </c>
      <c r="C47" s="1">
        <v>1</v>
      </c>
      <c r="D47" s="1">
        <f t="shared" si="12"/>
        <v>44</v>
      </c>
      <c r="E47" s="1">
        <f t="shared" si="1"/>
        <v>44</v>
      </c>
      <c r="F47" s="1">
        <f>$D47*总表!D$4</f>
        <v>46200</v>
      </c>
      <c r="G47" s="1">
        <f>$E47*总表!E$4</f>
        <v>4400</v>
      </c>
      <c r="H47" s="1">
        <f>$E47*总表!F$4</f>
        <v>1320</v>
      </c>
      <c r="I47" s="1">
        <f>$E47*总表!G$4</f>
        <v>1320</v>
      </c>
      <c r="Q47" s="1">
        <f t="shared" si="2"/>
        <v>344</v>
      </c>
      <c r="R47" s="6" t="s">
        <v>2940</v>
      </c>
      <c r="S47" s="6">
        <v>3</v>
      </c>
      <c r="T47" s="1">
        <v>44</v>
      </c>
      <c r="U47" s="1">
        <f t="shared" si="3"/>
        <v>352800</v>
      </c>
      <c r="V47" s="1">
        <f t="shared" si="4"/>
        <v>5250</v>
      </c>
      <c r="W47" s="1">
        <f t="shared" si="5"/>
        <v>1575</v>
      </c>
      <c r="X47" s="1">
        <f t="shared" si="6"/>
        <v>1575</v>
      </c>
      <c r="AE47" s="6" t="s">
        <v>2490</v>
      </c>
      <c r="AF47" s="8" t="s">
        <v>2534</v>
      </c>
    </row>
    <row r="48" spans="1:32" s="1" customFormat="1" ht="20.100000000000001" customHeight="1">
      <c r="A48" s="1">
        <f t="shared" si="0"/>
        <v>147</v>
      </c>
      <c r="B48" s="1">
        <v>47</v>
      </c>
      <c r="C48" s="1">
        <v>1</v>
      </c>
      <c r="D48" s="1">
        <f t="shared" si="12"/>
        <v>45</v>
      </c>
      <c r="E48" s="1">
        <f t="shared" si="1"/>
        <v>45</v>
      </c>
      <c r="F48" s="1">
        <f>$D48*总表!D$4</f>
        <v>47250</v>
      </c>
      <c r="G48" s="1">
        <f>$E48*总表!E$4</f>
        <v>4500</v>
      </c>
      <c r="H48" s="1">
        <f>$E48*总表!F$4</f>
        <v>1350</v>
      </c>
      <c r="I48" s="1">
        <f>$E48*总表!G$4</f>
        <v>1350</v>
      </c>
      <c r="Q48" s="1">
        <f t="shared" si="2"/>
        <v>346</v>
      </c>
      <c r="R48" s="6" t="s">
        <v>2941</v>
      </c>
      <c r="S48" s="6">
        <v>3</v>
      </c>
      <c r="T48" s="1">
        <v>46</v>
      </c>
      <c r="U48" s="1">
        <f t="shared" si="3"/>
        <v>369600</v>
      </c>
      <c r="V48" s="1">
        <f t="shared" si="4"/>
        <v>5500</v>
      </c>
      <c r="W48" s="1">
        <f t="shared" si="5"/>
        <v>1650</v>
      </c>
      <c r="X48" s="1">
        <f t="shared" si="6"/>
        <v>1650</v>
      </c>
      <c r="AE48" s="6" t="s">
        <v>2491</v>
      </c>
      <c r="AF48" s="8" t="s">
        <v>2530</v>
      </c>
    </row>
    <row r="49" spans="1:39" s="1" customFormat="1" ht="20.100000000000001" customHeight="1">
      <c r="A49" s="1">
        <f t="shared" si="0"/>
        <v>148</v>
      </c>
      <c r="B49" s="1">
        <v>48</v>
      </c>
      <c r="C49" s="1">
        <v>1</v>
      </c>
      <c r="D49" s="1">
        <f t="shared" si="12"/>
        <v>46</v>
      </c>
      <c r="E49" s="1">
        <f t="shared" si="1"/>
        <v>46</v>
      </c>
      <c r="F49" s="1">
        <f>$D49*总表!D$4</f>
        <v>48300</v>
      </c>
      <c r="G49" s="1">
        <f>$E49*总表!E$4</f>
        <v>4600</v>
      </c>
      <c r="H49" s="1">
        <f>$E49*总表!F$4</f>
        <v>1380</v>
      </c>
      <c r="I49" s="1">
        <f>$E49*总表!G$4</f>
        <v>1380</v>
      </c>
      <c r="Q49" s="1">
        <f t="shared" si="2"/>
        <v>348</v>
      </c>
      <c r="R49" s="6" t="s">
        <v>2942</v>
      </c>
      <c r="S49" s="6">
        <v>3</v>
      </c>
      <c r="T49" s="1">
        <v>48</v>
      </c>
      <c r="U49" s="1">
        <f t="shared" si="3"/>
        <v>386400</v>
      </c>
      <c r="V49" s="1">
        <f t="shared" si="4"/>
        <v>5750</v>
      </c>
      <c r="W49" s="1">
        <f t="shared" si="5"/>
        <v>1725</v>
      </c>
      <c r="X49" s="1">
        <f t="shared" si="6"/>
        <v>1725</v>
      </c>
      <c r="AE49" s="6" t="s">
        <v>2492</v>
      </c>
      <c r="AF49" s="8" t="s">
        <v>2530</v>
      </c>
    </row>
    <row r="50" spans="1:39" s="1" customFormat="1" ht="20.100000000000001" customHeight="1">
      <c r="A50" s="1">
        <f t="shared" si="0"/>
        <v>149</v>
      </c>
      <c r="B50" s="1">
        <v>49</v>
      </c>
      <c r="C50" s="1">
        <v>1</v>
      </c>
      <c r="D50" s="1">
        <f t="shared" si="12"/>
        <v>47</v>
      </c>
      <c r="E50" s="1">
        <f t="shared" si="1"/>
        <v>47</v>
      </c>
      <c r="F50" s="1">
        <f>$D50*总表!D$4</f>
        <v>49350</v>
      </c>
      <c r="G50" s="1">
        <f>$E50*总表!E$4</f>
        <v>4700</v>
      </c>
      <c r="H50" s="1">
        <f>$E50*总表!F$4</f>
        <v>1410</v>
      </c>
      <c r="I50" s="1">
        <f>$E50*总表!G$4</f>
        <v>1410</v>
      </c>
      <c r="Q50" s="1">
        <f t="shared" si="2"/>
        <v>350</v>
      </c>
      <c r="R50" s="6" t="s">
        <v>2943</v>
      </c>
      <c r="S50" s="6">
        <v>3</v>
      </c>
      <c r="T50" s="1">
        <v>50</v>
      </c>
      <c r="U50" s="1">
        <f t="shared" si="3"/>
        <v>403200</v>
      </c>
      <c r="V50" s="1">
        <f t="shared" si="4"/>
        <v>6000</v>
      </c>
      <c r="W50" s="1">
        <f t="shared" si="5"/>
        <v>1800</v>
      </c>
      <c r="X50" s="1">
        <f t="shared" si="6"/>
        <v>1800</v>
      </c>
      <c r="AE50" s="9" t="s">
        <v>2493</v>
      </c>
      <c r="AF50" s="10" t="s">
        <v>2538</v>
      </c>
    </row>
    <row r="51" spans="1:39" ht="20.100000000000001" customHeight="1">
      <c r="A51" s="1">
        <f t="shared" si="0"/>
        <v>150</v>
      </c>
      <c r="B51" s="1">
        <v>50</v>
      </c>
      <c r="C51" s="1">
        <v>5</v>
      </c>
      <c r="D51" s="1">
        <f t="shared" si="12"/>
        <v>48</v>
      </c>
      <c r="E51" s="1">
        <f t="shared" si="1"/>
        <v>48</v>
      </c>
      <c r="F51" s="1">
        <f>$D51*总表!D$4</f>
        <v>50400</v>
      </c>
      <c r="G51" s="1">
        <f>$E51*总表!E$4</f>
        <v>4800</v>
      </c>
      <c r="H51" s="1">
        <f>$E51*总表!F$4</f>
        <v>1440</v>
      </c>
      <c r="I51" s="1">
        <f>$E51*总表!G$4</f>
        <v>1440</v>
      </c>
      <c r="P51" s="1"/>
      <c r="Q51" s="1">
        <f t="shared" si="2"/>
        <v>150</v>
      </c>
      <c r="R51" s="6" t="s">
        <v>2944</v>
      </c>
      <c r="S51" s="6">
        <v>1</v>
      </c>
      <c r="T51" s="1">
        <v>50</v>
      </c>
      <c r="U51" s="1">
        <f t="shared" si="3"/>
        <v>50400</v>
      </c>
      <c r="V51" s="1">
        <f t="shared" si="4"/>
        <v>4800</v>
      </c>
      <c r="W51" s="1">
        <f t="shared" si="5"/>
        <v>1440</v>
      </c>
      <c r="X51" s="1">
        <f t="shared" si="6"/>
        <v>1440</v>
      </c>
      <c r="AE51" s="6" t="s">
        <v>2494</v>
      </c>
      <c r="AF51" s="8" t="s">
        <v>2530</v>
      </c>
      <c r="AG51" s="1"/>
      <c r="AJ51" s="1"/>
      <c r="AK51" s="1"/>
      <c r="AL51" s="1"/>
      <c r="AM51" s="1"/>
    </row>
    <row r="52" spans="1:39" ht="20.100000000000001" customHeight="1">
      <c r="A52" s="1">
        <f t="shared" si="0"/>
        <v>151</v>
      </c>
      <c r="B52" s="1">
        <v>51</v>
      </c>
      <c r="C52" s="1">
        <v>1</v>
      </c>
      <c r="D52" s="1">
        <f t="shared" si="12"/>
        <v>53</v>
      </c>
      <c r="E52" s="1">
        <f t="shared" si="1"/>
        <v>53</v>
      </c>
      <c r="F52" s="1">
        <f>$D52*总表!D$4</f>
        <v>55650</v>
      </c>
      <c r="G52" s="1">
        <f>$E52*总表!E$4</f>
        <v>5300</v>
      </c>
      <c r="H52" s="1">
        <f>$E52*总表!F$4</f>
        <v>1590</v>
      </c>
      <c r="I52" s="1">
        <f>$E52*总表!G$4</f>
        <v>1590</v>
      </c>
      <c r="P52" s="1"/>
      <c r="Q52" s="1">
        <f t="shared" si="2"/>
        <v>152</v>
      </c>
      <c r="R52" s="6" t="s">
        <v>2945</v>
      </c>
      <c r="S52" s="6">
        <v>1</v>
      </c>
      <c r="T52" s="1">
        <v>52</v>
      </c>
      <c r="U52" s="1">
        <f t="shared" si="3"/>
        <v>56700</v>
      </c>
      <c r="V52" s="1">
        <f t="shared" si="4"/>
        <v>5400</v>
      </c>
      <c r="W52" s="1">
        <f t="shared" si="5"/>
        <v>1620</v>
      </c>
      <c r="X52" s="1">
        <f t="shared" si="6"/>
        <v>1620</v>
      </c>
      <c r="AE52" s="6" t="s">
        <v>2495</v>
      </c>
      <c r="AF52" s="8" t="s">
        <v>2541</v>
      </c>
      <c r="AG52" s="1"/>
      <c r="AJ52" s="1"/>
      <c r="AK52" s="1"/>
      <c r="AL52" s="1"/>
      <c r="AM52" s="1"/>
    </row>
    <row r="53" spans="1:39" ht="20.100000000000001" customHeight="1">
      <c r="A53" s="1">
        <f t="shared" si="0"/>
        <v>152</v>
      </c>
      <c r="B53" s="1">
        <v>52</v>
      </c>
      <c r="C53" s="1">
        <v>1</v>
      </c>
      <c r="D53" s="1">
        <f t="shared" si="12"/>
        <v>54</v>
      </c>
      <c r="E53" s="1">
        <f t="shared" si="1"/>
        <v>54</v>
      </c>
      <c r="F53" s="1">
        <f>$D53*总表!D$4</f>
        <v>56700</v>
      </c>
      <c r="G53" s="1">
        <f>$E53*总表!E$4</f>
        <v>5400</v>
      </c>
      <c r="H53" s="1">
        <f>$E53*总表!F$4</f>
        <v>1620</v>
      </c>
      <c r="I53" s="1">
        <f>$E53*总表!G$4</f>
        <v>1620</v>
      </c>
      <c r="P53" s="1"/>
      <c r="Q53" s="1">
        <f t="shared" si="2"/>
        <v>154</v>
      </c>
      <c r="R53" s="6" t="s">
        <v>2946</v>
      </c>
      <c r="S53" s="6">
        <v>1</v>
      </c>
      <c r="T53" s="1">
        <v>54</v>
      </c>
      <c r="U53" s="1">
        <f t="shared" si="3"/>
        <v>58800</v>
      </c>
      <c r="V53" s="1">
        <f t="shared" si="4"/>
        <v>5600</v>
      </c>
      <c r="W53" s="1">
        <f t="shared" si="5"/>
        <v>1680</v>
      </c>
      <c r="X53" s="1">
        <f t="shared" si="6"/>
        <v>1680</v>
      </c>
      <c r="AE53" s="6" t="s">
        <v>2496</v>
      </c>
      <c r="AF53" s="8" t="s">
        <v>2530</v>
      </c>
      <c r="AG53" s="1"/>
      <c r="AJ53" s="1"/>
      <c r="AK53" s="1"/>
      <c r="AL53" s="1"/>
      <c r="AM53" s="1"/>
    </row>
    <row r="54" spans="1:39" ht="20.100000000000001" customHeight="1">
      <c r="A54" s="1">
        <f t="shared" si="0"/>
        <v>153</v>
      </c>
      <c r="B54" s="1">
        <v>53</v>
      </c>
      <c r="C54" s="1">
        <v>1</v>
      </c>
      <c r="D54" s="1">
        <f t="shared" si="12"/>
        <v>55</v>
      </c>
      <c r="E54" s="1">
        <f t="shared" si="1"/>
        <v>55</v>
      </c>
      <c r="F54" s="1">
        <f>$D54*总表!D$4</f>
        <v>57750</v>
      </c>
      <c r="G54" s="1">
        <f>$E54*总表!E$4</f>
        <v>5500</v>
      </c>
      <c r="H54" s="1">
        <f>$E54*总表!F$4</f>
        <v>1650</v>
      </c>
      <c r="I54" s="1">
        <f>$E54*总表!G$4</f>
        <v>1650</v>
      </c>
      <c r="P54" s="1"/>
      <c r="Q54" s="1">
        <f t="shared" si="2"/>
        <v>156</v>
      </c>
      <c r="R54" s="6" t="s">
        <v>2947</v>
      </c>
      <c r="S54" s="6">
        <v>1</v>
      </c>
      <c r="T54" s="1">
        <v>56</v>
      </c>
      <c r="U54" s="1">
        <f t="shared" si="3"/>
        <v>60900</v>
      </c>
      <c r="V54" s="1">
        <f t="shared" si="4"/>
        <v>5800</v>
      </c>
      <c r="W54" s="1">
        <f t="shared" si="5"/>
        <v>1740</v>
      </c>
      <c r="X54" s="1">
        <f t="shared" si="6"/>
        <v>1740</v>
      </c>
      <c r="AE54" s="9" t="s">
        <v>2497</v>
      </c>
      <c r="AF54" s="10" t="s">
        <v>2530</v>
      </c>
      <c r="AG54" s="1"/>
      <c r="AJ54" s="1"/>
      <c r="AK54" s="1"/>
      <c r="AL54" s="1"/>
      <c r="AM54" s="1"/>
    </row>
    <row r="55" spans="1:39" ht="20.100000000000001" customHeight="1">
      <c r="A55" s="1">
        <f t="shared" si="0"/>
        <v>154</v>
      </c>
      <c r="B55" s="1">
        <v>54</v>
      </c>
      <c r="C55" s="1">
        <v>1</v>
      </c>
      <c r="D55" s="1">
        <f t="shared" si="12"/>
        <v>56</v>
      </c>
      <c r="E55" s="1">
        <f t="shared" si="1"/>
        <v>56</v>
      </c>
      <c r="F55" s="1">
        <f>$D55*总表!D$4</f>
        <v>58800</v>
      </c>
      <c r="G55" s="1">
        <f>$E55*总表!E$4</f>
        <v>5600</v>
      </c>
      <c r="H55" s="1">
        <f>$E55*总表!F$4</f>
        <v>1680</v>
      </c>
      <c r="I55" s="1">
        <f>$E55*总表!G$4</f>
        <v>1680</v>
      </c>
      <c r="P55" s="1"/>
      <c r="Q55" s="1">
        <f t="shared" si="2"/>
        <v>158</v>
      </c>
      <c r="R55" s="6" t="s">
        <v>2948</v>
      </c>
      <c r="S55" s="6">
        <v>1</v>
      </c>
      <c r="T55" s="1">
        <v>58</v>
      </c>
      <c r="U55" s="1">
        <f t="shared" si="3"/>
        <v>63000</v>
      </c>
      <c r="V55" s="1">
        <f t="shared" si="4"/>
        <v>6000</v>
      </c>
      <c r="W55" s="1">
        <f t="shared" si="5"/>
        <v>1800</v>
      </c>
      <c r="X55" s="1">
        <f t="shared" si="6"/>
        <v>1800</v>
      </c>
      <c r="AE55" s="9" t="s">
        <v>2498</v>
      </c>
      <c r="AF55" s="10" t="s">
        <v>2530</v>
      </c>
      <c r="AG55" s="1"/>
      <c r="AJ55" s="1"/>
      <c r="AK55" s="1"/>
      <c r="AL55" s="1"/>
      <c r="AM55" s="1"/>
    </row>
    <row r="56" spans="1:39" ht="20.100000000000001" customHeight="1">
      <c r="A56" s="1">
        <f t="shared" si="0"/>
        <v>155</v>
      </c>
      <c r="B56" s="1">
        <v>55</v>
      </c>
      <c r="C56" s="1">
        <v>1</v>
      </c>
      <c r="D56" s="1">
        <f t="shared" si="12"/>
        <v>57</v>
      </c>
      <c r="E56" s="1">
        <f t="shared" si="1"/>
        <v>57</v>
      </c>
      <c r="F56" s="1">
        <f>$D56*总表!D$4</f>
        <v>59850</v>
      </c>
      <c r="G56" s="1">
        <f>$E56*总表!E$4</f>
        <v>5700</v>
      </c>
      <c r="H56" s="1">
        <f>$E56*总表!F$4</f>
        <v>1710</v>
      </c>
      <c r="I56" s="1">
        <f>$E56*总表!G$4</f>
        <v>1710</v>
      </c>
      <c r="P56" s="1"/>
      <c r="Q56" s="1">
        <f t="shared" si="2"/>
        <v>158</v>
      </c>
      <c r="R56" s="6" t="s">
        <v>2949</v>
      </c>
      <c r="S56" s="6">
        <v>1</v>
      </c>
      <c r="T56" s="1">
        <v>58</v>
      </c>
      <c r="U56" s="1">
        <f t="shared" si="3"/>
        <v>63000</v>
      </c>
      <c r="V56" s="1">
        <f t="shared" si="4"/>
        <v>6000</v>
      </c>
      <c r="W56" s="1">
        <f t="shared" si="5"/>
        <v>1800</v>
      </c>
      <c r="X56" s="1">
        <f t="shared" si="6"/>
        <v>1800</v>
      </c>
      <c r="AE56" s="6" t="s">
        <v>2499</v>
      </c>
      <c r="AF56" s="8" t="s">
        <v>2545</v>
      </c>
      <c r="AG56" s="1"/>
      <c r="AJ56" s="1"/>
      <c r="AK56" s="1"/>
      <c r="AL56" s="1"/>
      <c r="AM56" s="1"/>
    </row>
    <row r="57" spans="1:39" ht="20.100000000000001" customHeight="1">
      <c r="A57" s="1">
        <f t="shared" si="0"/>
        <v>156</v>
      </c>
      <c r="B57" s="1">
        <v>56</v>
      </c>
      <c r="C57" s="1">
        <v>1</v>
      </c>
      <c r="D57" s="1">
        <f t="shared" si="12"/>
        <v>58</v>
      </c>
      <c r="E57" s="1">
        <f t="shared" si="1"/>
        <v>58</v>
      </c>
      <c r="F57" s="1">
        <f>$D57*总表!D$4</f>
        <v>60900</v>
      </c>
      <c r="G57" s="1">
        <f>$E57*总表!E$4</f>
        <v>5800</v>
      </c>
      <c r="H57" s="1">
        <f>$E57*总表!F$4</f>
        <v>1740</v>
      </c>
      <c r="I57" s="1">
        <f>$E57*总表!G$4</f>
        <v>1740</v>
      </c>
      <c r="P57" s="1"/>
      <c r="Q57" s="1">
        <f t="shared" si="2"/>
        <v>352</v>
      </c>
      <c r="R57" s="6" t="s">
        <v>2950</v>
      </c>
      <c r="S57" s="6">
        <v>3</v>
      </c>
      <c r="T57" s="1">
        <v>52</v>
      </c>
      <c r="U57" s="1">
        <f t="shared" si="3"/>
        <v>453600</v>
      </c>
      <c r="V57" s="1">
        <f t="shared" si="4"/>
        <v>6750</v>
      </c>
      <c r="W57" s="1">
        <f t="shared" si="5"/>
        <v>2025</v>
      </c>
      <c r="X57" s="1">
        <f t="shared" si="6"/>
        <v>2025</v>
      </c>
      <c r="AE57" s="6" t="s">
        <v>2500</v>
      </c>
      <c r="AF57" s="8" t="s">
        <v>2530</v>
      </c>
      <c r="AG57" s="1"/>
      <c r="AJ57" s="1"/>
      <c r="AK57" s="1"/>
      <c r="AL57" s="1"/>
      <c r="AM57" s="1"/>
    </row>
    <row r="58" spans="1:39" ht="20.100000000000001" customHeight="1">
      <c r="A58" s="1">
        <f t="shared" si="0"/>
        <v>157</v>
      </c>
      <c r="B58" s="1">
        <v>57</v>
      </c>
      <c r="C58" s="1">
        <v>1</v>
      </c>
      <c r="D58" s="1">
        <f t="shared" si="12"/>
        <v>59</v>
      </c>
      <c r="E58" s="1">
        <f t="shared" si="1"/>
        <v>59</v>
      </c>
      <c r="F58" s="1">
        <f>$D58*总表!D$4</f>
        <v>61950</v>
      </c>
      <c r="G58" s="1">
        <f>$E58*总表!E$4</f>
        <v>5900</v>
      </c>
      <c r="H58" s="1">
        <f>$E58*总表!F$4</f>
        <v>1770</v>
      </c>
      <c r="I58" s="1">
        <f>$E58*总表!G$4</f>
        <v>1770</v>
      </c>
      <c r="P58" s="1"/>
      <c r="Q58" s="1">
        <f t="shared" si="2"/>
        <v>354</v>
      </c>
      <c r="R58" s="6" t="s">
        <v>2951</v>
      </c>
      <c r="S58" s="6">
        <v>3</v>
      </c>
      <c r="T58" s="1">
        <v>54</v>
      </c>
      <c r="U58" s="1">
        <f t="shared" si="3"/>
        <v>470400</v>
      </c>
      <c r="V58" s="1">
        <f t="shared" si="4"/>
        <v>7000</v>
      </c>
      <c r="W58" s="1">
        <f t="shared" si="5"/>
        <v>2100</v>
      </c>
      <c r="X58" s="1">
        <f t="shared" si="6"/>
        <v>2100</v>
      </c>
      <c r="AE58" s="6" t="s">
        <v>2501</v>
      </c>
      <c r="AF58" s="8" t="s">
        <v>2530</v>
      </c>
      <c r="AG58" s="1"/>
      <c r="AJ58" s="1"/>
      <c r="AK58" s="1"/>
      <c r="AL58" s="1"/>
      <c r="AM58" s="1"/>
    </row>
    <row r="59" spans="1:39" ht="20.100000000000001" customHeight="1">
      <c r="A59" s="1">
        <f t="shared" si="0"/>
        <v>158</v>
      </c>
      <c r="B59" s="1">
        <v>58</v>
      </c>
      <c r="C59" s="1">
        <v>1</v>
      </c>
      <c r="D59" s="1">
        <f t="shared" si="12"/>
        <v>60</v>
      </c>
      <c r="E59" s="1">
        <f t="shared" si="1"/>
        <v>60</v>
      </c>
      <c r="F59" s="1">
        <f>$D59*总表!D$4</f>
        <v>63000</v>
      </c>
      <c r="G59" s="1">
        <f>$E59*总表!E$4</f>
        <v>6000</v>
      </c>
      <c r="H59" s="1">
        <f>$E59*总表!F$4</f>
        <v>1800</v>
      </c>
      <c r="I59" s="1">
        <f>$E59*总表!G$4</f>
        <v>1800</v>
      </c>
      <c r="P59" s="1"/>
      <c r="Q59" s="1">
        <f t="shared" si="2"/>
        <v>356</v>
      </c>
      <c r="R59" s="6" t="s">
        <v>2952</v>
      </c>
      <c r="S59" s="6">
        <v>3</v>
      </c>
      <c r="T59" s="1">
        <v>56</v>
      </c>
      <c r="U59" s="1">
        <f t="shared" si="3"/>
        <v>487200</v>
      </c>
      <c r="V59" s="1">
        <f t="shared" si="4"/>
        <v>7250</v>
      </c>
      <c r="W59" s="1">
        <f t="shared" si="5"/>
        <v>2175</v>
      </c>
      <c r="X59" s="1">
        <f t="shared" si="6"/>
        <v>2175</v>
      </c>
      <c r="AE59" s="9" t="s">
        <v>2502</v>
      </c>
      <c r="AF59" s="10" t="s">
        <v>2530</v>
      </c>
      <c r="AG59" s="1"/>
      <c r="AJ59" s="1"/>
      <c r="AK59" s="1"/>
      <c r="AL59" s="1"/>
      <c r="AM59" s="1"/>
    </row>
    <row r="60" spans="1:39" ht="20.100000000000001" customHeight="1">
      <c r="A60" s="1">
        <f t="shared" si="0"/>
        <v>159</v>
      </c>
      <c r="B60" s="1">
        <v>59</v>
      </c>
      <c r="C60" s="1">
        <v>1</v>
      </c>
      <c r="D60" s="1">
        <f t="shared" si="12"/>
        <v>61</v>
      </c>
      <c r="E60" s="1">
        <f t="shared" si="1"/>
        <v>61</v>
      </c>
      <c r="F60" s="1">
        <f>$D60*总表!D$4</f>
        <v>64050</v>
      </c>
      <c r="G60" s="1">
        <f>$E60*总表!E$4</f>
        <v>6100</v>
      </c>
      <c r="H60" s="1">
        <f>$E60*总表!F$4</f>
        <v>1830</v>
      </c>
      <c r="I60" s="1">
        <f>$E60*总表!G$4</f>
        <v>1830</v>
      </c>
      <c r="P60" s="1"/>
      <c r="Q60" s="1">
        <f t="shared" si="2"/>
        <v>358</v>
      </c>
      <c r="R60" s="6" t="s">
        <v>2953</v>
      </c>
      <c r="S60" s="6">
        <v>3</v>
      </c>
      <c r="T60" s="1">
        <v>58</v>
      </c>
      <c r="U60" s="1">
        <f t="shared" si="3"/>
        <v>504000</v>
      </c>
      <c r="V60" s="1">
        <f t="shared" si="4"/>
        <v>7500</v>
      </c>
      <c r="W60" s="1">
        <f t="shared" si="5"/>
        <v>2250</v>
      </c>
      <c r="X60" s="1">
        <f t="shared" si="6"/>
        <v>2250</v>
      </c>
      <c r="AE60" s="9" t="s">
        <v>2503</v>
      </c>
      <c r="AF60" s="10" t="s">
        <v>2530</v>
      </c>
      <c r="AG60" s="1"/>
      <c r="AJ60" s="1"/>
      <c r="AK60" s="1"/>
      <c r="AL60" s="1"/>
      <c r="AM60" s="1"/>
    </row>
    <row r="61" spans="1:39" ht="20.100000000000001" customHeight="1">
      <c r="A61" s="1">
        <f t="shared" si="0"/>
        <v>160</v>
      </c>
      <c r="B61" s="1">
        <v>60</v>
      </c>
      <c r="C61" s="1">
        <v>1</v>
      </c>
      <c r="D61" s="1">
        <f t="shared" si="12"/>
        <v>62</v>
      </c>
      <c r="E61" s="1">
        <f t="shared" si="1"/>
        <v>62</v>
      </c>
      <c r="F61" s="1">
        <f>$D61*总表!D$4</f>
        <v>65100</v>
      </c>
      <c r="G61" s="1">
        <f>$E61*总表!E$4</f>
        <v>6200</v>
      </c>
      <c r="H61" s="1">
        <f>$E61*总表!F$4</f>
        <v>1860</v>
      </c>
      <c r="I61" s="1">
        <f>$E61*总表!G$4</f>
        <v>1860</v>
      </c>
      <c r="P61" s="1"/>
      <c r="Q61" s="1">
        <f t="shared" si="2"/>
        <v>360</v>
      </c>
      <c r="R61" s="6" t="s">
        <v>2954</v>
      </c>
      <c r="S61" s="6">
        <v>3</v>
      </c>
      <c r="T61" s="1">
        <v>60</v>
      </c>
      <c r="U61" s="1">
        <f t="shared" si="3"/>
        <v>520800</v>
      </c>
      <c r="V61" s="1">
        <f t="shared" si="4"/>
        <v>7750</v>
      </c>
      <c r="W61" s="1">
        <f t="shared" si="5"/>
        <v>2325</v>
      </c>
      <c r="X61" s="1">
        <f t="shared" si="6"/>
        <v>2325</v>
      </c>
      <c r="AE61" s="6" t="s">
        <v>2504</v>
      </c>
      <c r="AF61" s="8" t="s">
        <v>2551</v>
      </c>
      <c r="AG61" s="1"/>
      <c r="AJ61" s="1"/>
      <c r="AK61" s="1"/>
      <c r="AL61" s="1"/>
      <c r="AM61" s="1"/>
    </row>
    <row r="62" spans="1:39" ht="20.100000000000001" customHeight="1">
      <c r="A62" s="1">
        <f t="shared" si="0"/>
        <v>161</v>
      </c>
      <c r="B62" s="1">
        <v>61</v>
      </c>
      <c r="C62" s="1">
        <v>1</v>
      </c>
      <c r="D62" s="1">
        <f t="shared" si="12"/>
        <v>63</v>
      </c>
      <c r="E62" s="1">
        <f t="shared" si="1"/>
        <v>63</v>
      </c>
      <c r="F62" s="1">
        <f>$D62*总表!D$4</f>
        <v>66150</v>
      </c>
      <c r="G62" s="1">
        <f>$E62*总表!E$4</f>
        <v>6300</v>
      </c>
      <c r="H62" s="1">
        <f>$E62*总表!F$4</f>
        <v>1890</v>
      </c>
      <c r="I62" s="1">
        <f>$E62*总表!G$4</f>
        <v>1890</v>
      </c>
      <c r="P62" s="1"/>
      <c r="Q62" s="1"/>
      <c r="R62" s="1"/>
      <c r="S62" s="1"/>
      <c r="T62" s="1"/>
      <c r="U62" s="1"/>
      <c r="V62" s="1"/>
      <c r="W62" s="1"/>
      <c r="X62" s="1"/>
      <c r="AE62" s="6" t="s">
        <v>2505</v>
      </c>
      <c r="AF62" s="8" t="s">
        <v>2553</v>
      </c>
      <c r="AG62" s="1"/>
      <c r="AJ62" s="1"/>
      <c r="AK62" s="1"/>
      <c r="AL62" s="1"/>
      <c r="AM62" s="1"/>
    </row>
    <row r="63" spans="1:39" ht="20.100000000000001" customHeight="1">
      <c r="A63" s="1">
        <f t="shared" si="0"/>
        <v>162</v>
      </c>
      <c r="B63" s="1">
        <v>62</v>
      </c>
      <c r="C63" s="1">
        <v>1</v>
      </c>
      <c r="D63" s="1">
        <f t="shared" si="12"/>
        <v>64</v>
      </c>
      <c r="E63" s="1">
        <f t="shared" si="1"/>
        <v>64</v>
      </c>
      <c r="F63" s="1">
        <f>$D63*总表!D$4</f>
        <v>67200</v>
      </c>
      <c r="G63" s="1">
        <f>$E63*总表!E$4</f>
        <v>6400</v>
      </c>
      <c r="H63" s="1">
        <f>$E63*总表!F$4</f>
        <v>1920</v>
      </c>
      <c r="I63" s="1">
        <f>$E63*总表!G$4</f>
        <v>1920</v>
      </c>
      <c r="P63" s="1"/>
      <c r="Q63" s="1"/>
      <c r="R63" s="1"/>
      <c r="S63" s="1"/>
      <c r="T63" s="1"/>
      <c r="U63" s="1"/>
      <c r="V63" s="1"/>
      <c r="W63" s="1"/>
      <c r="X63" s="1"/>
      <c r="AE63" s="6" t="s">
        <v>2506</v>
      </c>
      <c r="AF63" s="8" t="s">
        <v>2530</v>
      </c>
      <c r="AG63" s="1"/>
      <c r="AJ63" s="1"/>
      <c r="AK63" s="1"/>
      <c r="AL63" s="1"/>
      <c r="AM63" s="1"/>
    </row>
    <row r="64" spans="1:39" ht="20.100000000000001" customHeight="1">
      <c r="A64" s="1">
        <f t="shared" si="0"/>
        <v>163</v>
      </c>
      <c r="B64" s="1">
        <v>63</v>
      </c>
      <c r="C64" s="1">
        <v>1</v>
      </c>
      <c r="D64" s="1">
        <f t="shared" si="12"/>
        <v>65</v>
      </c>
      <c r="E64" s="1">
        <f t="shared" si="1"/>
        <v>65</v>
      </c>
      <c r="F64" s="1">
        <f>$D64*总表!D$4</f>
        <v>68250</v>
      </c>
      <c r="G64" s="1">
        <f>$E64*总表!E$4</f>
        <v>6500</v>
      </c>
      <c r="H64" s="1">
        <f>$E64*总表!F$4</f>
        <v>1950</v>
      </c>
      <c r="I64" s="1">
        <f>$E64*总表!G$4</f>
        <v>1950</v>
      </c>
      <c r="P64" s="1"/>
      <c r="Q64" s="1"/>
      <c r="R64" s="1"/>
      <c r="S64" s="1"/>
      <c r="T64" s="1"/>
      <c r="U64" s="1"/>
      <c r="V64" s="1"/>
      <c r="W64" s="1"/>
      <c r="X64" s="1"/>
      <c r="AE64" s="9" t="s">
        <v>2507</v>
      </c>
      <c r="AF64" s="10" t="s">
        <v>2530</v>
      </c>
      <c r="AG64" s="1"/>
      <c r="AJ64" s="1"/>
      <c r="AK64" s="1"/>
      <c r="AL64" s="1"/>
      <c r="AM64" s="1"/>
    </row>
    <row r="65" spans="1:39" ht="20.100000000000001" customHeight="1">
      <c r="A65" s="1">
        <f t="shared" si="0"/>
        <v>164</v>
      </c>
      <c r="B65" s="1">
        <v>64</v>
      </c>
      <c r="C65" s="1">
        <v>1</v>
      </c>
      <c r="D65" s="1">
        <f t="shared" si="12"/>
        <v>66</v>
      </c>
      <c r="E65" s="1">
        <f t="shared" si="1"/>
        <v>66</v>
      </c>
      <c r="F65" s="1">
        <f>$D65*总表!D$4</f>
        <v>69300</v>
      </c>
      <c r="G65" s="1">
        <f>$E65*总表!E$4</f>
        <v>6600</v>
      </c>
      <c r="H65" s="1">
        <f>$E65*总表!F$4</f>
        <v>1980</v>
      </c>
      <c r="I65" s="1">
        <f>$E65*总表!G$4</f>
        <v>1980</v>
      </c>
      <c r="P65" s="1"/>
      <c r="Q65" s="1"/>
      <c r="R65" s="1"/>
      <c r="S65" s="1"/>
      <c r="T65" s="1"/>
      <c r="U65" s="1"/>
      <c r="V65" s="1"/>
      <c r="W65" s="1"/>
      <c r="X65" s="1"/>
      <c r="AE65" s="6" t="s">
        <v>2508</v>
      </c>
      <c r="AF65" s="8" t="s">
        <v>2557</v>
      </c>
      <c r="AG65" s="1"/>
      <c r="AJ65" s="1"/>
      <c r="AK65" s="1"/>
      <c r="AL65" s="1"/>
      <c r="AM65" s="1"/>
    </row>
    <row r="66" spans="1:39" ht="20.100000000000001" customHeight="1">
      <c r="A66" s="1">
        <f t="shared" si="0"/>
        <v>165</v>
      </c>
      <c r="B66" s="1">
        <v>65</v>
      </c>
      <c r="C66" s="1">
        <v>1</v>
      </c>
      <c r="D66" s="1">
        <f t="shared" si="12"/>
        <v>67</v>
      </c>
      <c r="E66" s="1">
        <f t="shared" si="1"/>
        <v>67</v>
      </c>
      <c r="F66" s="1">
        <f>$D66*总表!D$4</f>
        <v>70350</v>
      </c>
      <c r="G66" s="1">
        <f>$E66*总表!E$4</f>
        <v>6700</v>
      </c>
      <c r="H66" s="1">
        <f>$E66*总表!F$4</f>
        <v>2010</v>
      </c>
      <c r="I66" s="1">
        <f>$E66*总表!G$4</f>
        <v>2010</v>
      </c>
      <c r="P66" s="1"/>
      <c r="Q66" s="1"/>
      <c r="R66" s="1"/>
      <c r="S66" s="1"/>
      <c r="T66" s="1"/>
      <c r="U66" s="1"/>
      <c r="V66" s="1"/>
      <c r="W66" s="1"/>
      <c r="X66" s="1"/>
      <c r="AE66" s="6" t="s">
        <v>2509</v>
      </c>
      <c r="AF66" s="8" t="s">
        <v>2530</v>
      </c>
      <c r="AG66" s="1"/>
      <c r="AJ66" s="1"/>
      <c r="AK66" s="1"/>
      <c r="AL66" s="1"/>
      <c r="AM66" s="1"/>
    </row>
    <row r="67" spans="1:39" ht="20.100000000000001" customHeight="1">
      <c r="A67" s="1">
        <f t="shared" ref="A67:A71" si="13">100+B67</f>
        <v>166</v>
      </c>
      <c r="B67" s="1">
        <v>66</v>
      </c>
      <c r="C67" s="1">
        <v>1</v>
      </c>
      <c r="D67" s="1">
        <f t="shared" si="12"/>
        <v>68</v>
      </c>
      <c r="E67" s="1">
        <f t="shared" ref="E67:E71" si="14">D67</f>
        <v>68</v>
      </c>
      <c r="F67" s="1">
        <f>$D67*总表!D$4</f>
        <v>71400</v>
      </c>
      <c r="G67" s="1">
        <f>$E67*总表!E$4</f>
        <v>6800</v>
      </c>
      <c r="H67" s="1">
        <f>$E67*总表!F$4</f>
        <v>2040</v>
      </c>
      <c r="I67" s="1">
        <f>$E67*总表!G$4</f>
        <v>2040</v>
      </c>
      <c r="P67" s="1"/>
      <c r="Q67" s="1"/>
      <c r="R67" s="1"/>
      <c r="S67" s="1"/>
      <c r="T67" s="1"/>
      <c r="U67" s="1"/>
      <c r="V67" s="1"/>
      <c r="W67" s="1"/>
      <c r="X67" s="1"/>
      <c r="AE67" s="6" t="s">
        <v>2510</v>
      </c>
      <c r="AF67" s="8" t="s">
        <v>2530</v>
      </c>
      <c r="AG67" s="1"/>
      <c r="AJ67" s="1"/>
      <c r="AK67" s="1"/>
      <c r="AL67" s="1"/>
      <c r="AM67" s="1"/>
    </row>
    <row r="68" spans="1:39" ht="20.100000000000001" customHeight="1">
      <c r="A68" s="1">
        <f t="shared" si="13"/>
        <v>167</v>
      </c>
      <c r="B68" s="1">
        <v>67</v>
      </c>
      <c r="C68" s="1">
        <v>1</v>
      </c>
      <c r="D68" s="1">
        <f t="shared" ref="D68:D71" si="15">D67+C67</f>
        <v>69</v>
      </c>
      <c r="E68" s="1">
        <f t="shared" si="14"/>
        <v>69</v>
      </c>
      <c r="F68" s="1">
        <f>$D68*总表!D$4</f>
        <v>72450</v>
      </c>
      <c r="G68" s="1">
        <f>$E68*总表!E$4</f>
        <v>6900</v>
      </c>
      <c r="H68" s="1">
        <f>$E68*总表!F$4</f>
        <v>2070</v>
      </c>
      <c r="I68" s="1">
        <f>$E68*总表!G$4</f>
        <v>2070</v>
      </c>
      <c r="P68" s="1"/>
      <c r="Q68" s="1"/>
      <c r="R68" s="1"/>
      <c r="S68" s="1"/>
      <c r="T68" s="1"/>
      <c r="U68" s="1"/>
      <c r="V68" s="1"/>
      <c r="W68" s="1"/>
      <c r="X68" s="1"/>
      <c r="AE68" s="6" t="s">
        <v>2511</v>
      </c>
      <c r="AF68" s="8" t="s">
        <v>2561</v>
      </c>
      <c r="AG68" s="1"/>
      <c r="AJ68" s="1"/>
      <c r="AK68" s="1"/>
      <c r="AL68" s="1"/>
      <c r="AM68" s="1"/>
    </row>
    <row r="69" spans="1:39" ht="20.100000000000001" customHeight="1">
      <c r="A69" s="1">
        <f t="shared" si="13"/>
        <v>168</v>
      </c>
      <c r="B69" s="1">
        <v>68</v>
      </c>
      <c r="C69" s="1">
        <v>1</v>
      </c>
      <c r="D69" s="1">
        <f t="shared" si="15"/>
        <v>70</v>
      </c>
      <c r="E69" s="1">
        <f t="shared" si="14"/>
        <v>70</v>
      </c>
      <c r="F69" s="1">
        <f>$D69*总表!D$4</f>
        <v>73500</v>
      </c>
      <c r="G69" s="1">
        <f>$E69*总表!E$4</f>
        <v>7000</v>
      </c>
      <c r="H69" s="1">
        <f>$E69*总表!F$4</f>
        <v>2100</v>
      </c>
      <c r="I69" s="1">
        <f>$E69*总表!G$4</f>
        <v>2100</v>
      </c>
      <c r="P69" s="1"/>
      <c r="Q69" s="1"/>
      <c r="R69" s="1"/>
      <c r="S69" s="1"/>
      <c r="T69" s="1"/>
      <c r="U69" s="1"/>
      <c r="V69" s="1"/>
      <c r="W69" s="1"/>
      <c r="X69" s="1"/>
      <c r="AE69" s="6" t="s">
        <v>2512</v>
      </c>
      <c r="AF69" s="8" t="s">
        <v>2530</v>
      </c>
      <c r="AG69" s="1"/>
      <c r="AJ69" s="1"/>
      <c r="AK69" s="1"/>
      <c r="AL69" s="1"/>
      <c r="AM69" s="1"/>
    </row>
    <row r="70" spans="1:39" ht="20.100000000000001" customHeight="1">
      <c r="A70" s="1">
        <f t="shared" si="13"/>
        <v>169</v>
      </c>
      <c r="B70" s="1">
        <v>69</v>
      </c>
      <c r="C70" s="1">
        <v>1</v>
      </c>
      <c r="D70" s="1">
        <f t="shared" si="15"/>
        <v>71</v>
      </c>
      <c r="E70" s="1">
        <f t="shared" si="14"/>
        <v>71</v>
      </c>
      <c r="F70" s="1">
        <f>$D70*总表!D$4</f>
        <v>74550</v>
      </c>
      <c r="G70" s="1">
        <f>$E70*总表!E$4</f>
        <v>7100</v>
      </c>
      <c r="H70" s="1">
        <f>$E70*总表!F$4</f>
        <v>2130</v>
      </c>
      <c r="I70" s="1">
        <f>$E70*总表!G$4</f>
        <v>2130</v>
      </c>
      <c r="P70" s="1"/>
      <c r="Q70" s="1"/>
      <c r="R70" s="1"/>
      <c r="S70" s="1"/>
      <c r="T70" s="1"/>
      <c r="U70" s="1"/>
      <c r="V70" s="1"/>
      <c r="W70" s="1"/>
      <c r="X70" s="1"/>
      <c r="AE70" s="6" t="s">
        <v>2513</v>
      </c>
      <c r="AF70" s="8" t="s">
        <v>2530</v>
      </c>
      <c r="AG70" s="1"/>
      <c r="AJ70" s="1"/>
      <c r="AK70" s="1"/>
      <c r="AL70" s="1"/>
      <c r="AM70" s="1"/>
    </row>
    <row r="71" spans="1:39" ht="20.100000000000001" customHeight="1">
      <c r="A71" s="1">
        <f t="shared" si="13"/>
        <v>170</v>
      </c>
      <c r="B71" s="1">
        <v>70</v>
      </c>
      <c r="C71" s="1">
        <v>1</v>
      </c>
      <c r="D71" s="1">
        <f t="shared" si="15"/>
        <v>72</v>
      </c>
      <c r="E71" s="1">
        <f t="shared" si="14"/>
        <v>72</v>
      </c>
      <c r="F71" s="1">
        <f>$D71*总表!D$4</f>
        <v>75600</v>
      </c>
      <c r="G71" s="1">
        <f>$E71*总表!E$4</f>
        <v>7200</v>
      </c>
      <c r="H71" s="1">
        <f>$E71*总表!F$4</f>
        <v>2160</v>
      </c>
      <c r="I71" s="1">
        <f>$E71*总表!G$4</f>
        <v>2160</v>
      </c>
      <c r="P71" s="1"/>
      <c r="Q71" s="1"/>
      <c r="R71" s="1"/>
      <c r="S71" s="1"/>
      <c r="T71" s="1"/>
      <c r="U71" s="1"/>
      <c r="V71" s="1"/>
      <c r="W71" s="1"/>
      <c r="X71" s="1"/>
      <c r="AE71" s="6" t="s">
        <v>2514</v>
      </c>
      <c r="AF71" s="8" t="s">
        <v>2565</v>
      </c>
      <c r="AG71" s="1"/>
      <c r="AJ71" s="1"/>
      <c r="AK71" s="1"/>
      <c r="AL71" s="1"/>
      <c r="AM71" s="1"/>
    </row>
    <row r="72" spans="1:39" ht="20.100000000000001" customHeight="1">
      <c r="Q72" s="1"/>
      <c r="R72" s="1"/>
      <c r="S72" s="1"/>
      <c r="T72" s="1"/>
      <c r="U72" s="1"/>
      <c r="V72" s="1"/>
      <c r="W72" s="1"/>
      <c r="X72" s="1"/>
      <c r="AE72" s="6" t="s">
        <v>2515</v>
      </c>
      <c r="AF72" s="8" t="s">
        <v>2567</v>
      </c>
      <c r="AG72" s="1"/>
      <c r="AJ72" s="1"/>
      <c r="AK72" s="1"/>
      <c r="AL72" s="1"/>
      <c r="AM72" s="1"/>
    </row>
    <row r="73" spans="1:39" ht="20.100000000000001" customHeight="1">
      <c r="Q73" s="1"/>
      <c r="R73" s="1"/>
      <c r="S73" s="1"/>
      <c r="T73" s="1"/>
      <c r="U73" s="1"/>
      <c r="V73" s="1"/>
      <c r="W73" s="1"/>
      <c r="X73" s="1"/>
      <c r="AE73" s="6" t="s">
        <v>2516</v>
      </c>
      <c r="AF73" s="8" t="s">
        <v>2530</v>
      </c>
      <c r="AG73" s="1"/>
      <c r="AJ73" s="1"/>
      <c r="AK73" s="1"/>
      <c r="AL73" s="1"/>
      <c r="AM73" s="1"/>
    </row>
    <row r="74" spans="1:39" ht="20.100000000000001" customHeight="1">
      <c r="B74" s="4" t="s">
        <v>2481</v>
      </c>
      <c r="D74" s="4" t="s">
        <v>2569</v>
      </c>
      <c r="E74" s="4" t="s">
        <v>2570</v>
      </c>
      <c r="F74" s="4" t="s">
        <v>2</v>
      </c>
      <c r="G74" s="4" t="s">
        <v>3</v>
      </c>
      <c r="H74" s="4" t="s">
        <v>28</v>
      </c>
      <c r="I74" s="4" t="s">
        <v>29</v>
      </c>
      <c r="Q74" s="1"/>
      <c r="R74" s="1"/>
      <c r="S74" s="1"/>
      <c r="T74" s="1"/>
      <c r="U74" s="1"/>
      <c r="V74" s="1"/>
      <c r="W74" s="1"/>
      <c r="X74" s="1"/>
      <c r="AE74" s="6" t="s">
        <v>2517</v>
      </c>
      <c r="AF74" s="8" t="s">
        <v>2530</v>
      </c>
      <c r="AG74" s="1"/>
      <c r="AJ74" s="1"/>
      <c r="AK74" s="1"/>
      <c r="AL74" s="1"/>
      <c r="AM74" s="1"/>
    </row>
    <row r="75" spans="1:39" ht="20.100000000000001" customHeight="1">
      <c r="A75" s="1">
        <f>B75+300</f>
        <v>301</v>
      </c>
      <c r="B75" s="1">
        <v>1</v>
      </c>
      <c r="D75" s="1">
        <v>8</v>
      </c>
      <c r="E75" s="1">
        <v>1.25</v>
      </c>
      <c r="F75" s="1">
        <f t="shared" ref="F75:F106" si="16">D75*F2</f>
        <v>8400</v>
      </c>
      <c r="G75" s="1">
        <f t="shared" ref="G75:I94" si="17">ROUND($E75*G2,0)</f>
        <v>125</v>
      </c>
      <c r="H75" s="1">
        <f t="shared" si="17"/>
        <v>38</v>
      </c>
      <c r="I75" s="1">
        <f t="shared" si="17"/>
        <v>38</v>
      </c>
      <c r="Q75" s="1"/>
      <c r="R75" s="1"/>
      <c r="S75" s="1"/>
      <c r="T75" s="1"/>
      <c r="U75" s="1"/>
      <c r="V75" s="1"/>
      <c r="W75" s="1"/>
      <c r="X75" s="1"/>
      <c r="AE75" s="6" t="s">
        <v>2518</v>
      </c>
      <c r="AF75" s="8" t="s">
        <v>2530</v>
      </c>
      <c r="AG75" s="1"/>
      <c r="AJ75" s="1"/>
      <c r="AK75" s="1"/>
      <c r="AL75" s="1"/>
      <c r="AM75" s="1"/>
    </row>
    <row r="76" spans="1:39" ht="20.100000000000001" customHeight="1">
      <c r="A76" s="1">
        <f t="shared" ref="A76:A139" si="18">B76+300</f>
        <v>302</v>
      </c>
      <c r="B76" s="1">
        <v>2</v>
      </c>
      <c r="D76" s="1">
        <v>8</v>
      </c>
      <c r="E76" s="1">
        <v>1.25</v>
      </c>
      <c r="F76" s="1">
        <f t="shared" si="16"/>
        <v>12600</v>
      </c>
      <c r="G76" s="1">
        <f t="shared" si="17"/>
        <v>188</v>
      </c>
      <c r="H76" s="1">
        <f t="shared" si="17"/>
        <v>56</v>
      </c>
      <c r="I76" s="1">
        <f t="shared" si="17"/>
        <v>56</v>
      </c>
      <c r="Q76" s="1"/>
      <c r="R76" s="1"/>
      <c r="S76" s="1"/>
      <c r="T76" s="1"/>
      <c r="U76" s="1"/>
      <c r="V76" s="1"/>
      <c r="W76" s="1"/>
      <c r="X76" s="1"/>
      <c r="AE76" s="6" t="s">
        <v>2519</v>
      </c>
      <c r="AF76" s="8" t="s">
        <v>2530</v>
      </c>
      <c r="AG76" s="1"/>
      <c r="AJ76" s="1"/>
      <c r="AK76" s="1"/>
      <c r="AL76" s="1"/>
      <c r="AM76" s="1"/>
    </row>
    <row r="77" spans="1:39" ht="20.100000000000001" customHeight="1">
      <c r="A77" s="1">
        <f t="shared" si="18"/>
        <v>303</v>
      </c>
      <c r="B77" s="1">
        <v>3</v>
      </c>
      <c r="D77" s="1">
        <v>8</v>
      </c>
      <c r="E77" s="1">
        <v>1.25</v>
      </c>
      <c r="F77" s="1">
        <f t="shared" si="16"/>
        <v>16800</v>
      </c>
      <c r="G77" s="1">
        <f t="shared" si="17"/>
        <v>250</v>
      </c>
      <c r="H77" s="1">
        <f t="shared" si="17"/>
        <v>75</v>
      </c>
      <c r="I77" s="1">
        <f t="shared" si="17"/>
        <v>75</v>
      </c>
      <c r="Q77" s="1"/>
      <c r="R77" s="1"/>
      <c r="S77" s="1"/>
      <c r="T77" s="1"/>
      <c r="AE77" s="6" t="s">
        <v>2520</v>
      </c>
      <c r="AF77" s="8" t="s">
        <v>2574</v>
      </c>
    </row>
    <row r="78" spans="1:39" ht="20.100000000000001" customHeight="1">
      <c r="A78" s="1">
        <f t="shared" si="18"/>
        <v>304</v>
      </c>
      <c r="B78" s="1">
        <v>4</v>
      </c>
      <c r="D78" s="1">
        <v>8</v>
      </c>
      <c r="E78" s="1">
        <v>1.25</v>
      </c>
      <c r="F78" s="1">
        <f t="shared" si="16"/>
        <v>21000</v>
      </c>
      <c r="G78" s="1">
        <f t="shared" si="17"/>
        <v>313</v>
      </c>
      <c r="H78" s="1">
        <f t="shared" si="17"/>
        <v>94</v>
      </c>
      <c r="I78" s="1">
        <f t="shared" si="17"/>
        <v>94</v>
      </c>
      <c r="Q78" s="1"/>
      <c r="R78" s="1"/>
      <c r="S78" s="1"/>
      <c r="T78" s="1"/>
      <c r="AE78" s="6" t="s">
        <v>2521</v>
      </c>
      <c r="AF78" s="8" t="s">
        <v>2530</v>
      </c>
    </row>
    <row r="79" spans="1:39" ht="20.100000000000001" customHeight="1">
      <c r="A79" s="1">
        <f t="shared" si="18"/>
        <v>305</v>
      </c>
      <c r="B79" s="1">
        <v>5</v>
      </c>
      <c r="D79" s="1">
        <v>8</v>
      </c>
      <c r="E79" s="1">
        <v>1.25</v>
      </c>
      <c r="F79" s="1">
        <f t="shared" si="16"/>
        <v>25200</v>
      </c>
      <c r="G79" s="1">
        <f t="shared" si="17"/>
        <v>375</v>
      </c>
      <c r="H79" s="1">
        <f t="shared" si="17"/>
        <v>113</v>
      </c>
      <c r="I79" s="1">
        <f t="shared" si="17"/>
        <v>113</v>
      </c>
      <c r="Q79" s="1" t="s">
        <v>2480</v>
      </c>
      <c r="R79" s="1" t="s">
        <v>2483</v>
      </c>
      <c r="S79" s="1" t="s">
        <v>2456</v>
      </c>
      <c r="T79" s="1" t="s">
        <v>25</v>
      </c>
      <c r="U79" s="4" t="s">
        <v>2</v>
      </c>
      <c r="V79" s="4" t="s">
        <v>3</v>
      </c>
      <c r="W79" s="4" t="s">
        <v>28</v>
      </c>
      <c r="X79" s="4" t="s">
        <v>29</v>
      </c>
      <c r="AE79" s="6" t="s">
        <v>2522</v>
      </c>
      <c r="AF79" s="8" t="s">
        <v>2530</v>
      </c>
    </row>
    <row r="80" spans="1:39" ht="20.100000000000001" customHeight="1">
      <c r="A80" s="1">
        <f t="shared" si="18"/>
        <v>306</v>
      </c>
      <c r="B80" s="1">
        <v>6</v>
      </c>
      <c r="D80" s="1">
        <v>8</v>
      </c>
      <c r="E80" s="1">
        <v>1.25</v>
      </c>
      <c r="F80" s="1">
        <f t="shared" si="16"/>
        <v>29400</v>
      </c>
      <c r="G80" s="1">
        <f t="shared" si="17"/>
        <v>438</v>
      </c>
      <c r="H80" s="1">
        <f t="shared" si="17"/>
        <v>131</v>
      </c>
      <c r="I80" s="1">
        <f t="shared" si="17"/>
        <v>131</v>
      </c>
      <c r="Q80" s="1">
        <f t="shared" ref="Q80:Q129" si="19">S80*100+T80</f>
        <v>145</v>
      </c>
      <c r="R80" s="1" t="s">
        <v>2487</v>
      </c>
      <c r="S80" s="1">
        <v>1</v>
      </c>
      <c r="T80" s="1">
        <v>45</v>
      </c>
      <c r="U80" s="1">
        <f t="shared" ref="U80:U111" si="20">LOOKUP($Q80,$A:$A,F:F)</f>
        <v>45150</v>
      </c>
      <c r="V80" s="1">
        <f t="shared" ref="V80:V111" si="21">LOOKUP($Q80,$A:$A,G:G)</f>
        <v>4300</v>
      </c>
      <c r="W80" s="1">
        <f t="shared" ref="W80:W111" si="22">LOOKUP($Q80,$A:$A,H:H)</f>
        <v>1290</v>
      </c>
      <c r="X80" s="1">
        <f t="shared" ref="X80:X111" si="23">LOOKUP($Q80,$A:$A,I:I)</f>
        <v>1290</v>
      </c>
      <c r="AE80" s="6" t="s">
        <v>2523</v>
      </c>
      <c r="AF80" s="8" t="s">
        <v>2575</v>
      </c>
    </row>
    <row r="81" spans="1:32" ht="20.100000000000001" customHeight="1">
      <c r="A81" s="1">
        <f t="shared" si="18"/>
        <v>307</v>
      </c>
      <c r="B81" s="1">
        <v>7</v>
      </c>
      <c r="D81" s="1">
        <v>8</v>
      </c>
      <c r="E81" s="1">
        <v>1.25</v>
      </c>
      <c r="F81" s="1">
        <f t="shared" si="16"/>
        <v>33600</v>
      </c>
      <c r="G81" s="1">
        <f t="shared" si="17"/>
        <v>500</v>
      </c>
      <c r="H81" s="1">
        <f t="shared" si="17"/>
        <v>150</v>
      </c>
      <c r="I81" s="1">
        <f t="shared" si="17"/>
        <v>150</v>
      </c>
      <c r="Q81" s="1">
        <f t="shared" si="19"/>
        <v>145</v>
      </c>
      <c r="R81" s="1" t="s">
        <v>2488</v>
      </c>
      <c r="S81" s="1">
        <v>1</v>
      </c>
      <c r="T81" s="1">
        <v>45</v>
      </c>
      <c r="U81" s="1">
        <f t="shared" si="20"/>
        <v>45150</v>
      </c>
      <c r="V81" s="1">
        <f t="shared" si="21"/>
        <v>4300</v>
      </c>
      <c r="W81" s="1">
        <f t="shared" si="22"/>
        <v>1290</v>
      </c>
      <c r="X81" s="1">
        <f t="shared" si="23"/>
        <v>1290</v>
      </c>
      <c r="AE81" s="6" t="s">
        <v>2524</v>
      </c>
      <c r="AF81" s="8" t="s">
        <v>2530</v>
      </c>
    </row>
    <row r="82" spans="1:32" ht="20.100000000000001" customHeight="1">
      <c r="A82" s="1">
        <f t="shared" si="18"/>
        <v>308</v>
      </c>
      <c r="B82" s="1">
        <v>8</v>
      </c>
      <c r="D82" s="1">
        <v>8</v>
      </c>
      <c r="E82" s="1">
        <v>1.25</v>
      </c>
      <c r="F82" s="1">
        <f t="shared" si="16"/>
        <v>37800</v>
      </c>
      <c r="G82" s="1">
        <f t="shared" si="17"/>
        <v>563</v>
      </c>
      <c r="H82" s="1">
        <f t="shared" si="17"/>
        <v>169</v>
      </c>
      <c r="I82" s="1">
        <f t="shared" si="17"/>
        <v>169</v>
      </c>
      <c r="Q82" s="1">
        <f t="shared" si="19"/>
        <v>145</v>
      </c>
      <c r="R82" s="1" t="s">
        <v>2489</v>
      </c>
      <c r="S82" s="1">
        <v>1</v>
      </c>
      <c r="T82" s="1">
        <v>45</v>
      </c>
      <c r="U82" s="1">
        <f t="shared" si="20"/>
        <v>45150</v>
      </c>
      <c r="V82" s="1">
        <f t="shared" si="21"/>
        <v>4300</v>
      </c>
      <c r="W82" s="1">
        <f t="shared" si="22"/>
        <v>1290</v>
      </c>
      <c r="X82" s="1">
        <f t="shared" si="23"/>
        <v>1290</v>
      </c>
      <c r="AE82" s="6" t="s">
        <v>2525</v>
      </c>
      <c r="AF82" s="8" t="s">
        <v>2530</v>
      </c>
    </row>
    <row r="83" spans="1:32" ht="20.100000000000001" customHeight="1">
      <c r="A83" s="1">
        <f t="shared" si="18"/>
        <v>309</v>
      </c>
      <c r="B83" s="1">
        <v>9</v>
      </c>
      <c r="D83" s="1">
        <v>8</v>
      </c>
      <c r="E83" s="1">
        <v>1.25</v>
      </c>
      <c r="F83" s="1">
        <f t="shared" si="16"/>
        <v>42000</v>
      </c>
      <c r="G83" s="1">
        <f t="shared" si="17"/>
        <v>625</v>
      </c>
      <c r="H83" s="1">
        <f t="shared" si="17"/>
        <v>188</v>
      </c>
      <c r="I83" s="1">
        <f t="shared" si="17"/>
        <v>188</v>
      </c>
      <c r="Q83" s="1">
        <f t="shared" si="19"/>
        <v>146</v>
      </c>
      <c r="R83" s="1" t="s">
        <v>2490</v>
      </c>
      <c r="S83" s="1">
        <v>1</v>
      </c>
      <c r="T83" s="1">
        <f t="shared" ref="T83:T112" si="24">T80+1</f>
        <v>46</v>
      </c>
      <c r="U83" s="1">
        <f t="shared" si="20"/>
        <v>46200</v>
      </c>
      <c r="V83" s="1">
        <f t="shared" si="21"/>
        <v>4400</v>
      </c>
      <c r="W83" s="1">
        <f t="shared" si="22"/>
        <v>1320</v>
      </c>
      <c r="X83" s="1">
        <f t="shared" si="23"/>
        <v>1320</v>
      </c>
      <c r="AE83" s="6" t="s">
        <v>2526</v>
      </c>
      <c r="AF83" s="8" t="s">
        <v>2576</v>
      </c>
    </row>
    <row r="84" spans="1:32" ht="20.100000000000001" customHeight="1">
      <c r="A84" s="1">
        <f t="shared" si="18"/>
        <v>310</v>
      </c>
      <c r="B84" s="1">
        <v>10</v>
      </c>
      <c r="D84" s="1">
        <v>8</v>
      </c>
      <c r="E84" s="1">
        <v>1.25</v>
      </c>
      <c r="F84" s="1">
        <f t="shared" si="16"/>
        <v>46200</v>
      </c>
      <c r="G84" s="1">
        <f t="shared" si="17"/>
        <v>688</v>
      </c>
      <c r="H84" s="1">
        <f t="shared" si="17"/>
        <v>206</v>
      </c>
      <c r="I84" s="1">
        <f t="shared" si="17"/>
        <v>206</v>
      </c>
      <c r="Q84" s="1">
        <f t="shared" si="19"/>
        <v>146</v>
      </c>
      <c r="R84" s="1" t="s">
        <v>2491</v>
      </c>
      <c r="S84" s="1">
        <v>1</v>
      </c>
      <c r="T84" s="1">
        <f t="shared" si="24"/>
        <v>46</v>
      </c>
      <c r="U84" s="1">
        <f t="shared" si="20"/>
        <v>46200</v>
      </c>
      <c r="V84" s="1">
        <f t="shared" si="21"/>
        <v>4400</v>
      </c>
      <c r="W84" s="1">
        <f t="shared" si="22"/>
        <v>1320</v>
      </c>
      <c r="X84" s="1">
        <f t="shared" si="23"/>
        <v>1320</v>
      </c>
      <c r="AE84" s="6" t="s">
        <v>2527</v>
      </c>
      <c r="AF84" s="8" t="s">
        <v>2530</v>
      </c>
    </row>
    <row r="85" spans="1:32" ht="20.100000000000001" customHeight="1">
      <c r="A85" s="1">
        <f t="shared" si="18"/>
        <v>311</v>
      </c>
      <c r="B85" s="1">
        <v>11</v>
      </c>
      <c r="D85" s="1">
        <v>8</v>
      </c>
      <c r="E85" s="1">
        <v>1.25</v>
      </c>
      <c r="F85" s="1">
        <f t="shared" si="16"/>
        <v>50400</v>
      </c>
      <c r="G85" s="1">
        <f t="shared" si="17"/>
        <v>750</v>
      </c>
      <c r="H85" s="1">
        <f t="shared" si="17"/>
        <v>225</v>
      </c>
      <c r="I85" s="1">
        <f t="shared" si="17"/>
        <v>225</v>
      </c>
      <c r="Q85" s="1">
        <f t="shared" si="19"/>
        <v>146</v>
      </c>
      <c r="R85" s="1" t="s">
        <v>2492</v>
      </c>
      <c r="S85" s="1">
        <v>1</v>
      </c>
      <c r="T85" s="1">
        <f t="shared" si="24"/>
        <v>46</v>
      </c>
      <c r="U85" s="1">
        <f t="shared" si="20"/>
        <v>46200</v>
      </c>
      <c r="V85" s="1">
        <f t="shared" si="21"/>
        <v>4400</v>
      </c>
      <c r="W85" s="1">
        <f t="shared" si="22"/>
        <v>1320</v>
      </c>
      <c r="X85" s="1">
        <f t="shared" si="23"/>
        <v>1320</v>
      </c>
      <c r="AE85" s="6" t="s">
        <v>2528</v>
      </c>
      <c r="AF85" s="8" t="s">
        <v>2530</v>
      </c>
    </row>
    <row r="86" spans="1:32" ht="20.100000000000001" customHeight="1">
      <c r="A86" s="1">
        <f t="shared" si="18"/>
        <v>312</v>
      </c>
      <c r="B86" s="1">
        <v>12</v>
      </c>
      <c r="D86" s="1">
        <v>8</v>
      </c>
      <c r="E86" s="1">
        <v>1.25</v>
      </c>
      <c r="F86" s="1">
        <f t="shared" si="16"/>
        <v>54600</v>
      </c>
      <c r="G86" s="1">
        <f t="shared" si="17"/>
        <v>813</v>
      </c>
      <c r="H86" s="1">
        <f t="shared" si="17"/>
        <v>244</v>
      </c>
      <c r="I86" s="1">
        <f t="shared" si="17"/>
        <v>244</v>
      </c>
      <c r="Q86" s="1">
        <f t="shared" si="19"/>
        <v>147</v>
      </c>
      <c r="R86" s="1" t="s">
        <v>2493</v>
      </c>
      <c r="S86" s="1">
        <v>1</v>
      </c>
      <c r="T86" s="1">
        <f t="shared" si="24"/>
        <v>47</v>
      </c>
      <c r="U86" s="1">
        <f t="shared" si="20"/>
        <v>47250</v>
      </c>
      <c r="V86" s="1">
        <f t="shared" si="21"/>
        <v>4500</v>
      </c>
      <c r="W86" s="1">
        <f t="shared" si="22"/>
        <v>1350</v>
      </c>
      <c r="X86" s="1">
        <f t="shared" si="23"/>
        <v>1350</v>
      </c>
      <c r="AE86" s="6" t="s">
        <v>2529</v>
      </c>
      <c r="AF86" s="8" t="s">
        <v>2530</v>
      </c>
    </row>
    <row r="87" spans="1:32" ht="20.100000000000001" customHeight="1">
      <c r="A87" s="1">
        <f t="shared" si="18"/>
        <v>313</v>
      </c>
      <c r="B87" s="1">
        <v>13</v>
      </c>
      <c r="D87" s="1">
        <v>8</v>
      </c>
      <c r="E87" s="1">
        <v>1.25</v>
      </c>
      <c r="F87" s="1">
        <f t="shared" si="16"/>
        <v>58800</v>
      </c>
      <c r="G87" s="1">
        <f t="shared" si="17"/>
        <v>875</v>
      </c>
      <c r="H87" s="1">
        <f t="shared" si="17"/>
        <v>263</v>
      </c>
      <c r="I87" s="1">
        <f t="shared" si="17"/>
        <v>263</v>
      </c>
      <c r="Q87" s="1">
        <f t="shared" si="19"/>
        <v>147</v>
      </c>
      <c r="R87" s="1" t="s">
        <v>2494</v>
      </c>
      <c r="S87" s="1">
        <v>1</v>
      </c>
      <c r="T87" s="1">
        <f t="shared" si="24"/>
        <v>47</v>
      </c>
      <c r="U87" s="1">
        <f t="shared" si="20"/>
        <v>47250</v>
      </c>
      <c r="V87" s="1">
        <f t="shared" si="21"/>
        <v>4500</v>
      </c>
      <c r="W87" s="1">
        <f t="shared" si="22"/>
        <v>1350</v>
      </c>
      <c r="X87" s="1">
        <f t="shared" si="23"/>
        <v>1350</v>
      </c>
      <c r="AE87" s="6" t="s">
        <v>2531</v>
      </c>
      <c r="AF87" s="8" t="s">
        <v>2530</v>
      </c>
    </row>
    <row r="88" spans="1:32" ht="20.100000000000001" customHeight="1">
      <c r="A88" s="1">
        <f t="shared" si="18"/>
        <v>314</v>
      </c>
      <c r="B88" s="1">
        <v>14</v>
      </c>
      <c r="D88" s="1">
        <v>8</v>
      </c>
      <c r="E88" s="1">
        <v>1.25</v>
      </c>
      <c r="F88" s="1">
        <f t="shared" si="16"/>
        <v>63000</v>
      </c>
      <c r="G88" s="1">
        <f t="shared" si="17"/>
        <v>938</v>
      </c>
      <c r="H88" s="1">
        <f t="shared" si="17"/>
        <v>281</v>
      </c>
      <c r="I88" s="1">
        <f t="shared" si="17"/>
        <v>281</v>
      </c>
      <c r="Q88" s="1">
        <f t="shared" si="19"/>
        <v>147</v>
      </c>
      <c r="R88" s="1" t="s">
        <v>2495</v>
      </c>
      <c r="S88" s="1">
        <v>1</v>
      </c>
      <c r="T88" s="1">
        <f t="shared" si="24"/>
        <v>47</v>
      </c>
      <c r="U88" s="1">
        <f t="shared" si="20"/>
        <v>47250</v>
      </c>
      <c r="V88" s="1">
        <f t="shared" si="21"/>
        <v>4500</v>
      </c>
      <c r="W88" s="1">
        <f t="shared" si="22"/>
        <v>1350</v>
      </c>
      <c r="X88" s="1">
        <f t="shared" si="23"/>
        <v>1350</v>
      </c>
      <c r="AE88" s="6" t="s">
        <v>2532</v>
      </c>
      <c r="AF88" s="8" t="s">
        <v>2530</v>
      </c>
    </row>
    <row r="89" spans="1:32" ht="20.100000000000001" customHeight="1">
      <c r="A89" s="1">
        <f t="shared" si="18"/>
        <v>315</v>
      </c>
      <c r="B89" s="1">
        <v>15</v>
      </c>
      <c r="D89" s="1">
        <v>8</v>
      </c>
      <c r="E89" s="1">
        <v>1.25</v>
      </c>
      <c r="F89" s="1">
        <f t="shared" si="16"/>
        <v>67200</v>
      </c>
      <c r="G89" s="1">
        <f t="shared" si="17"/>
        <v>1000</v>
      </c>
      <c r="H89" s="1">
        <f t="shared" si="17"/>
        <v>300</v>
      </c>
      <c r="I89" s="1">
        <f t="shared" si="17"/>
        <v>300</v>
      </c>
      <c r="Q89" s="1">
        <f t="shared" si="19"/>
        <v>348</v>
      </c>
      <c r="R89" s="1" t="s">
        <v>2496</v>
      </c>
      <c r="S89" s="1">
        <v>3</v>
      </c>
      <c r="T89" s="1">
        <f t="shared" si="24"/>
        <v>48</v>
      </c>
      <c r="U89" s="1">
        <f t="shared" si="20"/>
        <v>386400</v>
      </c>
      <c r="V89" s="1">
        <f t="shared" si="21"/>
        <v>5750</v>
      </c>
      <c r="W89" s="1">
        <f t="shared" si="22"/>
        <v>1725</v>
      </c>
      <c r="X89" s="1">
        <f t="shared" si="23"/>
        <v>1725</v>
      </c>
      <c r="AE89" s="6" t="s">
        <v>2533</v>
      </c>
      <c r="AF89" s="8" t="s">
        <v>2577</v>
      </c>
    </row>
    <row r="90" spans="1:32" ht="20.100000000000001" customHeight="1">
      <c r="A90" s="1">
        <f t="shared" si="18"/>
        <v>316</v>
      </c>
      <c r="B90" s="1">
        <v>16</v>
      </c>
      <c r="D90" s="1">
        <v>8</v>
      </c>
      <c r="E90" s="1">
        <v>1.25</v>
      </c>
      <c r="F90" s="1">
        <f t="shared" si="16"/>
        <v>71400</v>
      </c>
      <c r="G90" s="1">
        <f t="shared" si="17"/>
        <v>1063</v>
      </c>
      <c r="H90" s="1">
        <f t="shared" si="17"/>
        <v>319</v>
      </c>
      <c r="I90" s="1">
        <f t="shared" si="17"/>
        <v>319</v>
      </c>
      <c r="Q90" s="1">
        <f t="shared" si="19"/>
        <v>148</v>
      </c>
      <c r="R90" s="1" t="s">
        <v>2497</v>
      </c>
      <c r="S90" s="1">
        <v>1</v>
      </c>
      <c r="T90" s="1">
        <f t="shared" si="24"/>
        <v>48</v>
      </c>
      <c r="U90" s="1">
        <f t="shared" si="20"/>
        <v>48300</v>
      </c>
      <c r="V90" s="1">
        <f t="shared" si="21"/>
        <v>4600</v>
      </c>
      <c r="W90" s="1">
        <f t="shared" si="22"/>
        <v>1380</v>
      </c>
      <c r="X90" s="1">
        <f t="shared" si="23"/>
        <v>1380</v>
      </c>
      <c r="AE90" s="6" t="s">
        <v>2535</v>
      </c>
      <c r="AF90" s="8" t="s">
        <v>2530</v>
      </c>
    </row>
    <row r="91" spans="1:32" ht="20.100000000000001" customHeight="1">
      <c r="A91" s="1">
        <f t="shared" si="18"/>
        <v>317</v>
      </c>
      <c r="B91" s="1">
        <v>17</v>
      </c>
      <c r="D91" s="1">
        <v>8</v>
      </c>
      <c r="E91" s="1">
        <v>1.25</v>
      </c>
      <c r="F91" s="1">
        <f t="shared" si="16"/>
        <v>75600</v>
      </c>
      <c r="G91" s="1">
        <f t="shared" si="17"/>
        <v>1125</v>
      </c>
      <c r="H91" s="1">
        <f t="shared" si="17"/>
        <v>338</v>
      </c>
      <c r="I91" s="1">
        <f t="shared" si="17"/>
        <v>338</v>
      </c>
      <c r="Q91" s="1">
        <f t="shared" si="19"/>
        <v>148</v>
      </c>
      <c r="R91" s="1" t="s">
        <v>2498</v>
      </c>
      <c r="S91" s="1">
        <v>1</v>
      </c>
      <c r="T91" s="1">
        <f t="shared" si="24"/>
        <v>48</v>
      </c>
      <c r="U91" s="1">
        <f t="shared" si="20"/>
        <v>48300</v>
      </c>
      <c r="V91" s="1">
        <f t="shared" si="21"/>
        <v>4600</v>
      </c>
      <c r="W91" s="1">
        <f t="shared" si="22"/>
        <v>1380</v>
      </c>
      <c r="X91" s="1">
        <f t="shared" si="23"/>
        <v>1380</v>
      </c>
      <c r="AE91" s="6" t="s">
        <v>2536</v>
      </c>
      <c r="AF91" s="8" t="s">
        <v>2530</v>
      </c>
    </row>
    <row r="92" spans="1:32" ht="20.100000000000001" customHeight="1">
      <c r="A92" s="1">
        <f t="shared" si="18"/>
        <v>318</v>
      </c>
      <c r="B92" s="1">
        <v>18</v>
      </c>
      <c r="D92" s="1">
        <v>8</v>
      </c>
      <c r="E92" s="1">
        <v>1.25</v>
      </c>
      <c r="F92" s="1">
        <f t="shared" si="16"/>
        <v>79800</v>
      </c>
      <c r="G92" s="1">
        <f t="shared" si="17"/>
        <v>1188</v>
      </c>
      <c r="H92" s="1">
        <f t="shared" si="17"/>
        <v>356</v>
      </c>
      <c r="I92" s="1">
        <f t="shared" si="17"/>
        <v>356</v>
      </c>
      <c r="Q92" s="1">
        <f t="shared" si="19"/>
        <v>149</v>
      </c>
      <c r="R92" s="1" t="s">
        <v>2499</v>
      </c>
      <c r="S92" s="1">
        <v>1</v>
      </c>
      <c r="T92" s="1">
        <f t="shared" si="24"/>
        <v>49</v>
      </c>
      <c r="U92" s="1">
        <f t="shared" si="20"/>
        <v>49350</v>
      </c>
      <c r="V92" s="1">
        <f t="shared" si="21"/>
        <v>4700</v>
      </c>
      <c r="W92" s="1">
        <f t="shared" si="22"/>
        <v>1410</v>
      </c>
      <c r="X92" s="1">
        <f t="shared" si="23"/>
        <v>1410</v>
      </c>
      <c r="AE92" s="6" t="s">
        <v>2537</v>
      </c>
      <c r="AF92" s="8" t="s">
        <v>2530</v>
      </c>
    </row>
    <row r="93" spans="1:32" ht="20.100000000000001" customHeight="1">
      <c r="A93" s="1">
        <f t="shared" si="18"/>
        <v>319</v>
      </c>
      <c r="B93" s="1">
        <v>19</v>
      </c>
      <c r="D93" s="1">
        <v>8</v>
      </c>
      <c r="E93" s="1">
        <v>1.25</v>
      </c>
      <c r="F93" s="1">
        <f t="shared" si="16"/>
        <v>84000</v>
      </c>
      <c r="G93" s="1">
        <f t="shared" si="17"/>
        <v>1250</v>
      </c>
      <c r="H93" s="1">
        <f t="shared" si="17"/>
        <v>375</v>
      </c>
      <c r="I93" s="1">
        <f t="shared" si="17"/>
        <v>375</v>
      </c>
      <c r="Q93" s="1">
        <f t="shared" si="19"/>
        <v>149</v>
      </c>
      <c r="R93" s="1" t="s">
        <v>2500</v>
      </c>
      <c r="S93" s="1">
        <v>1</v>
      </c>
      <c r="T93" s="1">
        <f t="shared" si="24"/>
        <v>49</v>
      </c>
      <c r="U93" s="1">
        <f t="shared" si="20"/>
        <v>49350</v>
      </c>
      <c r="V93" s="1">
        <f t="shared" si="21"/>
        <v>4700</v>
      </c>
      <c r="W93" s="1">
        <f t="shared" si="22"/>
        <v>1410</v>
      </c>
      <c r="X93" s="1">
        <f t="shared" si="23"/>
        <v>1410</v>
      </c>
      <c r="AE93" s="6" t="s">
        <v>2539</v>
      </c>
      <c r="AF93" s="8" t="s">
        <v>2578</v>
      </c>
    </row>
    <row r="94" spans="1:32" ht="20.100000000000001" customHeight="1">
      <c r="A94" s="1">
        <f t="shared" si="18"/>
        <v>320</v>
      </c>
      <c r="B94" s="1">
        <v>20</v>
      </c>
      <c r="D94" s="1">
        <v>8</v>
      </c>
      <c r="E94" s="1">
        <v>1.25</v>
      </c>
      <c r="F94" s="1">
        <f t="shared" si="16"/>
        <v>88200</v>
      </c>
      <c r="G94" s="1">
        <f t="shared" si="17"/>
        <v>1313</v>
      </c>
      <c r="H94" s="1">
        <f t="shared" si="17"/>
        <v>394</v>
      </c>
      <c r="I94" s="1">
        <f t="shared" si="17"/>
        <v>394</v>
      </c>
      <c r="Q94" s="1">
        <f t="shared" si="19"/>
        <v>149</v>
      </c>
      <c r="R94" s="1" t="s">
        <v>2501</v>
      </c>
      <c r="S94" s="1">
        <v>1</v>
      </c>
      <c r="T94" s="1">
        <f t="shared" si="24"/>
        <v>49</v>
      </c>
      <c r="U94" s="1">
        <f t="shared" si="20"/>
        <v>49350</v>
      </c>
      <c r="V94" s="1">
        <f t="shared" si="21"/>
        <v>4700</v>
      </c>
      <c r="W94" s="1">
        <f t="shared" si="22"/>
        <v>1410</v>
      </c>
      <c r="X94" s="1">
        <f t="shared" si="23"/>
        <v>1410</v>
      </c>
      <c r="AE94" s="6" t="s">
        <v>2540</v>
      </c>
      <c r="AF94" s="8" t="s">
        <v>2530</v>
      </c>
    </row>
    <row r="95" spans="1:32" ht="20.100000000000001" customHeight="1">
      <c r="A95" s="1">
        <f t="shared" si="18"/>
        <v>321</v>
      </c>
      <c r="B95" s="1">
        <v>21</v>
      </c>
      <c r="D95" s="1">
        <v>8</v>
      </c>
      <c r="E95" s="1">
        <v>1.25</v>
      </c>
      <c r="F95" s="1">
        <f t="shared" si="16"/>
        <v>92400</v>
      </c>
      <c r="G95" s="1">
        <f t="shared" ref="G95:I114" si="25">ROUND($E95*G22,0)</f>
        <v>1375</v>
      </c>
      <c r="H95" s="1">
        <f t="shared" si="25"/>
        <v>413</v>
      </c>
      <c r="I95" s="1">
        <f t="shared" si="25"/>
        <v>413</v>
      </c>
      <c r="Q95" s="1">
        <f t="shared" si="19"/>
        <v>150</v>
      </c>
      <c r="R95" s="1" t="s">
        <v>2502</v>
      </c>
      <c r="S95" s="1">
        <v>1</v>
      </c>
      <c r="T95" s="1">
        <f t="shared" si="24"/>
        <v>50</v>
      </c>
      <c r="U95" s="1">
        <f t="shared" si="20"/>
        <v>50400</v>
      </c>
      <c r="V95" s="1">
        <f t="shared" si="21"/>
        <v>4800</v>
      </c>
      <c r="W95" s="1">
        <f t="shared" si="22"/>
        <v>1440</v>
      </c>
      <c r="X95" s="1">
        <f t="shared" si="23"/>
        <v>1440</v>
      </c>
      <c r="AE95" s="6" t="s">
        <v>2535</v>
      </c>
      <c r="AF95" s="8" t="s">
        <v>2530</v>
      </c>
    </row>
    <row r="96" spans="1:32" ht="20.100000000000001" customHeight="1">
      <c r="A96" s="1">
        <f t="shared" si="18"/>
        <v>322</v>
      </c>
      <c r="B96" s="1">
        <v>22</v>
      </c>
      <c r="D96" s="1">
        <v>8</v>
      </c>
      <c r="E96" s="1">
        <v>1.25</v>
      </c>
      <c r="F96" s="1">
        <f t="shared" si="16"/>
        <v>100800</v>
      </c>
      <c r="G96" s="1">
        <f t="shared" si="25"/>
        <v>1500</v>
      </c>
      <c r="H96" s="1">
        <f t="shared" si="25"/>
        <v>450</v>
      </c>
      <c r="I96" s="1">
        <f t="shared" si="25"/>
        <v>450</v>
      </c>
      <c r="Q96" s="1">
        <f t="shared" si="19"/>
        <v>150</v>
      </c>
      <c r="R96" s="1" t="s">
        <v>2503</v>
      </c>
      <c r="S96" s="1">
        <v>1</v>
      </c>
      <c r="T96" s="1">
        <f t="shared" si="24"/>
        <v>50</v>
      </c>
      <c r="U96" s="1">
        <f t="shared" si="20"/>
        <v>50400</v>
      </c>
      <c r="V96" s="1">
        <f t="shared" si="21"/>
        <v>4800</v>
      </c>
      <c r="W96" s="1">
        <f t="shared" si="22"/>
        <v>1440</v>
      </c>
      <c r="X96" s="1">
        <f t="shared" si="23"/>
        <v>1440</v>
      </c>
      <c r="AE96" s="6" t="s">
        <v>2542</v>
      </c>
      <c r="AF96" s="8" t="s">
        <v>2579</v>
      </c>
    </row>
    <row r="97" spans="1:32" ht="20.100000000000001" customHeight="1">
      <c r="A97" s="1">
        <f t="shared" si="18"/>
        <v>323</v>
      </c>
      <c r="B97" s="1">
        <v>23</v>
      </c>
      <c r="D97" s="1">
        <v>8</v>
      </c>
      <c r="E97" s="1">
        <v>1.25</v>
      </c>
      <c r="F97" s="1">
        <f t="shared" si="16"/>
        <v>109200</v>
      </c>
      <c r="G97" s="1">
        <f t="shared" si="25"/>
        <v>1625</v>
      </c>
      <c r="H97" s="1">
        <f t="shared" si="25"/>
        <v>488</v>
      </c>
      <c r="I97" s="1">
        <f t="shared" si="25"/>
        <v>488</v>
      </c>
      <c r="Q97" s="1">
        <f t="shared" si="19"/>
        <v>150</v>
      </c>
      <c r="R97" s="1" t="s">
        <v>2504</v>
      </c>
      <c r="S97" s="1">
        <v>1</v>
      </c>
      <c r="T97" s="1">
        <f t="shared" si="24"/>
        <v>50</v>
      </c>
      <c r="U97" s="1">
        <f t="shared" si="20"/>
        <v>50400</v>
      </c>
      <c r="V97" s="1">
        <f t="shared" si="21"/>
        <v>4800</v>
      </c>
      <c r="W97" s="1">
        <f t="shared" si="22"/>
        <v>1440</v>
      </c>
      <c r="X97" s="1">
        <f t="shared" si="23"/>
        <v>1440</v>
      </c>
      <c r="AE97" s="6" t="s">
        <v>2543</v>
      </c>
      <c r="AF97" s="8" t="s">
        <v>2530</v>
      </c>
    </row>
    <row r="98" spans="1:32" ht="20.100000000000001" customHeight="1">
      <c r="A98" s="1">
        <f t="shared" si="18"/>
        <v>324</v>
      </c>
      <c r="B98" s="1">
        <v>24</v>
      </c>
      <c r="D98" s="1">
        <v>8</v>
      </c>
      <c r="E98" s="1">
        <v>1.25</v>
      </c>
      <c r="F98" s="1">
        <f t="shared" si="16"/>
        <v>117600</v>
      </c>
      <c r="G98" s="1">
        <f t="shared" si="25"/>
        <v>1750</v>
      </c>
      <c r="H98" s="1">
        <f t="shared" si="25"/>
        <v>525</v>
      </c>
      <c r="I98" s="1">
        <f t="shared" si="25"/>
        <v>525</v>
      </c>
      <c r="Q98" s="1">
        <f t="shared" si="19"/>
        <v>151</v>
      </c>
      <c r="R98" s="1" t="s">
        <v>2505</v>
      </c>
      <c r="S98" s="1">
        <v>1</v>
      </c>
      <c r="T98" s="1">
        <f t="shared" si="24"/>
        <v>51</v>
      </c>
      <c r="U98" s="1">
        <f t="shared" si="20"/>
        <v>55650</v>
      </c>
      <c r="V98" s="1">
        <f t="shared" si="21"/>
        <v>5300</v>
      </c>
      <c r="W98" s="1">
        <f t="shared" si="22"/>
        <v>1590</v>
      </c>
      <c r="X98" s="1">
        <f t="shared" si="23"/>
        <v>1590</v>
      </c>
      <c r="AE98" s="6" t="s">
        <v>2544</v>
      </c>
      <c r="AF98" s="8" t="s">
        <v>2530</v>
      </c>
    </row>
    <row r="99" spans="1:32" ht="20.100000000000001" customHeight="1">
      <c r="A99" s="1">
        <f t="shared" si="18"/>
        <v>325</v>
      </c>
      <c r="B99" s="1">
        <v>25</v>
      </c>
      <c r="D99" s="1">
        <v>8</v>
      </c>
      <c r="E99" s="1">
        <v>1.25</v>
      </c>
      <c r="F99" s="1">
        <f t="shared" si="16"/>
        <v>126000</v>
      </c>
      <c r="G99" s="1">
        <f t="shared" si="25"/>
        <v>1875</v>
      </c>
      <c r="H99" s="1">
        <f t="shared" si="25"/>
        <v>563</v>
      </c>
      <c r="I99" s="1">
        <f t="shared" si="25"/>
        <v>563</v>
      </c>
      <c r="Q99" s="1">
        <f t="shared" si="19"/>
        <v>351</v>
      </c>
      <c r="R99" s="1" t="s">
        <v>2506</v>
      </c>
      <c r="S99" s="1">
        <v>3</v>
      </c>
      <c r="T99" s="1">
        <f t="shared" si="24"/>
        <v>51</v>
      </c>
      <c r="U99" s="1">
        <f t="shared" si="20"/>
        <v>445200</v>
      </c>
      <c r="V99" s="1">
        <f t="shared" si="21"/>
        <v>6625</v>
      </c>
      <c r="W99" s="1">
        <f t="shared" si="22"/>
        <v>1988</v>
      </c>
      <c r="X99" s="1">
        <f t="shared" si="23"/>
        <v>1988</v>
      </c>
      <c r="AE99" s="6" t="s">
        <v>2546</v>
      </c>
      <c r="AF99" s="8" t="s">
        <v>2580</v>
      </c>
    </row>
    <row r="100" spans="1:32" ht="20.100000000000001" customHeight="1">
      <c r="A100" s="1">
        <f t="shared" si="18"/>
        <v>326</v>
      </c>
      <c r="B100" s="1">
        <v>26</v>
      </c>
      <c r="D100" s="1">
        <v>8</v>
      </c>
      <c r="E100" s="1">
        <v>1.25</v>
      </c>
      <c r="F100" s="1">
        <f t="shared" si="16"/>
        <v>134400</v>
      </c>
      <c r="G100" s="1">
        <f t="shared" si="25"/>
        <v>2000</v>
      </c>
      <c r="H100" s="1">
        <f t="shared" si="25"/>
        <v>600</v>
      </c>
      <c r="I100" s="1">
        <f t="shared" si="25"/>
        <v>600</v>
      </c>
      <c r="Q100" s="1">
        <f t="shared" si="19"/>
        <v>151</v>
      </c>
      <c r="R100" s="1" t="s">
        <v>2507</v>
      </c>
      <c r="S100" s="1">
        <v>1</v>
      </c>
      <c r="T100" s="1">
        <f t="shared" si="24"/>
        <v>51</v>
      </c>
      <c r="U100" s="1">
        <f t="shared" si="20"/>
        <v>55650</v>
      </c>
      <c r="V100" s="1">
        <f t="shared" si="21"/>
        <v>5300</v>
      </c>
      <c r="W100" s="1">
        <f t="shared" si="22"/>
        <v>1590</v>
      </c>
      <c r="X100" s="1">
        <f t="shared" si="23"/>
        <v>1590</v>
      </c>
      <c r="AE100" s="6" t="s">
        <v>2547</v>
      </c>
      <c r="AF100" s="8" t="s">
        <v>2530</v>
      </c>
    </row>
    <row r="101" spans="1:32" ht="20.100000000000001" customHeight="1">
      <c r="A101" s="1">
        <f t="shared" si="18"/>
        <v>327</v>
      </c>
      <c r="B101" s="1">
        <v>27</v>
      </c>
      <c r="D101" s="1">
        <v>8</v>
      </c>
      <c r="E101" s="1">
        <v>1.25</v>
      </c>
      <c r="F101" s="1">
        <f t="shared" si="16"/>
        <v>142800</v>
      </c>
      <c r="G101" s="1">
        <f t="shared" si="25"/>
        <v>2125</v>
      </c>
      <c r="H101" s="1">
        <f t="shared" si="25"/>
        <v>638</v>
      </c>
      <c r="I101" s="1">
        <f t="shared" si="25"/>
        <v>638</v>
      </c>
      <c r="Q101" s="1">
        <f t="shared" si="19"/>
        <v>152</v>
      </c>
      <c r="R101" s="1" t="s">
        <v>2508</v>
      </c>
      <c r="S101" s="1">
        <v>1</v>
      </c>
      <c r="T101" s="1">
        <f t="shared" si="24"/>
        <v>52</v>
      </c>
      <c r="U101" s="1">
        <f t="shared" si="20"/>
        <v>56700</v>
      </c>
      <c r="V101" s="1">
        <f t="shared" si="21"/>
        <v>5400</v>
      </c>
      <c r="W101" s="1">
        <f t="shared" si="22"/>
        <v>1620</v>
      </c>
      <c r="X101" s="1">
        <f t="shared" si="23"/>
        <v>1620</v>
      </c>
      <c r="AE101" s="6" t="s">
        <v>2548</v>
      </c>
      <c r="AF101" s="8" t="s">
        <v>2530</v>
      </c>
    </row>
    <row r="102" spans="1:32" ht="20.100000000000001" customHeight="1">
      <c r="A102" s="1">
        <f t="shared" si="18"/>
        <v>328</v>
      </c>
      <c r="B102" s="1">
        <v>28</v>
      </c>
      <c r="D102" s="1">
        <v>8</v>
      </c>
      <c r="E102" s="1">
        <v>1.25</v>
      </c>
      <c r="F102" s="1">
        <f t="shared" si="16"/>
        <v>151200</v>
      </c>
      <c r="G102" s="1">
        <f t="shared" si="25"/>
        <v>2250</v>
      </c>
      <c r="H102" s="1">
        <f t="shared" si="25"/>
        <v>675</v>
      </c>
      <c r="I102" s="1">
        <f t="shared" si="25"/>
        <v>675</v>
      </c>
      <c r="Q102" s="1">
        <f t="shared" si="19"/>
        <v>152</v>
      </c>
      <c r="R102" s="1" t="s">
        <v>2509</v>
      </c>
      <c r="S102" s="1">
        <v>1</v>
      </c>
      <c r="T102" s="1">
        <f t="shared" si="24"/>
        <v>52</v>
      </c>
      <c r="U102" s="1">
        <f t="shared" si="20"/>
        <v>56700</v>
      </c>
      <c r="V102" s="1">
        <f t="shared" si="21"/>
        <v>5400</v>
      </c>
      <c r="W102" s="1">
        <f t="shared" si="22"/>
        <v>1620</v>
      </c>
      <c r="X102" s="1">
        <f t="shared" si="23"/>
        <v>1620</v>
      </c>
      <c r="AE102" s="6" t="s">
        <v>2549</v>
      </c>
      <c r="AF102" s="8" t="s">
        <v>2530</v>
      </c>
    </row>
    <row r="103" spans="1:32" ht="20.100000000000001" customHeight="1">
      <c r="A103" s="1">
        <f t="shared" si="18"/>
        <v>329</v>
      </c>
      <c r="B103" s="1">
        <v>29</v>
      </c>
      <c r="D103" s="1">
        <v>8</v>
      </c>
      <c r="E103" s="1">
        <v>1.25</v>
      </c>
      <c r="F103" s="1">
        <f t="shared" si="16"/>
        <v>159600</v>
      </c>
      <c r="G103" s="1">
        <f t="shared" si="25"/>
        <v>2375</v>
      </c>
      <c r="H103" s="1">
        <f t="shared" si="25"/>
        <v>713</v>
      </c>
      <c r="I103" s="1">
        <f t="shared" si="25"/>
        <v>713</v>
      </c>
      <c r="Q103" s="1">
        <f t="shared" si="19"/>
        <v>152</v>
      </c>
      <c r="R103" s="1" t="s">
        <v>2510</v>
      </c>
      <c r="S103" s="1">
        <v>1</v>
      </c>
      <c r="T103" s="1">
        <f t="shared" si="24"/>
        <v>52</v>
      </c>
      <c r="U103" s="1">
        <f t="shared" si="20"/>
        <v>56700</v>
      </c>
      <c r="V103" s="1">
        <f t="shared" si="21"/>
        <v>5400</v>
      </c>
      <c r="W103" s="1">
        <f t="shared" si="22"/>
        <v>1620</v>
      </c>
      <c r="X103" s="1">
        <f t="shared" si="23"/>
        <v>1620</v>
      </c>
      <c r="AE103" s="6" t="s">
        <v>2550</v>
      </c>
      <c r="AF103" s="8" t="s">
        <v>2581</v>
      </c>
    </row>
    <row r="104" spans="1:32" ht="20.100000000000001" customHeight="1">
      <c r="A104" s="1">
        <f t="shared" si="18"/>
        <v>330</v>
      </c>
      <c r="B104" s="1">
        <v>30</v>
      </c>
      <c r="D104" s="1">
        <v>8</v>
      </c>
      <c r="E104" s="1">
        <v>1.25</v>
      </c>
      <c r="F104" s="1">
        <f t="shared" si="16"/>
        <v>168000</v>
      </c>
      <c r="G104" s="1">
        <f t="shared" si="25"/>
        <v>2500</v>
      </c>
      <c r="H104" s="1">
        <f t="shared" si="25"/>
        <v>750</v>
      </c>
      <c r="I104" s="1">
        <f t="shared" si="25"/>
        <v>750</v>
      </c>
      <c r="Q104" s="1">
        <f t="shared" si="19"/>
        <v>153</v>
      </c>
      <c r="R104" s="1" t="s">
        <v>2511</v>
      </c>
      <c r="S104" s="1">
        <v>1</v>
      </c>
      <c r="T104" s="1">
        <f t="shared" si="24"/>
        <v>53</v>
      </c>
      <c r="U104" s="1">
        <f t="shared" si="20"/>
        <v>57750</v>
      </c>
      <c r="V104" s="1">
        <f t="shared" si="21"/>
        <v>5500</v>
      </c>
      <c r="W104" s="1">
        <f t="shared" si="22"/>
        <v>1650</v>
      </c>
      <c r="X104" s="1">
        <f t="shared" si="23"/>
        <v>1650</v>
      </c>
      <c r="AE104" s="6" t="s">
        <v>2552</v>
      </c>
      <c r="AF104" s="8" t="s">
        <v>2530</v>
      </c>
    </row>
    <row r="105" spans="1:32" ht="20.100000000000001" customHeight="1">
      <c r="A105" s="1">
        <f t="shared" si="18"/>
        <v>331</v>
      </c>
      <c r="B105" s="1">
        <v>31</v>
      </c>
      <c r="D105" s="1">
        <v>8</v>
      </c>
      <c r="E105" s="1">
        <v>1.25</v>
      </c>
      <c r="F105" s="1">
        <f t="shared" si="16"/>
        <v>210000</v>
      </c>
      <c r="G105" s="1">
        <f t="shared" si="25"/>
        <v>3125</v>
      </c>
      <c r="H105" s="1">
        <f t="shared" si="25"/>
        <v>938</v>
      </c>
      <c r="I105" s="1">
        <f t="shared" si="25"/>
        <v>938</v>
      </c>
      <c r="Q105" s="1">
        <f t="shared" si="19"/>
        <v>153</v>
      </c>
      <c r="R105" s="1" t="s">
        <v>2512</v>
      </c>
      <c r="S105" s="1">
        <v>1</v>
      </c>
      <c r="T105" s="1">
        <f t="shared" si="24"/>
        <v>53</v>
      </c>
      <c r="U105" s="1">
        <f t="shared" si="20"/>
        <v>57750</v>
      </c>
      <c r="V105" s="1">
        <f t="shared" si="21"/>
        <v>5500</v>
      </c>
      <c r="W105" s="1">
        <f t="shared" si="22"/>
        <v>1650</v>
      </c>
      <c r="X105" s="1">
        <f t="shared" si="23"/>
        <v>1650</v>
      </c>
      <c r="AE105" s="6" t="s">
        <v>2554</v>
      </c>
      <c r="AF105" s="8" t="s">
        <v>2530</v>
      </c>
    </row>
    <row r="106" spans="1:32" ht="20.100000000000001" customHeight="1">
      <c r="A106" s="1">
        <f t="shared" si="18"/>
        <v>332</v>
      </c>
      <c r="B106" s="1">
        <v>32</v>
      </c>
      <c r="D106" s="1">
        <v>8</v>
      </c>
      <c r="E106" s="1">
        <v>1.25</v>
      </c>
      <c r="F106" s="1">
        <f t="shared" si="16"/>
        <v>218400</v>
      </c>
      <c r="G106" s="1">
        <f t="shared" si="25"/>
        <v>3250</v>
      </c>
      <c r="H106" s="1">
        <f t="shared" si="25"/>
        <v>975</v>
      </c>
      <c r="I106" s="1">
        <f t="shared" si="25"/>
        <v>975</v>
      </c>
      <c r="Q106" s="1">
        <f t="shared" si="19"/>
        <v>153</v>
      </c>
      <c r="R106" s="1" t="s">
        <v>2513</v>
      </c>
      <c r="S106" s="1">
        <v>1</v>
      </c>
      <c r="T106" s="1">
        <f t="shared" si="24"/>
        <v>53</v>
      </c>
      <c r="U106" s="1">
        <f t="shared" si="20"/>
        <v>57750</v>
      </c>
      <c r="V106" s="1">
        <f t="shared" si="21"/>
        <v>5500</v>
      </c>
      <c r="W106" s="1">
        <f t="shared" si="22"/>
        <v>1650</v>
      </c>
      <c r="X106" s="1">
        <f t="shared" si="23"/>
        <v>1650</v>
      </c>
      <c r="AE106" s="6" t="s">
        <v>2555</v>
      </c>
      <c r="AF106" s="8" t="s">
        <v>2582</v>
      </c>
    </row>
    <row r="107" spans="1:32" ht="20.100000000000001" customHeight="1">
      <c r="A107" s="1">
        <f t="shared" si="18"/>
        <v>333</v>
      </c>
      <c r="B107" s="1">
        <v>33</v>
      </c>
      <c r="D107" s="1">
        <v>8</v>
      </c>
      <c r="E107" s="1">
        <v>1.25</v>
      </c>
      <c r="F107" s="1">
        <f t="shared" ref="F107:F138" si="26">D107*F34</f>
        <v>226800</v>
      </c>
      <c r="G107" s="1">
        <f t="shared" si="25"/>
        <v>3375</v>
      </c>
      <c r="H107" s="1">
        <f t="shared" si="25"/>
        <v>1013</v>
      </c>
      <c r="I107" s="1">
        <f t="shared" si="25"/>
        <v>1013</v>
      </c>
      <c r="Q107" s="1">
        <f t="shared" si="19"/>
        <v>154</v>
      </c>
      <c r="R107" s="1" t="s">
        <v>2514</v>
      </c>
      <c r="S107" s="1">
        <v>1</v>
      </c>
      <c r="T107" s="1">
        <f t="shared" si="24"/>
        <v>54</v>
      </c>
      <c r="U107" s="1">
        <f t="shared" si="20"/>
        <v>58800</v>
      </c>
      <c r="V107" s="1">
        <f t="shared" si="21"/>
        <v>5600</v>
      </c>
      <c r="W107" s="1">
        <f t="shared" si="22"/>
        <v>1680</v>
      </c>
      <c r="X107" s="1">
        <f t="shared" si="23"/>
        <v>1680</v>
      </c>
      <c r="AE107" s="6" t="s">
        <v>2556</v>
      </c>
      <c r="AF107" s="8" t="s">
        <v>2530</v>
      </c>
    </row>
    <row r="108" spans="1:32" ht="20.100000000000001" customHeight="1">
      <c r="A108" s="1">
        <f t="shared" si="18"/>
        <v>334</v>
      </c>
      <c r="B108" s="1">
        <v>34</v>
      </c>
      <c r="D108" s="1">
        <v>8</v>
      </c>
      <c r="E108" s="1">
        <v>1.25</v>
      </c>
      <c r="F108" s="1">
        <f t="shared" si="26"/>
        <v>235200</v>
      </c>
      <c r="G108" s="1">
        <f t="shared" si="25"/>
        <v>3500</v>
      </c>
      <c r="H108" s="1">
        <f t="shared" si="25"/>
        <v>1050</v>
      </c>
      <c r="I108" s="1">
        <f t="shared" si="25"/>
        <v>1050</v>
      </c>
      <c r="Q108" s="1">
        <f t="shared" si="19"/>
        <v>154</v>
      </c>
      <c r="R108" s="1" t="s">
        <v>2515</v>
      </c>
      <c r="S108" s="1">
        <v>1</v>
      </c>
      <c r="T108" s="1">
        <f t="shared" si="24"/>
        <v>54</v>
      </c>
      <c r="U108" s="1">
        <f t="shared" si="20"/>
        <v>58800</v>
      </c>
      <c r="V108" s="1">
        <f t="shared" si="21"/>
        <v>5600</v>
      </c>
      <c r="W108" s="1">
        <f t="shared" si="22"/>
        <v>1680</v>
      </c>
      <c r="X108" s="1">
        <f t="shared" si="23"/>
        <v>1680</v>
      </c>
      <c r="AE108" s="6" t="s">
        <v>2558</v>
      </c>
      <c r="AF108" s="8" t="s">
        <v>2530</v>
      </c>
    </row>
    <row r="109" spans="1:32" ht="20.100000000000001" customHeight="1">
      <c r="A109" s="1">
        <f t="shared" si="18"/>
        <v>335</v>
      </c>
      <c r="B109" s="1">
        <v>35</v>
      </c>
      <c r="D109" s="1">
        <v>8</v>
      </c>
      <c r="E109" s="1">
        <v>1.25</v>
      </c>
      <c r="F109" s="1">
        <f t="shared" si="26"/>
        <v>243600</v>
      </c>
      <c r="G109" s="1">
        <f t="shared" si="25"/>
        <v>3625</v>
      </c>
      <c r="H109" s="1">
        <f t="shared" si="25"/>
        <v>1088</v>
      </c>
      <c r="I109" s="1">
        <f t="shared" si="25"/>
        <v>1088</v>
      </c>
      <c r="Q109" s="1">
        <f t="shared" si="19"/>
        <v>354</v>
      </c>
      <c r="R109" s="1" t="s">
        <v>2516</v>
      </c>
      <c r="S109" s="1">
        <v>3</v>
      </c>
      <c r="T109" s="1">
        <f t="shared" si="24"/>
        <v>54</v>
      </c>
      <c r="U109" s="1">
        <f t="shared" si="20"/>
        <v>470400</v>
      </c>
      <c r="V109" s="1">
        <f t="shared" si="21"/>
        <v>7000</v>
      </c>
      <c r="W109" s="1">
        <f t="shared" si="22"/>
        <v>2100</v>
      </c>
      <c r="X109" s="1">
        <f t="shared" si="23"/>
        <v>2100</v>
      </c>
      <c r="AE109" s="6" t="s">
        <v>2559</v>
      </c>
      <c r="AF109" s="8" t="s">
        <v>2583</v>
      </c>
    </row>
    <row r="110" spans="1:32" ht="20.100000000000001" customHeight="1">
      <c r="A110" s="1">
        <f t="shared" si="18"/>
        <v>336</v>
      </c>
      <c r="B110" s="1">
        <v>36</v>
      </c>
      <c r="D110" s="1">
        <v>8</v>
      </c>
      <c r="E110" s="1">
        <v>1.25</v>
      </c>
      <c r="F110" s="1">
        <f t="shared" si="26"/>
        <v>252000</v>
      </c>
      <c r="G110" s="1">
        <f t="shared" si="25"/>
        <v>3750</v>
      </c>
      <c r="H110" s="1">
        <f t="shared" si="25"/>
        <v>1125</v>
      </c>
      <c r="I110" s="1">
        <f t="shared" si="25"/>
        <v>1125</v>
      </c>
      <c r="Q110" s="1">
        <f t="shared" si="19"/>
        <v>155</v>
      </c>
      <c r="R110" s="1" t="s">
        <v>2517</v>
      </c>
      <c r="S110" s="1">
        <v>1</v>
      </c>
      <c r="T110" s="1">
        <f t="shared" si="24"/>
        <v>55</v>
      </c>
      <c r="U110" s="1">
        <f t="shared" si="20"/>
        <v>59850</v>
      </c>
      <c r="V110" s="1">
        <f t="shared" si="21"/>
        <v>5700</v>
      </c>
      <c r="W110" s="1">
        <f t="shared" si="22"/>
        <v>1710</v>
      </c>
      <c r="X110" s="1">
        <f t="shared" si="23"/>
        <v>1710</v>
      </c>
      <c r="AE110" s="6" t="s">
        <v>2560</v>
      </c>
      <c r="AF110" s="8" t="s">
        <v>2584</v>
      </c>
    </row>
    <row r="111" spans="1:32" ht="20.100000000000001" customHeight="1">
      <c r="A111" s="1">
        <f t="shared" si="18"/>
        <v>337</v>
      </c>
      <c r="B111" s="1">
        <v>37</v>
      </c>
      <c r="D111" s="1">
        <v>8</v>
      </c>
      <c r="E111" s="1">
        <v>1.25</v>
      </c>
      <c r="F111" s="1">
        <f t="shared" si="26"/>
        <v>260400</v>
      </c>
      <c r="G111" s="1">
        <f t="shared" si="25"/>
        <v>3875</v>
      </c>
      <c r="H111" s="1">
        <f t="shared" si="25"/>
        <v>1163</v>
      </c>
      <c r="I111" s="1">
        <f t="shared" si="25"/>
        <v>1163</v>
      </c>
      <c r="Q111" s="1">
        <f t="shared" si="19"/>
        <v>155</v>
      </c>
      <c r="R111" s="1" t="s">
        <v>2518</v>
      </c>
      <c r="S111" s="1">
        <v>1</v>
      </c>
      <c r="T111" s="1">
        <f t="shared" si="24"/>
        <v>55</v>
      </c>
      <c r="U111" s="1">
        <f t="shared" si="20"/>
        <v>59850</v>
      </c>
      <c r="V111" s="1">
        <f t="shared" si="21"/>
        <v>5700</v>
      </c>
      <c r="W111" s="1">
        <f t="shared" si="22"/>
        <v>1710</v>
      </c>
      <c r="X111" s="1">
        <f t="shared" si="23"/>
        <v>1710</v>
      </c>
      <c r="AE111" s="6" t="s">
        <v>2562</v>
      </c>
      <c r="AF111" s="8" t="s">
        <v>2530</v>
      </c>
    </row>
    <row r="112" spans="1:32" ht="20.100000000000001" customHeight="1">
      <c r="A112" s="1">
        <f t="shared" si="18"/>
        <v>338</v>
      </c>
      <c r="B112" s="1">
        <v>38</v>
      </c>
      <c r="D112" s="1">
        <v>8</v>
      </c>
      <c r="E112" s="1">
        <v>1.25</v>
      </c>
      <c r="F112" s="1">
        <f t="shared" si="26"/>
        <v>268800</v>
      </c>
      <c r="G112" s="1">
        <f t="shared" si="25"/>
        <v>4000</v>
      </c>
      <c r="H112" s="1">
        <f t="shared" si="25"/>
        <v>1200</v>
      </c>
      <c r="I112" s="1">
        <f t="shared" si="25"/>
        <v>1200</v>
      </c>
      <c r="Q112" s="1">
        <f t="shared" si="19"/>
        <v>155</v>
      </c>
      <c r="R112" s="1" t="s">
        <v>2519</v>
      </c>
      <c r="S112" s="1">
        <v>1</v>
      </c>
      <c r="T112" s="1">
        <f t="shared" si="24"/>
        <v>55</v>
      </c>
      <c r="U112" s="1">
        <f t="shared" ref="U112:U129" si="27">LOOKUP($Q112,$A:$A,F:F)</f>
        <v>59850</v>
      </c>
      <c r="V112" s="1">
        <f t="shared" ref="V112:V129" si="28">LOOKUP($Q112,$A:$A,G:G)</f>
        <v>5700</v>
      </c>
      <c r="W112" s="1">
        <f t="shared" ref="W112:W129" si="29">LOOKUP($Q112,$A:$A,H:H)</f>
        <v>1710</v>
      </c>
      <c r="X112" s="1">
        <f t="shared" ref="X112:X129" si="30">LOOKUP($Q112,$A:$A,I:I)</f>
        <v>1710</v>
      </c>
      <c r="AE112" s="11" t="s">
        <v>2563</v>
      </c>
      <c r="AF112" s="12" t="s">
        <v>2530</v>
      </c>
    </row>
    <row r="113" spans="1:32" ht="20.100000000000001" customHeight="1">
      <c r="A113" s="1">
        <f t="shared" si="18"/>
        <v>339</v>
      </c>
      <c r="B113" s="1">
        <v>39</v>
      </c>
      <c r="D113" s="1">
        <v>8</v>
      </c>
      <c r="E113" s="1">
        <v>1.25</v>
      </c>
      <c r="F113" s="1">
        <f t="shared" si="26"/>
        <v>277200</v>
      </c>
      <c r="G113" s="1">
        <f t="shared" si="25"/>
        <v>4125</v>
      </c>
      <c r="H113" s="1">
        <f t="shared" si="25"/>
        <v>1238</v>
      </c>
      <c r="I113" s="1">
        <f t="shared" si="25"/>
        <v>1238</v>
      </c>
      <c r="Q113" s="1">
        <f t="shared" si="19"/>
        <v>155</v>
      </c>
      <c r="R113" s="1" t="s">
        <v>2520</v>
      </c>
      <c r="S113" s="1">
        <v>1</v>
      </c>
      <c r="T113" s="1">
        <v>55</v>
      </c>
      <c r="U113" s="1">
        <f t="shared" si="27"/>
        <v>59850</v>
      </c>
      <c r="V113" s="1">
        <f t="shared" si="28"/>
        <v>5700</v>
      </c>
      <c r="W113" s="1">
        <f t="shared" si="29"/>
        <v>1710</v>
      </c>
      <c r="X113" s="1">
        <f t="shared" si="30"/>
        <v>1710</v>
      </c>
      <c r="AE113" s="11" t="s">
        <v>2564</v>
      </c>
      <c r="AF113" s="12" t="s">
        <v>2530</v>
      </c>
    </row>
    <row r="114" spans="1:32" ht="20.100000000000001" customHeight="1">
      <c r="A114" s="1">
        <f t="shared" si="18"/>
        <v>340</v>
      </c>
      <c r="B114" s="1">
        <v>40</v>
      </c>
      <c r="D114" s="1">
        <v>8</v>
      </c>
      <c r="E114" s="1">
        <v>1.25</v>
      </c>
      <c r="F114" s="1">
        <f t="shared" si="26"/>
        <v>285600</v>
      </c>
      <c r="G114" s="1">
        <f t="shared" si="25"/>
        <v>4250</v>
      </c>
      <c r="H114" s="1">
        <f t="shared" si="25"/>
        <v>1275</v>
      </c>
      <c r="I114" s="1">
        <f t="shared" si="25"/>
        <v>1275</v>
      </c>
      <c r="Q114" s="1">
        <f t="shared" si="19"/>
        <v>156</v>
      </c>
      <c r="R114" s="1" t="s">
        <v>2521</v>
      </c>
      <c r="S114" s="1">
        <v>1</v>
      </c>
      <c r="T114" s="1">
        <f t="shared" ref="T114:T127" si="31">T111+1</f>
        <v>56</v>
      </c>
      <c r="U114" s="1">
        <f t="shared" si="27"/>
        <v>60900</v>
      </c>
      <c r="V114" s="1">
        <f t="shared" si="28"/>
        <v>5800</v>
      </c>
      <c r="W114" s="1">
        <f t="shared" si="29"/>
        <v>1740</v>
      </c>
      <c r="X114" s="1">
        <f t="shared" si="30"/>
        <v>1740</v>
      </c>
      <c r="AE114" s="11" t="s">
        <v>2566</v>
      </c>
      <c r="AF114" s="12" t="s">
        <v>2530</v>
      </c>
    </row>
    <row r="115" spans="1:32" ht="20.100000000000001" customHeight="1">
      <c r="A115" s="1">
        <f t="shared" si="18"/>
        <v>341</v>
      </c>
      <c r="B115" s="1">
        <v>41</v>
      </c>
      <c r="D115" s="1">
        <v>8</v>
      </c>
      <c r="E115" s="1">
        <v>1.25</v>
      </c>
      <c r="F115" s="1">
        <f t="shared" si="26"/>
        <v>327600</v>
      </c>
      <c r="G115" s="1">
        <f t="shared" ref="G115:I134" si="32">ROUND($E115*G42,0)</f>
        <v>4875</v>
      </c>
      <c r="H115" s="1">
        <f t="shared" si="32"/>
        <v>1463</v>
      </c>
      <c r="I115" s="1">
        <f t="shared" si="32"/>
        <v>1463</v>
      </c>
      <c r="Q115" s="1">
        <f t="shared" si="19"/>
        <v>156</v>
      </c>
      <c r="R115" s="1" t="s">
        <v>2522</v>
      </c>
      <c r="S115" s="1">
        <v>1</v>
      </c>
      <c r="T115" s="1">
        <f t="shared" si="31"/>
        <v>56</v>
      </c>
      <c r="U115" s="1">
        <f t="shared" si="27"/>
        <v>60900</v>
      </c>
      <c r="V115" s="1">
        <f t="shared" si="28"/>
        <v>5800</v>
      </c>
      <c r="W115" s="1">
        <f t="shared" si="29"/>
        <v>1740</v>
      </c>
      <c r="X115" s="1">
        <f t="shared" si="30"/>
        <v>1740</v>
      </c>
      <c r="AE115" s="6" t="s">
        <v>2568</v>
      </c>
      <c r="AF115" s="8" t="s">
        <v>2530</v>
      </c>
    </row>
    <row r="116" spans="1:32" ht="20.100000000000001" customHeight="1">
      <c r="A116" s="1">
        <f t="shared" si="18"/>
        <v>342</v>
      </c>
      <c r="B116" s="1">
        <v>42</v>
      </c>
      <c r="D116" s="1">
        <v>8</v>
      </c>
      <c r="E116" s="1">
        <v>1.25</v>
      </c>
      <c r="F116" s="1">
        <f t="shared" si="26"/>
        <v>336000</v>
      </c>
      <c r="G116" s="1">
        <f t="shared" si="32"/>
        <v>5000</v>
      </c>
      <c r="H116" s="1">
        <f t="shared" si="32"/>
        <v>1500</v>
      </c>
      <c r="I116" s="1">
        <f t="shared" si="32"/>
        <v>1500</v>
      </c>
      <c r="Q116" s="1">
        <f t="shared" si="19"/>
        <v>156</v>
      </c>
      <c r="R116" s="1" t="s">
        <v>2523</v>
      </c>
      <c r="S116" s="1">
        <v>1</v>
      </c>
      <c r="T116" s="1">
        <f t="shared" si="31"/>
        <v>56</v>
      </c>
      <c r="U116" s="1">
        <f t="shared" si="27"/>
        <v>60900</v>
      </c>
      <c r="V116" s="1">
        <f t="shared" si="28"/>
        <v>5800</v>
      </c>
      <c r="W116" s="1">
        <f t="shared" si="29"/>
        <v>1740</v>
      </c>
      <c r="X116" s="1">
        <f t="shared" si="30"/>
        <v>1740</v>
      </c>
      <c r="AE116" s="6" t="s">
        <v>2571</v>
      </c>
      <c r="AF116" s="8" t="s">
        <v>2530</v>
      </c>
    </row>
    <row r="117" spans="1:32" ht="20.100000000000001" customHeight="1">
      <c r="A117" s="1">
        <f t="shared" si="18"/>
        <v>343</v>
      </c>
      <c r="B117" s="1">
        <v>43</v>
      </c>
      <c r="D117" s="1">
        <v>8</v>
      </c>
      <c r="E117" s="1">
        <v>1.25</v>
      </c>
      <c r="F117" s="1">
        <f t="shared" si="26"/>
        <v>344400</v>
      </c>
      <c r="G117" s="1">
        <f t="shared" si="32"/>
        <v>5125</v>
      </c>
      <c r="H117" s="1">
        <f t="shared" si="32"/>
        <v>1538</v>
      </c>
      <c r="I117" s="1">
        <f t="shared" si="32"/>
        <v>1538</v>
      </c>
      <c r="Q117" s="1">
        <f t="shared" si="19"/>
        <v>157</v>
      </c>
      <c r="R117" s="1" t="s">
        <v>2524</v>
      </c>
      <c r="S117" s="1">
        <v>1</v>
      </c>
      <c r="T117" s="1">
        <f t="shared" si="31"/>
        <v>57</v>
      </c>
      <c r="U117" s="1">
        <f t="shared" si="27"/>
        <v>61950</v>
      </c>
      <c r="V117" s="1">
        <f t="shared" si="28"/>
        <v>5900</v>
      </c>
      <c r="W117" s="1">
        <f t="shared" si="29"/>
        <v>1770</v>
      </c>
      <c r="X117" s="1">
        <f t="shared" si="30"/>
        <v>1770</v>
      </c>
      <c r="AE117" s="6" t="s">
        <v>2572</v>
      </c>
      <c r="AF117" s="8" t="s">
        <v>2585</v>
      </c>
    </row>
    <row r="118" spans="1:32" ht="20.100000000000001" customHeight="1">
      <c r="A118" s="1">
        <f t="shared" si="18"/>
        <v>344</v>
      </c>
      <c r="B118" s="1">
        <v>44</v>
      </c>
      <c r="D118" s="1">
        <v>8</v>
      </c>
      <c r="E118" s="1">
        <v>1.25</v>
      </c>
      <c r="F118" s="1">
        <f t="shared" si="26"/>
        <v>352800</v>
      </c>
      <c r="G118" s="1">
        <f t="shared" si="32"/>
        <v>5250</v>
      </c>
      <c r="H118" s="1">
        <f t="shared" si="32"/>
        <v>1575</v>
      </c>
      <c r="I118" s="1">
        <f t="shared" si="32"/>
        <v>1575</v>
      </c>
      <c r="Q118" s="1">
        <f t="shared" si="19"/>
        <v>157</v>
      </c>
      <c r="R118" s="1" t="s">
        <v>2525</v>
      </c>
      <c r="S118" s="1">
        <v>1</v>
      </c>
      <c r="T118" s="1">
        <f t="shared" si="31"/>
        <v>57</v>
      </c>
      <c r="U118" s="1">
        <f t="shared" si="27"/>
        <v>61950</v>
      </c>
      <c r="V118" s="1">
        <f t="shared" si="28"/>
        <v>5900</v>
      </c>
      <c r="W118" s="1">
        <f t="shared" si="29"/>
        <v>1770</v>
      </c>
      <c r="X118" s="1">
        <f t="shared" si="30"/>
        <v>1770</v>
      </c>
      <c r="AE118" s="6" t="s">
        <v>2573</v>
      </c>
      <c r="AF118" s="8" t="s">
        <v>2586</v>
      </c>
    </row>
    <row r="119" spans="1:32" ht="20.100000000000001" customHeight="1">
      <c r="A119" s="1">
        <f t="shared" si="18"/>
        <v>345</v>
      </c>
      <c r="B119" s="1">
        <v>45</v>
      </c>
      <c r="D119" s="1">
        <v>8</v>
      </c>
      <c r="E119" s="1">
        <v>1.25</v>
      </c>
      <c r="F119" s="1">
        <f t="shared" si="26"/>
        <v>361200</v>
      </c>
      <c r="G119" s="1">
        <f t="shared" si="32"/>
        <v>5375</v>
      </c>
      <c r="H119" s="1">
        <f t="shared" si="32"/>
        <v>1613</v>
      </c>
      <c r="I119" s="1">
        <f t="shared" si="32"/>
        <v>1613</v>
      </c>
      <c r="Q119" s="1">
        <f t="shared" si="19"/>
        <v>357</v>
      </c>
      <c r="R119" s="1" t="s">
        <v>2526</v>
      </c>
      <c r="S119" s="1">
        <v>3</v>
      </c>
      <c r="T119" s="1">
        <f t="shared" si="31"/>
        <v>57</v>
      </c>
      <c r="U119" s="1">
        <f t="shared" si="27"/>
        <v>495600</v>
      </c>
      <c r="V119" s="1">
        <f t="shared" si="28"/>
        <v>7375</v>
      </c>
      <c r="W119" s="1">
        <f t="shared" si="29"/>
        <v>2213</v>
      </c>
      <c r="X119" s="1">
        <f t="shared" si="30"/>
        <v>2213</v>
      </c>
    </row>
    <row r="120" spans="1:32" ht="20.100000000000001" customHeight="1">
      <c r="A120" s="1">
        <f t="shared" si="18"/>
        <v>346</v>
      </c>
      <c r="B120" s="1">
        <v>46</v>
      </c>
      <c r="D120" s="1">
        <v>8</v>
      </c>
      <c r="E120" s="1">
        <v>1.25</v>
      </c>
      <c r="F120" s="1">
        <f t="shared" si="26"/>
        <v>369600</v>
      </c>
      <c r="G120" s="1">
        <f t="shared" si="32"/>
        <v>5500</v>
      </c>
      <c r="H120" s="1">
        <f t="shared" si="32"/>
        <v>1650</v>
      </c>
      <c r="I120" s="1">
        <f t="shared" si="32"/>
        <v>1650</v>
      </c>
      <c r="Q120" s="1">
        <f t="shared" si="19"/>
        <v>158</v>
      </c>
      <c r="R120" s="1" t="s">
        <v>2527</v>
      </c>
      <c r="S120" s="1">
        <v>1</v>
      </c>
      <c r="T120" s="1">
        <f t="shared" si="31"/>
        <v>58</v>
      </c>
      <c r="U120" s="1">
        <f t="shared" si="27"/>
        <v>63000</v>
      </c>
      <c r="V120" s="1">
        <f t="shared" si="28"/>
        <v>6000</v>
      </c>
      <c r="W120" s="1">
        <f t="shared" si="29"/>
        <v>1800</v>
      </c>
      <c r="X120" s="1">
        <f t="shared" si="30"/>
        <v>1800</v>
      </c>
    </row>
    <row r="121" spans="1:32" ht="20.100000000000001" customHeight="1">
      <c r="A121" s="1">
        <f t="shared" si="18"/>
        <v>347</v>
      </c>
      <c r="B121" s="1">
        <v>47</v>
      </c>
      <c r="D121" s="1">
        <v>8</v>
      </c>
      <c r="E121" s="1">
        <v>1.25</v>
      </c>
      <c r="F121" s="1">
        <f t="shared" si="26"/>
        <v>378000</v>
      </c>
      <c r="G121" s="1">
        <f t="shared" si="32"/>
        <v>5625</v>
      </c>
      <c r="H121" s="1">
        <f t="shared" si="32"/>
        <v>1688</v>
      </c>
      <c r="I121" s="1">
        <f t="shared" si="32"/>
        <v>1688</v>
      </c>
      <c r="Q121" s="1">
        <f t="shared" si="19"/>
        <v>158</v>
      </c>
      <c r="R121" s="1" t="s">
        <v>2528</v>
      </c>
      <c r="S121" s="1">
        <v>1</v>
      </c>
      <c r="T121" s="1">
        <f t="shared" si="31"/>
        <v>58</v>
      </c>
      <c r="U121" s="1">
        <f t="shared" si="27"/>
        <v>63000</v>
      </c>
      <c r="V121" s="1">
        <f t="shared" si="28"/>
        <v>6000</v>
      </c>
      <c r="W121" s="1">
        <f t="shared" si="29"/>
        <v>1800</v>
      </c>
      <c r="X121" s="1">
        <f t="shared" si="30"/>
        <v>1800</v>
      </c>
    </row>
    <row r="122" spans="1:32" ht="20.100000000000001" customHeight="1">
      <c r="A122" s="1">
        <f t="shared" si="18"/>
        <v>348</v>
      </c>
      <c r="B122" s="1">
        <v>48</v>
      </c>
      <c r="D122" s="1">
        <v>8</v>
      </c>
      <c r="E122" s="1">
        <v>1.25</v>
      </c>
      <c r="F122" s="1">
        <f t="shared" si="26"/>
        <v>386400</v>
      </c>
      <c r="G122" s="1">
        <f t="shared" si="32"/>
        <v>5750</v>
      </c>
      <c r="H122" s="1">
        <f t="shared" si="32"/>
        <v>1725</v>
      </c>
      <c r="I122" s="1">
        <f t="shared" si="32"/>
        <v>1725</v>
      </c>
      <c r="Q122" s="1">
        <f t="shared" si="19"/>
        <v>158</v>
      </c>
      <c r="R122" s="1" t="s">
        <v>2529</v>
      </c>
      <c r="S122" s="1">
        <v>1</v>
      </c>
      <c r="T122" s="1">
        <f t="shared" si="31"/>
        <v>58</v>
      </c>
      <c r="U122" s="1">
        <f t="shared" si="27"/>
        <v>63000</v>
      </c>
      <c r="V122" s="1">
        <f t="shared" si="28"/>
        <v>6000</v>
      </c>
      <c r="W122" s="1">
        <f t="shared" si="29"/>
        <v>1800</v>
      </c>
      <c r="X122" s="1">
        <f t="shared" si="30"/>
        <v>1800</v>
      </c>
    </row>
    <row r="123" spans="1:32" ht="20.100000000000001" customHeight="1">
      <c r="A123" s="1">
        <f t="shared" si="18"/>
        <v>349</v>
      </c>
      <c r="B123" s="1">
        <v>49</v>
      </c>
      <c r="D123" s="1">
        <v>8</v>
      </c>
      <c r="E123" s="1">
        <v>1.25</v>
      </c>
      <c r="F123" s="1">
        <f t="shared" si="26"/>
        <v>394800</v>
      </c>
      <c r="G123" s="1">
        <f t="shared" si="32"/>
        <v>5875</v>
      </c>
      <c r="H123" s="1">
        <f t="shared" si="32"/>
        <v>1763</v>
      </c>
      <c r="I123" s="1">
        <f t="shared" si="32"/>
        <v>1763</v>
      </c>
      <c r="Q123" s="1">
        <f t="shared" si="19"/>
        <v>159</v>
      </c>
      <c r="R123" s="1" t="s">
        <v>2531</v>
      </c>
      <c r="S123" s="1">
        <v>1</v>
      </c>
      <c r="T123" s="1">
        <f t="shared" si="31"/>
        <v>59</v>
      </c>
      <c r="U123" s="1">
        <f t="shared" si="27"/>
        <v>64050</v>
      </c>
      <c r="V123" s="1">
        <f t="shared" si="28"/>
        <v>6100</v>
      </c>
      <c r="W123" s="1">
        <f t="shared" si="29"/>
        <v>1830</v>
      </c>
      <c r="X123" s="1">
        <f t="shared" si="30"/>
        <v>1830</v>
      </c>
    </row>
    <row r="124" spans="1:32" ht="20.100000000000001" customHeight="1">
      <c r="A124" s="1">
        <f t="shared" si="18"/>
        <v>350</v>
      </c>
      <c r="B124" s="1">
        <v>50</v>
      </c>
      <c r="D124" s="1">
        <v>8</v>
      </c>
      <c r="E124" s="1">
        <v>1.25</v>
      </c>
      <c r="F124" s="1">
        <f t="shared" si="26"/>
        <v>403200</v>
      </c>
      <c r="G124" s="1">
        <f t="shared" si="32"/>
        <v>6000</v>
      </c>
      <c r="H124" s="1">
        <f t="shared" si="32"/>
        <v>1800</v>
      </c>
      <c r="I124" s="1">
        <f t="shared" si="32"/>
        <v>1800</v>
      </c>
      <c r="Q124" s="1">
        <f t="shared" si="19"/>
        <v>159</v>
      </c>
      <c r="R124" s="1" t="s">
        <v>2532</v>
      </c>
      <c r="S124" s="1">
        <v>1</v>
      </c>
      <c r="T124" s="1">
        <f t="shared" si="31"/>
        <v>59</v>
      </c>
      <c r="U124" s="1">
        <f t="shared" si="27"/>
        <v>64050</v>
      </c>
      <c r="V124" s="1">
        <f t="shared" si="28"/>
        <v>6100</v>
      </c>
      <c r="W124" s="1">
        <f t="shared" si="29"/>
        <v>1830</v>
      </c>
      <c r="X124" s="1">
        <f t="shared" si="30"/>
        <v>1830</v>
      </c>
    </row>
    <row r="125" spans="1:32" ht="20.100000000000001" customHeight="1">
      <c r="A125" s="1">
        <f t="shared" si="18"/>
        <v>351</v>
      </c>
      <c r="B125" s="1">
        <v>51</v>
      </c>
      <c r="D125" s="1">
        <v>8</v>
      </c>
      <c r="E125" s="1">
        <v>1.25</v>
      </c>
      <c r="F125" s="1">
        <f t="shared" si="26"/>
        <v>445200</v>
      </c>
      <c r="G125" s="1">
        <f t="shared" si="32"/>
        <v>6625</v>
      </c>
      <c r="H125" s="1">
        <f t="shared" si="32"/>
        <v>1988</v>
      </c>
      <c r="I125" s="1">
        <f t="shared" si="32"/>
        <v>1988</v>
      </c>
      <c r="Q125" s="1">
        <f t="shared" si="19"/>
        <v>159</v>
      </c>
      <c r="R125" s="1" t="s">
        <v>2533</v>
      </c>
      <c r="S125" s="1">
        <v>1</v>
      </c>
      <c r="T125" s="1">
        <f t="shared" si="31"/>
        <v>59</v>
      </c>
      <c r="U125" s="1">
        <f t="shared" si="27"/>
        <v>64050</v>
      </c>
      <c r="V125" s="1">
        <f t="shared" si="28"/>
        <v>6100</v>
      </c>
      <c r="W125" s="1">
        <f t="shared" si="29"/>
        <v>1830</v>
      </c>
      <c r="X125" s="1">
        <f t="shared" si="30"/>
        <v>1830</v>
      </c>
    </row>
    <row r="126" spans="1:32" ht="20.100000000000001" customHeight="1">
      <c r="A126" s="1">
        <f t="shared" si="18"/>
        <v>352</v>
      </c>
      <c r="B126" s="1">
        <v>52</v>
      </c>
      <c r="D126" s="1">
        <v>8</v>
      </c>
      <c r="E126" s="1">
        <v>1.25</v>
      </c>
      <c r="F126" s="1">
        <f t="shared" si="26"/>
        <v>453600</v>
      </c>
      <c r="G126" s="1">
        <f t="shared" si="32"/>
        <v>6750</v>
      </c>
      <c r="H126" s="1">
        <f t="shared" si="32"/>
        <v>2025</v>
      </c>
      <c r="I126" s="1">
        <f t="shared" si="32"/>
        <v>2025</v>
      </c>
      <c r="Q126" s="1">
        <f t="shared" si="19"/>
        <v>160</v>
      </c>
      <c r="R126" s="1" t="s">
        <v>2535</v>
      </c>
      <c r="S126" s="1">
        <v>1</v>
      </c>
      <c r="T126" s="1">
        <f t="shared" si="31"/>
        <v>60</v>
      </c>
      <c r="U126" s="1">
        <f t="shared" si="27"/>
        <v>65100</v>
      </c>
      <c r="V126" s="1">
        <f t="shared" si="28"/>
        <v>6200</v>
      </c>
      <c r="W126" s="1">
        <f t="shared" si="29"/>
        <v>1860</v>
      </c>
      <c r="X126" s="1">
        <f t="shared" si="30"/>
        <v>1860</v>
      </c>
    </row>
    <row r="127" spans="1:32" ht="20.100000000000001" customHeight="1">
      <c r="A127" s="1">
        <f t="shared" si="18"/>
        <v>353</v>
      </c>
      <c r="B127" s="1">
        <v>53</v>
      </c>
      <c r="D127" s="1">
        <v>8</v>
      </c>
      <c r="E127" s="1">
        <v>1.25</v>
      </c>
      <c r="F127" s="1">
        <f t="shared" si="26"/>
        <v>462000</v>
      </c>
      <c r="G127" s="1">
        <f t="shared" si="32"/>
        <v>6875</v>
      </c>
      <c r="H127" s="1">
        <f t="shared" si="32"/>
        <v>2063</v>
      </c>
      <c r="I127" s="1">
        <f t="shared" si="32"/>
        <v>2063</v>
      </c>
      <c r="Q127" s="1">
        <f t="shared" si="19"/>
        <v>160</v>
      </c>
      <c r="R127" s="1" t="s">
        <v>2536</v>
      </c>
      <c r="S127" s="1">
        <v>1</v>
      </c>
      <c r="T127" s="1">
        <f t="shared" si="31"/>
        <v>60</v>
      </c>
      <c r="U127" s="1">
        <f t="shared" si="27"/>
        <v>65100</v>
      </c>
      <c r="V127" s="1">
        <f t="shared" si="28"/>
        <v>6200</v>
      </c>
      <c r="W127" s="1">
        <f t="shared" si="29"/>
        <v>1860</v>
      </c>
      <c r="X127" s="1">
        <f t="shared" si="30"/>
        <v>1860</v>
      </c>
    </row>
    <row r="128" spans="1:32" ht="20.100000000000001" customHeight="1">
      <c r="A128" s="1">
        <f t="shared" si="18"/>
        <v>354</v>
      </c>
      <c r="B128" s="1">
        <v>54</v>
      </c>
      <c r="D128" s="1">
        <v>8</v>
      </c>
      <c r="E128" s="1">
        <v>1.25</v>
      </c>
      <c r="F128" s="1">
        <f t="shared" si="26"/>
        <v>470400</v>
      </c>
      <c r="G128" s="1">
        <f t="shared" si="32"/>
        <v>7000</v>
      </c>
      <c r="H128" s="1">
        <f t="shared" si="32"/>
        <v>2100</v>
      </c>
      <c r="I128" s="1">
        <f t="shared" si="32"/>
        <v>2100</v>
      </c>
      <c r="Q128" s="1">
        <f t="shared" si="19"/>
        <v>160</v>
      </c>
      <c r="R128" s="1" t="s">
        <v>2537</v>
      </c>
      <c r="S128" s="1">
        <v>1</v>
      </c>
      <c r="T128" s="1">
        <v>60</v>
      </c>
      <c r="U128" s="1">
        <f t="shared" si="27"/>
        <v>65100</v>
      </c>
      <c r="V128" s="1">
        <f t="shared" si="28"/>
        <v>6200</v>
      </c>
      <c r="W128" s="1">
        <f t="shared" si="29"/>
        <v>1860</v>
      </c>
      <c r="X128" s="1">
        <f t="shared" si="30"/>
        <v>1860</v>
      </c>
    </row>
    <row r="129" spans="1:31" ht="20.100000000000001" customHeight="1">
      <c r="A129" s="1">
        <f t="shared" si="18"/>
        <v>355</v>
      </c>
      <c r="B129" s="1">
        <v>55</v>
      </c>
      <c r="D129" s="1">
        <v>8</v>
      </c>
      <c r="E129" s="1">
        <v>1.25</v>
      </c>
      <c r="F129" s="1">
        <f t="shared" si="26"/>
        <v>478800</v>
      </c>
      <c r="G129" s="1">
        <f t="shared" si="32"/>
        <v>7125</v>
      </c>
      <c r="H129" s="1">
        <f t="shared" si="32"/>
        <v>2138</v>
      </c>
      <c r="I129" s="1">
        <f t="shared" si="32"/>
        <v>2138</v>
      </c>
      <c r="Q129" s="1">
        <f t="shared" si="19"/>
        <v>360</v>
      </c>
      <c r="R129" s="1" t="s">
        <v>2539</v>
      </c>
      <c r="S129" s="1">
        <v>3</v>
      </c>
      <c r="T129" s="1">
        <v>60</v>
      </c>
      <c r="U129" s="1">
        <f t="shared" si="27"/>
        <v>520800</v>
      </c>
      <c r="V129" s="1">
        <f t="shared" si="28"/>
        <v>7750</v>
      </c>
      <c r="W129" s="1">
        <f t="shared" si="29"/>
        <v>2325</v>
      </c>
      <c r="X129" s="1">
        <f t="shared" si="30"/>
        <v>2325</v>
      </c>
    </row>
    <row r="130" spans="1:31" ht="20.100000000000001" customHeight="1">
      <c r="A130" s="1">
        <f t="shared" si="18"/>
        <v>356</v>
      </c>
      <c r="B130" s="1">
        <v>56</v>
      </c>
      <c r="D130" s="1">
        <v>8</v>
      </c>
      <c r="E130" s="1">
        <v>1.25</v>
      </c>
      <c r="F130" s="1">
        <f t="shared" si="26"/>
        <v>487200</v>
      </c>
      <c r="G130" s="1">
        <f t="shared" si="32"/>
        <v>7250</v>
      </c>
      <c r="H130" s="1">
        <f t="shared" si="32"/>
        <v>2175</v>
      </c>
      <c r="I130" s="1">
        <f t="shared" si="32"/>
        <v>2175</v>
      </c>
      <c r="Q130" s="1"/>
      <c r="R130" s="1"/>
      <c r="S130" s="1"/>
      <c r="T130" s="1"/>
      <c r="U130" s="1"/>
      <c r="V130" s="1"/>
      <c r="W130" s="1"/>
      <c r="X130" s="1"/>
    </row>
    <row r="131" spans="1:31" ht="20.100000000000001" customHeight="1">
      <c r="A131" s="1">
        <f t="shared" si="18"/>
        <v>357</v>
      </c>
      <c r="B131" s="1">
        <v>57</v>
      </c>
      <c r="D131" s="1">
        <v>8</v>
      </c>
      <c r="E131" s="1">
        <v>1.25</v>
      </c>
      <c r="F131" s="1">
        <f t="shared" si="26"/>
        <v>495600</v>
      </c>
      <c r="G131" s="1">
        <f t="shared" si="32"/>
        <v>7375</v>
      </c>
      <c r="H131" s="1">
        <f t="shared" si="32"/>
        <v>2213</v>
      </c>
      <c r="I131" s="1">
        <f t="shared" si="32"/>
        <v>2213</v>
      </c>
      <c r="Q131" s="1"/>
      <c r="R131" s="1"/>
      <c r="S131" s="1"/>
      <c r="T131" s="1"/>
      <c r="U131" s="1"/>
      <c r="V131" s="1"/>
      <c r="W131" s="1"/>
      <c r="X131" s="1"/>
    </row>
    <row r="132" spans="1:31" ht="20.100000000000001" customHeight="1">
      <c r="A132" s="1">
        <f t="shared" si="18"/>
        <v>358</v>
      </c>
      <c r="B132" s="1">
        <v>58</v>
      </c>
      <c r="D132" s="1">
        <v>8</v>
      </c>
      <c r="E132" s="1">
        <v>1.25</v>
      </c>
      <c r="F132" s="1">
        <f t="shared" si="26"/>
        <v>504000</v>
      </c>
      <c r="G132" s="1">
        <f t="shared" si="32"/>
        <v>7500</v>
      </c>
      <c r="H132" s="1">
        <f t="shared" si="32"/>
        <v>2250</v>
      </c>
      <c r="I132" s="1">
        <f t="shared" si="32"/>
        <v>2250</v>
      </c>
      <c r="Q132" s="1" t="s">
        <v>2480</v>
      </c>
      <c r="R132" s="1" t="s">
        <v>2483</v>
      </c>
      <c r="S132" s="1" t="s">
        <v>2456</v>
      </c>
      <c r="T132" s="1" t="s">
        <v>25</v>
      </c>
      <c r="U132" s="4" t="s">
        <v>2</v>
      </c>
      <c r="V132" s="4" t="s">
        <v>3</v>
      </c>
      <c r="W132" s="4" t="s">
        <v>28</v>
      </c>
      <c r="X132" s="4" t="s">
        <v>29</v>
      </c>
      <c r="Z132" s="4" t="s">
        <v>2955</v>
      </c>
      <c r="AA132" s="4" t="s">
        <v>2</v>
      </c>
      <c r="AB132" s="4" t="s">
        <v>3</v>
      </c>
      <c r="AC132" s="4" t="s">
        <v>28</v>
      </c>
      <c r="AD132" s="4" t="s">
        <v>29</v>
      </c>
    </row>
    <row r="133" spans="1:31" ht="20.100000000000001" customHeight="1">
      <c r="A133" s="1">
        <f t="shared" si="18"/>
        <v>359</v>
      </c>
      <c r="B133" s="1">
        <v>59</v>
      </c>
      <c r="D133" s="1">
        <v>8</v>
      </c>
      <c r="E133" s="1">
        <v>1.25</v>
      </c>
      <c r="F133" s="1">
        <f t="shared" si="26"/>
        <v>512400</v>
      </c>
      <c r="G133" s="1">
        <f t="shared" si="32"/>
        <v>7625</v>
      </c>
      <c r="H133" s="1">
        <f t="shared" si="32"/>
        <v>2288</v>
      </c>
      <c r="I133" s="1">
        <f t="shared" si="32"/>
        <v>2288</v>
      </c>
      <c r="Q133" s="1"/>
      <c r="R133" s="1"/>
      <c r="S133" s="1"/>
      <c r="T133" s="1"/>
      <c r="U133" s="1"/>
      <c r="V133" s="1"/>
      <c r="W133" s="1"/>
      <c r="X133" s="1"/>
    </row>
    <row r="134" spans="1:31" ht="20.100000000000001" customHeight="1">
      <c r="A134" s="1">
        <f t="shared" si="18"/>
        <v>360</v>
      </c>
      <c r="B134" s="1">
        <v>60</v>
      </c>
      <c r="D134" s="1">
        <v>8</v>
      </c>
      <c r="E134" s="1">
        <v>1.25</v>
      </c>
      <c r="F134" s="1">
        <f t="shared" si="26"/>
        <v>520800</v>
      </c>
      <c r="G134" s="1">
        <f t="shared" si="32"/>
        <v>7750</v>
      </c>
      <c r="H134" s="1">
        <f t="shared" si="32"/>
        <v>2325</v>
      </c>
      <c r="I134" s="1">
        <f t="shared" si="32"/>
        <v>2325</v>
      </c>
      <c r="Q134" s="1">
        <f t="shared" ref="Q134:Q182" si="33">S134*100+T134</f>
        <v>115</v>
      </c>
      <c r="R134" s="6" t="s">
        <v>2896</v>
      </c>
      <c r="S134" s="1">
        <v>1</v>
      </c>
      <c r="T134" s="6">
        <v>15</v>
      </c>
      <c r="U134" s="1">
        <f t="shared" ref="U134" si="34">LOOKUP($Q134,$A:$A,F:F)</f>
        <v>8400</v>
      </c>
      <c r="V134" s="1">
        <f t="shared" ref="V134" si="35">LOOKUP($Q134,$A:$A,G:G)</f>
        <v>800</v>
      </c>
      <c r="W134" s="1">
        <f t="shared" ref="W134" si="36">LOOKUP($Q134,$A:$A,H:H)</f>
        <v>240</v>
      </c>
      <c r="X134" s="1">
        <f t="shared" ref="X134" si="37">LOOKUP($Q134,$A:$A,I:I)</f>
        <v>240</v>
      </c>
      <c r="Z134" s="22">
        <v>1.2</v>
      </c>
      <c r="AA134" s="1">
        <f>U134*3</f>
        <v>25200</v>
      </c>
      <c r="AB134" s="1">
        <f>ROUND(V134*Z134,0)</f>
        <v>960</v>
      </c>
      <c r="AC134" s="1">
        <f>W134</f>
        <v>240</v>
      </c>
      <c r="AD134" s="1">
        <f>X134</f>
        <v>240</v>
      </c>
      <c r="AE134" s="1"/>
    </row>
    <row r="135" spans="1:31" ht="20.100000000000001" customHeight="1">
      <c r="A135" s="1">
        <f t="shared" si="18"/>
        <v>361</v>
      </c>
      <c r="B135" s="1">
        <v>61</v>
      </c>
      <c r="D135" s="1">
        <v>8</v>
      </c>
      <c r="E135" s="1">
        <v>1.25</v>
      </c>
      <c r="F135" s="1">
        <f t="shared" si="26"/>
        <v>529200</v>
      </c>
      <c r="G135" s="1">
        <f t="shared" ref="G135:I144" si="38">ROUND($E135*G62,0)</f>
        <v>7875</v>
      </c>
      <c r="H135" s="1">
        <f t="shared" si="38"/>
        <v>2363</v>
      </c>
      <c r="I135" s="1">
        <f t="shared" si="38"/>
        <v>2363</v>
      </c>
      <c r="Q135" s="1">
        <f t="shared" si="33"/>
        <v>115</v>
      </c>
      <c r="R135" s="6" t="s">
        <v>2897</v>
      </c>
      <c r="S135" s="1">
        <v>1</v>
      </c>
      <c r="T135" s="6">
        <v>15</v>
      </c>
      <c r="U135" s="1">
        <f t="shared" ref="U135:U142" si="39">LOOKUP($Q135,$A:$A,F:F)</f>
        <v>8400</v>
      </c>
      <c r="V135" s="1">
        <f t="shared" ref="V135:V142" si="40">LOOKUP($Q135,$A:$A,G:G)</f>
        <v>800</v>
      </c>
      <c r="W135" s="1">
        <f t="shared" ref="W135:W142" si="41">LOOKUP($Q135,$A:$A,H:H)</f>
        <v>240</v>
      </c>
      <c r="X135" s="1">
        <f t="shared" ref="X135:X142" si="42">LOOKUP($Q135,$A:$A,I:I)</f>
        <v>240</v>
      </c>
      <c r="Z135" s="22">
        <v>1.2</v>
      </c>
      <c r="AA135" s="1">
        <f t="shared" ref="AA135:AA142" si="43">U135*3</f>
        <v>25200</v>
      </c>
      <c r="AB135" s="1">
        <f t="shared" ref="AB135:AB142" si="44">ROUND(V135*Z135,0)</f>
        <v>960</v>
      </c>
      <c r="AC135" s="1">
        <f t="shared" ref="AC135:AC142" si="45">W135</f>
        <v>240</v>
      </c>
      <c r="AD135" s="1">
        <f t="shared" ref="AD135:AD142" si="46">X135</f>
        <v>240</v>
      </c>
    </row>
    <row r="136" spans="1:31" ht="20.100000000000001" customHeight="1">
      <c r="A136" s="1">
        <f t="shared" si="18"/>
        <v>362</v>
      </c>
      <c r="B136" s="1">
        <v>62</v>
      </c>
      <c r="D136" s="1">
        <v>8</v>
      </c>
      <c r="E136" s="1">
        <v>1.25</v>
      </c>
      <c r="F136" s="1">
        <f t="shared" si="26"/>
        <v>537600</v>
      </c>
      <c r="G136" s="1">
        <f t="shared" si="38"/>
        <v>8000</v>
      </c>
      <c r="H136" s="1">
        <f t="shared" si="38"/>
        <v>2400</v>
      </c>
      <c r="I136" s="1">
        <f t="shared" si="38"/>
        <v>2400</v>
      </c>
      <c r="Q136" s="1">
        <f t="shared" si="33"/>
        <v>115</v>
      </c>
      <c r="R136" s="6" t="s">
        <v>2898</v>
      </c>
      <c r="S136" s="1">
        <v>1</v>
      </c>
      <c r="T136" s="6">
        <v>15</v>
      </c>
      <c r="U136" s="1">
        <f t="shared" si="39"/>
        <v>8400</v>
      </c>
      <c r="V136" s="1">
        <f t="shared" si="40"/>
        <v>800</v>
      </c>
      <c r="W136" s="1">
        <f t="shared" si="41"/>
        <v>240</v>
      </c>
      <c r="X136" s="1">
        <f t="shared" si="42"/>
        <v>240</v>
      </c>
      <c r="Z136" s="22">
        <v>1.2</v>
      </c>
      <c r="AA136" s="1">
        <f t="shared" si="43"/>
        <v>25200</v>
      </c>
      <c r="AB136" s="1">
        <f t="shared" si="44"/>
        <v>960</v>
      </c>
      <c r="AC136" s="1">
        <f t="shared" si="45"/>
        <v>240</v>
      </c>
      <c r="AD136" s="1">
        <f t="shared" si="46"/>
        <v>240</v>
      </c>
    </row>
    <row r="137" spans="1:31" ht="20.100000000000001" customHeight="1">
      <c r="A137" s="1">
        <f t="shared" si="18"/>
        <v>363</v>
      </c>
      <c r="B137" s="1">
        <v>63</v>
      </c>
      <c r="D137" s="1">
        <v>8</v>
      </c>
      <c r="E137" s="1">
        <v>1.25</v>
      </c>
      <c r="F137" s="1">
        <f t="shared" si="26"/>
        <v>546000</v>
      </c>
      <c r="G137" s="1">
        <f t="shared" si="38"/>
        <v>8125</v>
      </c>
      <c r="H137" s="1">
        <f t="shared" si="38"/>
        <v>2438</v>
      </c>
      <c r="I137" s="1">
        <f t="shared" si="38"/>
        <v>2438</v>
      </c>
      <c r="Q137" s="1">
        <f t="shared" si="33"/>
        <v>115</v>
      </c>
      <c r="R137" s="6" t="s">
        <v>2899</v>
      </c>
      <c r="S137" s="1">
        <v>1</v>
      </c>
      <c r="T137" s="6">
        <v>15</v>
      </c>
      <c r="U137" s="1">
        <f t="shared" si="39"/>
        <v>8400</v>
      </c>
      <c r="V137" s="1">
        <f t="shared" si="40"/>
        <v>800</v>
      </c>
      <c r="W137" s="1">
        <f t="shared" si="41"/>
        <v>240</v>
      </c>
      <c r="X137" s="1">
        <f t="shared" si="42"/>
        <v>240</v>
      </c>
      <c r="Z137" s="22">
        <v>1.2</v>
      </c>
      <c r="AA137" s="1">
        <f t="shared" si="43"/>
        <v>25200</v>
      </c>
      <c r="AB137" s="1">
        <f t="shared" si="44"/>
        <v>960</v>
      </c>
      <c r="AC137" s="1">
        <f t="shared" si="45"/>
        <v>240</v>
      </c>
      <c r="AD137" s="1">
        <f t="shared" si="46"/>
        <v>240</v>
      </c>
    </row>
    <row r="138" spans="1:31" ht="20.100000000000001" customHeight="1">
      <c r="A138" s="1">
        <f t="shared" si="18"/>
        <v>364</v>
      </c>
      <c r="B138" s="1">
        <v>64</v>
      </c>
      <c r="D138" s="1">
        <v>8</v>
      </c>
      <c r="E138" s="1">
        <v>1.25</v>
      </c>
      <c r="F138" s="1">
        <f t="shared" si="26"/>
        <v>554400</v>
      </c>
      <c r="G138" s="1">
        <f t="shared" si="38"/>
        <v>8250</v>
      </c>
      <c r="H138" s="1">
        <f t="shared" si="38"/>
        <v>2475</v>
      </c>
      <c r="I138" s="1">
        <f t="shared" si="38"/>
        <v>2475</v>
      </c>
      <c r="Q138" s="1">
        <f t="shared" si="33"/>
        <v>316</v>
      </c>
      <c r="R138" s="6" t="s">
        <v>2904</v>
      </c>
      <c r="S138" s="1">
        <v>3</v>
      </c>
      <c r="T138" s="6">
        <v>16</v>
      </c>
      <c r="U138" s="1">
        <f t="shared" si="39"/>
        <v>71400</v>
      </c>
      <c r="V138" s="1">
        <f t="shared" si="40"/>
        <v>1063</v>
      </c>
      <c r="W138" s="1">
        <f t="shared" si="41"/>
        <v>319</v>
      </c>
      <c r="X138" s="1">
        <f t="shared" si="42"/>
        <v>319</v>
      </c>
      <c r="Z138" s="22">
        <v>1.5</v>
      </c>
      <c r="AA138" s="1">
        <f t="shared" si="43"/>
        <v>214200</v>
      </c>
      <c r="AB138" s="1">
        <f t="shared" si="44"/>
        <v>1595</v>
      </c>
      <c r="AC138" s="1">
        <f t="shared" si="45"/>
        <v>319</v>
      </c>
      <c r="AD138" s="1">
        <f t="shared" si="46"/>
        <v>319</v>
      </c>
    </row>
    <row r="139" spans="1:31" ht="20.100000000000001" customHeight="1">
      <c r="A139" s="1">
        <f t="shared" si="18"/>
        <v>365</v>
      </c>
      <c r="B139" s="1">
        <v>65</v>
      </c>
      <c r="D139" s="1">
        <v>8</v>
      </c>
      <c r="E139" s="1">
        <v>1.25</v>
      </c>
      <c r="F139" s="1">
        <f t="shared" ref="F139:F144" si="47">D139*F66</f>
        <v>562800</v>
      </c>
      <c r="G139" s="1">
        <f t="shared" si="38"/>
        <v>8375</v>
      </c>
      <c r="H139" s="1">
        <f t="shared" si="38"/>
        <v>2513</v>
      </c>
      <c r="I139" s="1">
        <f t="shared" si="38"/>
        <v>2513</v>
      </c>
      <c r="Q139" s="1">
        <f t="shared" si="33"/>
        <v>316</v>
      </c>
      <c r="R139" s="6" t="s">
        <v>2905</v>
      </c>
      <c r="S139" s="1">
        <v>3</v>
      </c>
      <c r="T139" s="6">
        <v>16</v>
      </c>
      <c r="U139" s="1">
        <f t="shared" si="39"/>
        <v>71400</v>
      </c>
      <c r="V139" s="1">
        <f t="shared" si="40"/>
        <v>1063</v>
      </c>
      <c r="W139" s="1">
        <f t="shared" si="41"/>
        <v>319</v>
      </c>
      <c r="X139" s="1">
        <f t="shared" si="42"/>
        <v>319</v>
      </c>
      <c r="Z139" s="22">
        <v>1.5</v>
      </c>
      <c r="AA139" s="1">
        <f t="shared" si="43"/>
        <v>214200</v>
      </c>
      <c r="AB139" s="1">
        <f t="shared" si="44"/>
        <v>1595</v>
      </c>
      <c r="AC139" s="1">
        <f t="shared" si="45"/>
        <v>319</v>
      </c>
      <c r="AD139" s="1">
        <f t="shared" si="46"/>
        <v>319</v>
      </c>
    </row>
    <row r="140" spans="1:31" ht="20.100000000000001" customHeight="1">
      <c r="A140" s="1">
        <f t="shared" ref="A140:A144" si="48">B140+300</f>
        <v>366</v>
      </c>
      <c r="B140" s="1">
        <v>66</v>
      </c>
      <c r="D140" s="1">
        <v>8</v>
      </c>
      <c r="E140" s="1">
        <v>1.25</v>
      </c>
      <c r="F140" s="1">
        <f t="shared" si="47"/>
        <v>571200</v>
      </c>
      <c r="G140" s="1">
        <f t="shared" si="38"/>
        <v>8500</v>
      </c>
      <c r="H140" s="1">
        <f t="shared" si="38"/>
        <v>2550</v>
      </c>
      <c r="I140" s="1">
        <f t="shared" si="38"/>
        <v>2550</v>
      </c>
      <c r="Q140" s="1">
        <f t="shared" si="33"/>
        <v>316</v>
      </c>
      <c r="R140" s="6" t="s">
        <v>2906</v>
      </c>
      <c r="S140" s="1">
        <v>3</v>
      </c>
      <c r="T140" s="6">
        <v>16</v>
      </c>
      <c r="U140" s="1">
        <f t="shared" si="39"/>
        <v>71400</v>
      </c>
      <c r="V140" s="1">
        <f t="shared" si="40"/>
        <v>1063</v>
      </c>
      <c r="W140" s="1">
        <f t="shared" si="41"/>
        <v>319</v>
      </c>
      <c r="X140" s="1">
        <f t="shared" si="42"/>
        <v>319</v>
      </c>
      <c r="Z140" s="22">
        <v>1.5</v>
      </c>
      <c r="AA140" s="1">
        <f t="shared" si="43"/>
        <v>214200</v>
      </c>
      <c r="AB140" s="1">
        <f t="shared" si="44"/>
        <v>1595</v>
      </c>
      <c r="AC140" s="1">
        <f t="shared" si="45"/>
        <v>319</v>
      </c>
      <c r="AD140" s="1">
        <f t="shared" si="46"/>
        <v>319</v>
      </c>
    </row>
    <row r="141" spans="1:31" ht="20.100000000000001" customHeight="1">
      <c r="A141" s="1">
        <f t="shared" si="48"/>
        <v>367</v>
      </c>
      <c r="B141" s="1">
        <v>67</v>
      </c>
      <c r="D141" s="1">
        <v>8</v>
      </c>
      <c r="E141" s="1">
        <v>1.25</v>
      </c>
      <c r="F141" s="1">
        <f t="shared" si="47"/>
        <v>579600</v>
      </c>
      <c r="G141" s="1">
        <f t="shared" si="38"/>
        <v>8625</v>
      </c>
      <c r="H141" s="1">
        <f t="shared" si="38"/>
        <v>2588</v>
      </c>
      <c r="I141" s="1">
        <f t="shared" si="38"/>
        <v>2588</v>
      </c>
      <c r="Q141" s="1">
        <f t="shared" si="33"/>
        <v>316</v>
      </c>
      <c r="R141" s="6" t="s">
        <v>2907</v>
      </c>
      <c r="S141" s="1">
        <v>3</v>
      </c>
      <c r="T141" s="6">
        <v>16</v>
      </c>
      <c r="U141" s="1">
        <f t="shared" si="39"/>
        <v>71400</v>
      </c>
      <c r="V141" s="1">
        <f t="shared" si="40"/>
        <v>1063</v>
      </c>
      <c r="W141" s="1">
        <f t="shared" si="41"/>
        <v>319</v>
      </c>
      <c r="X141" s="1">
        <f t="shared" si="42"/>
        <v>319</v>
      </c>
      <c r="Z141" s="22">
        <v>1.5</v>
      </c>
      <c r="AA141" s="1">
        <f t="shared" si="43"/>
        <v>214200</v>
      </c>
      <c r="AB141" s="1">
        <f t="shared" si="44"/>
        <v>1595</v>
      </c>
      <c r="AC141" s="1">
        <f t="shared" si="45"/>
        <v>319</v>
      </c>
      <c r="AD141" s="1">
        <f t="shared" si="46"/>
        <v>319</v>
      </c>
    </row>
    <row r="142" spans="1:31" ht="20.100000000000001" customHeight="1">
      <c r="A142" s="1">
        <f t="shared" si="48"/>
        <v>368</v>
      </c>
      <c r="B142" s="1">
        <v>68</v>
      </c>
      <c r="D142" s="1">
        <v>8</v>
      </c>
      <c r="E142" s="1">
        <v>1.25</v>
      </c>
      <c r="F142" s="1">
        <f t="shared" si="47"/>
        <v>588000</v>
      </c>
      <c r="G142" s="1">
        <f t="shared" si="38"/>
        <v>8750</v>
      </c>
      <c r="H142" s="1">
        <f t="shared" si="38"/>
        <v>2625</v>
      </c>
      <c r="I142" s="1">
        <f t="shared" si="38"/>
        <v>2625</v>
      </c>
      <c r="Q142" s="1">
        <f t="shared" si="33"/>
        <v>318</v>
      </c>
      <c r="R142" s="6" t="s">
        <v>2908</v>
      </c>
      <c r="S142" s="1">
        <v>3</v>
      </c>
      <c r="T142" s="6">
        <v>18</v>
      </c>
      <c r="U142" s="1">
        <f t="shared" si="39"/>
        <v>79800</v>
      </c>
      <c r="V142" s="1">
        <f t="shared" si="40"/>
        <v>1188</v>
      </c>
      <c r="W142" s="1">
        <f t="shared" si="41"/>
        <v>356</v>
      </c>
      <c r="X142" s="1">
        <f t="shared" si="42"/>
        <v>356</v>
      </c>
      <c r="Z142" s="22">
        <v>1.5</v>
      </c>
      <c r="AA142" s="1">
        <f t="shared" si="43"/>
        <v>239400</v>
      </c>
      <c r="AB142" s="1">
        <f t="shared" si="44"/>
        <v>1782</v>
      </c>
      <c r="AC142" s="1">
        <f t="shared" si="45"/>
        <v>356</v>
      </c>
      <c r="AD142" s="1">
        <f t="shared" si="46"/>
        <v>356</v>
      </c>
    </row>
    <row r="143" spans="1:31" ht="20.100000000000001" customHeight="1">
      <c r="A143" s="1">
        <f t="shared" si="48"/>
        <v>369</v>
      </c>
      <c r="B143" s="1">
        <v>69</v>
      </c>
      <c r="D143" s="1">
        <v>8</v>
      </c>
      <c r="E143" s="1">
        <v>1.25</v>
      </c>
      <c r="F143" s="1">
        <f t="shared" si="47"/>
        <v>596400</v>
      </c>
      <c r="G143" s="1">
        <f t="shared" si="38"/>
        <v>8875</v>
      </c>
      <c r="H143" s="1">
        <f t="shared" si="38"/>
        <v>2663</v>
      </c>
      <c r="I143" s="1">
        <f t="shared" si="38"/>
        <v>2663</v>
      </c>
      <c r="Q143" s="1"/>
      <c r="R143" s="6"/>
      <c r="S143" s="1"/>
      <c r="T143" s="6"/>
      <c r="U143" s="1"/>
      <c r="V143" s="1"/>
      <c r="W143" s="1"/>
      <c r="X143" s="1"/>
    </row>
    <row r="144" spans="1:31" ht="20.100000000000001" customHeight="1">
      <c r="A144" s="1">
        <f t="shared" si="48"/>
        <v>370</v>
      </c>
      <c r="B144" s="1">
        <v>70</v>
      </c>
      <c r="D144" s="1">
        <v>8</v>
      </c>
      <c r="E144" s="1">
        <v>1.25</v>
      </c>
      <c r="F144" s="1">
        <f t="shared" si="47"/>
        <v>604800</v>
      </c>
      <c r="G144" s="1">
        <f t="shared" si="38"/>
        <v>9000</v>
      </c>
      <c r="H144" s="1">
        <f t="shared" si="38"/>
        <v>2700</v>
      </c>
      <c r="I144" s="1">
        <f t="shared" si="38"/>
        <v>2700</v>
      </c>
      <c r="Q144" s="1">
        <f t="shared" si="33"/>
        <v>122</v>
      </c>
      <c r="R144" s="6" t="s">
        <v>2912</v>
      </c>
      <c r="S144" s="1">
        <v>1</v>
      </c>
      <c r="T144" s="6">
        <v>22</v>
      </c>
      <c r="U144" s="1">
        <f t="shared" ref="U144:U152" si="49">LOOKUP($Q144,$A:$A,F:F)</f>
        <v>12600</v>
      </c>
      <c r="V144" s="1">
        <f t="shared" ref="V144:V152" si="50">LOOKUP($Q144,$A:$A,G:G)</f>
        <v>1200</v>
      </c>
      <c r="W144" s="1">
        <f t="shared" ref="W144:W152" si="51">LOOKUP($Q144,$A:$A,H:H)</f>
        <v>360</v>
      </c>
      <c r="X144" s="1">
        <f t="shared" ref="X144:X152" si="52">LOOKUP($Q144,$A:$A,I:I)</f>
        <v>360</v>
      </c>
      <c r="Z144" s="22">
        <v>1.2</v>
      </c>
      <c r="AA144" s="1">
        <f>U144*3</f>
        <v>37800</v>
      </c>
      <c r="AB144" s="1">
        <f t="shared" ref="AB144:AB152" si="53">V144*3</f>
        <v>3600</v>
      </c>
      <c r="AC144" s="1">
        <f>W144</f>
        <v>360</v>
      </c>
      <c r="AD144" s="1">
        <f>X144</f>
        <v>360</v>
      </c>
    </row>
    <row r="145" spans="17:30" ht="20.100000000000001" customHeight="1">
      <c r="Q145" s="1">
        <f t="shared" si="33"/>
        <v>122</v>
      </c>
      <c r="R145" s="6" t="s">
        <v>2913</v>
      </c>
      <c r="S145" s="1">
        <v>1</v>
      </c>
      <c r="T145" s="6">
        <v>22</v>
      </c>
      <c r="U145" s="1">
        <f t="shared" si="49"/>
        <v>12600</v>
      </c>
      <c r="V145" s="1">
        <f t="shared" si="50"/>
        <v>1200</v>
      </c>
      <c r="W145" s="1">
        <f t="shared" si="51"/>
        <v>360</v>
      </c>
      <c r="X145" s="1">
        <f t="shared" si="52"/>
        <v>360</v>
      </c>
      <c r="Z145" s="22">
        <v>1.2</v>
      </c>
      <c r="AA145" s="1">
        <f t="shared" ref="AA145:AA152" si="54">U145*3</f>
        <v>37800</v>
      </c>
      <c r="AB145" s="1">
        <f t="shared" si="53"/>
        <v>3600</v>
      </c>
      <c r="AC145" s="1">
        <f t="shared" ref="AC145:AC152" si="55">W145</f>
        <v>360</v>
      </c>
      <c r="AD145" s="1">
        <f t="shared" ref="AD145:AD152" si="56">X145</f>
        <v>360</v>
      </c>
    </row>
    <row r="146" spans="17:30" ht="20.100000000000001" customHeight="1">
      <c r="Q146" s="1">
        <f t="shared" si="33"/>
        <v>122</v>
      </c>
      <c r="R146" s="6" t="s">
        <v>2914</v>
      </c>
      <c r="S146" s="1">
        <v>1</v>
      </c>
      <c r="T146" s="6">
        <v>22</v>
      </c>
      <c r="U146" s="1">
        <f t="shared" si="49"/>
        <v>12600</v>
      </c>
      <c r="V146" s="1">
        <f t="shared" si="50"/>
        <v>1200</v>
      </c>
      <c r="W146" s="1">
        <f t="shared" si="51"/>
        <v>360</v>
      </c>
      <c r="X146" s="1">
        <f t="shared" si="52"/>
        <v>360</v>
      </c>
      <c r="Z146" s="22">
        <v>1.2</v>
      </c>
      <c r="AA146" s="1">
        <f t="shared" si="54"/>
        <v>37800</v>
      </c>
      <c r="AB146" s="1">
        <f t="shared" si="53"/>
        <v>3600</v>
      </c>
      <c r="AC146" s="1">
        <f t="shared" si="55"/>
        <v>360</v>
      </c>
      <c r="AD146" s="1">
        <f t="shared" si="56"/>
        <v>360</v>
      </c>
    </row>
    <row r="147" spans="17:30" ht="20.100000000000001" customHeight="1">
      <c r="Q147" s="1">
        <f t="shared" si="33"/>
        <v>122</v>
      </c>
      <c r="R147" s="6" t="s">
        <v>2915</v>
      </c>
      <c r="S147" s="1">
        <v>1</v>
      </c>
      <c r="T147" s="6">
        <v>22</v>
      </c>
      <c r="U147" s="1">
        <f t="shared" si="49"/>
        <v>12600</v>
      </c>
      <c r="V147" s="1">
        <f t="shared" si="50"/>
        <v>1200</v>
      </c>
      <c r="W147" s="1">
        <f t="shared" si="51"/>
        <v>360</v>
      </c>
      <c r="X147" s="1">
        <f t="shared" si="52"/>
        <v>360</v>
      </c>
      <c r="Z147" s="22">
        <v>1.2</v>
      </c>
      <c r="AA147" s="1">
        <f t="shared" si="54"/>
        <v>37800</v>
      </c>
      <c r="AB147" s="1">
        <f t="shared" si="53"/>
        <v>3600</v>
      </c>
      <c r="AC147" s="1">
        <f t="shared" si="55"/>
        <v>360</v>
      </c>
      <c r="AD147" s="1">
        <f t="shared" si="56"/>
        <v>360</v>
      </c>
    </row>
    <row r="148" spans="17:30" ht="20.100000000000001" customHeight="1">
      <c r="Q148" s="1">
        <f t="shared" si="33"/>
        <v>323</v>
      </c>
      <c r="R148" s="6" t="s">
        <v>2916</v>
      </c>
      <c r="S148" s="1">
        <v>3</v>
      </c>
      <c r="T148" s="6">
        <v>23</v>
      </c>
      <c r="U148" s="1">
        <f t="shared" si="49"/>
        <v>109200</v>
      </c>
      <c r="V148" s="1">
        <f t="shared" si="50"/>
        <v>1625</v>
      </c>
      <c r="W148" s="1">
        <f t="shared" si="51"/>
        <v>488</v>
      </c>
      <c r="X148" s="1">
        <f t="shared" si="52"/>
        <v>488</v>
      </c>
      <c r="Z148" s="22">
        <v>1.5</v>
      </c>
      <c r="AA148" s="1">
        <f t="shared" si="54"/>
        <v>327600</v>
      </c>
      <c r="AB148" s="1">
        <f t="shared" si="53"/>
        <v>4875</v>
      </c>
      <c r="AC148" s="1">
        <f t="shared" si="55"/>
        <v>488</v>
      </c>
      <c r="AD148" s="1">
        <f t="shared" si="56"/>
        <v>488</v>
      </c>
    </row>
    <row r="149" spans="17:30" ht="20.100000000000001" customHeight="1">
      <c r="Q149" s="1">
        <f t="shared" si="33"/>
        <v>323</v>
      </c>
      <c r="R149" s="6" t="s">
        <v>2917</v>
      </c>
      <c r="S149" s="1">
        <v>3</v>
      </c>
      <c r="T149" s="6">
        <v>23</v>
      </c>
      <c r="U149" s="1">
        <f t="shared" si="49"/>
        <v>109200</v>
      </c>
      <c r="V149" s="1">
        <f t="shared" si="50"/>
        <v>1625</v>
      </c>
      <c r="W149" s="1">
        <f t="shared" si="51"/>
        <v>488</v>
      </c>
      <c r="X149" s="1">
        <f t="shared" si="52"/>
        <v>488</v>
      </c>
      <c r="Z149" s="22">
        <v>1.5</v>
      </c>
      <c r="AA149" s="1">
        <f t="shared" si="54"/>
        <v>327600</v>
      </c>
      <c r="AB149" s="1">
        <f t="shared" si="53"/>
        <v>4875</v>
      </c>
      <c r="AC149" s="1">
        <f t="shared" si="55"/>
        <v>488</v>
      </c>
      <c r="AD149" s="1">
        <f t="shared" si="56"/>
        <v>488</v>
      </c>
    </row>
    <row r="150" spans="17:30" ht="20.100000000000001" customHeight="1">
      <c r="Q150" s="1">
        <f t="shared" si="33"/>
        <v>323</v>
      </c>
      <c r="R150" s="6" t="s">
        <v>2918</v>
      </c>
      <c r="S150" s="1">
        <v>3</v>
      </c>
      <c r="T150" s="6">
        <v>23</v>
      </c>
      <c r="U150" s="1">
        <f t="shared" si="49"/>
        <v>109200</v>
      </c>
      <c r="V150" s="1">
        <f t="shared" si="50"/>
        <v>1625</v>
      </c>
      <c r="W150" s="1">
        <f t="shared" si="51"/>
        <v>488</v>
      </c>
      <c r="X150" s="1">
        <f t="shared" si="52"/>
        <v>488</v>
      </c>
      <c r="Z150" s="22">
        <v>1.5</v>
      </c>
      <c r="AA150" s="1">
        <f t="shared" si="54"/>
        <v>327600</v>
      </c>
      <c r="AB150" s="1">
        <f t="shared" si="53"/>
        <v>4875</v>
      </c>
      <c r="AC150" s="1">
        <f t="shared" si="55"/>
        <v>488</v>
      </c>
      <c r="AD150" s="1">
        <f t="shared" si="56"/>
        <v>488</v>
      </c>
    </row>
    <row r="151" spans="17:30" ht="20.100000000000001" customHeight="1">
      <c r="Q151" s="1">
        <f t="shared" si="33"/>
        <v>323</v>
      </c>
      <c r="R151" s="6" t="s">
        <v>2919</v>
      </c>
      <c r="S151" s="1">
        <v>3</v>
      </c>
      <c r="T151" s="6">
        <v>23</v>
      </c>
      <c r="U151" s="1">
        <f t="shared" si="49"/>
        <v>109200</v>
      </c>
      <c r="V151" s="1">
        <f t="shared" si="50"/>
        <v>1625</v>
      </c>
      <c r="W151" s="1">
        <f t="shared" si="51"/>
        <v>488</v>
      </c>
      <c r="X151" s="1">
        <f t="shared" si="52"/>
        <v>488</v>
      </c>
      <c r="Z151" s="22">
        <v>1.5</v>
      </c>
      <c r="AA151" s="1">
        <f t="shared" si="54"/>
        <v>327600</v>
      </c>
      <c r="AB151" s="1">
        <f t="shared" si="53"/>
        <v>4875</v>
      </c>
      <c r="AC151" s="1">
        <f t="shared" si="55"/>
        <v>488</v>
      </c>
      <c r="AD151" s="1">
        <f t="shared" si="56"/>
        <v>488</v>
      </c>
    </row>
    <row r="152" spans="17:30" ht="20.100000000000001" customHeight="1">
      <c r="Q152" s="1">
        <f t="shared" si="33"/>
        <v>325</v>
      </c>
      <c r="R152" s="6" t="s">
        <v>2920</v>
      </c>
      <c r="S152" s="1">
        <v>3</v>
      </c>
      <c r="T152" s="6">
        <v>25</v>
      </c>
      <c r="U152" s="1">
        <f t="shared" si="49"/>
        <v>126000</v>
      </c>
      <c r="V152" s="1">
        <f t="shared" si="50"/>
        <v>1875</v>
      </c>
      <c r="W152" s="1">
        <f t="shared" si="51"/>
        <v>563</v>
      </c>
      <c r="X152" s="1">
        <f t="shared" si="52"/>
        <v>563</v>
      </c>
      <c r="Z152" s="22">
        <v>1.5</v>
      </c>
      <c r="AA152" s="1">
        <f t="shared" si="54"/>
        <v>378000</v>
      </c>
      <c r="AB152" s="1">
        <f t="shared" si="53"/>
        <v>5625</v>
      </c>
      <c r="AC152" s="1">
        <f t="shared" si="55"/>
        <v>563</v>
      </c>
      <c r="AD152" s="1">
        <f t="shared" si="56"/>
        <v>563</v>
      </c>
    </row>
    <row r="153" spans="17:30" ht="20.100000000000001" customHeight="1">
      <c r="Q153" s="1"/>
      <c r="R153" s="6"/>
      <c r="S153" s="1"/>
      <c r="T153" s="6"/>
      <c r="U153" s="1"/>
      <c r="V153" s="1"/>
      <c r="W153" s="1"/>
      <c r="X153" s="1"/>
    </row>
    <row r="154" spans="17:30" ht="20.100000000000001" customHeight="1">
      <c r="Q154" s="1">
        <f t="shared" si="33"/>
        <v>132</v>
      </c>
      <c r="R154" s="6" t="s">
        <v>2922</v>
      </c>
      <c r="S154" s="1">
        <v>1</v>
      </c>
      <c r="T154" s="6">
        <v>32</v>
      </c>
      <c r="U154" s="1">
        <f t="shared" ref="U154:U162" si="57">LOOKUP($Q154,$A:$A,F:F)</f>
        <v>27300</v>
      </c>
      <c r="V154" s="1">
        <f t="shared" ref="V154:V162" si="58">LOOKUP($Q154,$A:$A,G:G)</f>
        <v>2600</v>
      </c>
      <c r="W154" s="1">
        <f t="shared" ref="W154:W162" si="59">LOOKUP($Q154,$A:$A,H:H)</f>
        <v>780</v>
      </c>
      <c r="X154" s="1">
        <f t="shared" ref="X154:X162" si="60">LOOKUP($Q154,$A:$A,I:I)</f>
        <v>780</v>
      </c>
      <c r="Z154" s="22">
        <v>1.2</v>
      </c>
      <c r="AA154" s="1">
        <f>U154*3</f>
        <v>81900</v>
      </c>
      <c r="AB154" s="1">
        <f t="shared" ref="AB154:AB162" si="61">V154*3</f>
        <v>7800</v>
      </c>
      <c r="AC154" s="1">
        <f>W154</f>
        <v>780</v>
      </c>
      <c r="AD154" s="1">
        <f>X154</f>
        <v>780</v>
      </c>
    </row>
    <row r="155" spans="17:30" ht="20.100000000000001" customHeight="1">
      <c r="Q155" s="1">
        <f t="shared" si="33"/>
        <v>132</v>
      </c>
      <c r="R155" s="6" t="s">
        <v>2923</v>
      </c>
      <c r="S155" s="1">
        <v>1</v>
      </c>
      <c r="T155" s="6">
        <v>32</v>
      </c>
      <c r="U155" s="1">
        <f t="shared" si="57"/>
        <v>27300</v>
      </c>
      <c r="V155" s="1">
        <f t="shared" si="58"/>
        <v>2600</v>
      </c>
      <c r="W155" s="1">
        <f t="shared" si="59"/>
        <v>780</v>
      </c>
      <c r="X155" s="1">
        <f t="shared" si="60"/>
        <v>780</v>
      </c>
      <c r="Z155" s="22">
        <v>1.2</v>
      </c>
      <c r="AA155" s="1">
        <f t="shared" ref="AA155:AA162" si="62">U155*3</f>
        <v>81900</v>
      </c>
      <c r="AB155" s="1">
        <f t="shared" si="61"/>
        <v>7800</v>
      </c>
      <c r="AC155" s="1">
        <f t="shared" ref="AC155:AC162" si="63">W155</f>
        <v>780</v>
      </c>
      <c r="AD155" s="1">
        <f t="shared" ref="AD155:AD162" si="64">X155</f>
        <v>780</v>
      </c>
    </row>
    <row r="156" spans="17:30" ht="20.100000000000001" customHeight="1">
      <c r="Q156" s="1">
        <f t="shared" si="33"/>
        <v>132</v>
      </c>
      <c r="R156" s="6" t="s">
        <v>2925</v>
      </c>
      <c r="S156" s="1">
        <v>1</v>
      </c>
      <c r="T156" s="6">
        <v>32</v>
      </c>
      <c r="U156" s="1">
        <f t="shared" si="57"/>
        <v>27300</v>
      </c>
      <c r="V156" s="1">
        <f t="shared" si="58"/>
        <v>2600</v>
      </c>
      <c r="W156" s="1">
        <f t="shared" si="59"/>
        <v>780</v>
      </c>
      <c r="X156" s="1">
        <f t="shared" si="60"/>
        <v>780</v>
      </c>
      <c r="Z156" s="22">
        <v>1.2</v>
      </c>
      <c r="AA156" s="1">
        <f t="shared" si="62"/>
        <v>81900</v>
      </c>
      <c r="AB156" s="1">
        <f t="shared" si="61"/>
        <v>7800</v>
      </c>
      <c r="AC156" s="1">
        <f t="shared" si="63"/>
        <v>780</v>
      </c>
      <c r="AD156" s="1">
        <f t="shared" si="64"/>
        <v>780</v>
      </c>
    </row>
    <row r="157" spans="17:30" ht="20.100000000000001" customHeight="1">
      <c r="Q157" s="1">
        <f t="shared" si="33"/>
        <v>132</v>
      </c>
      <c r="R157" s="6" t="s">
        <v>2926</v>
      </c>
      <c r="S157" s="1">
        <v>1</v>
      </c>
      <c r="T157" s="6">
        <v>32</v>
      </c>
      <c r="U157" s="1">
        <f t="shared" si="57"/>
        <v>27300</v>
      </c>
      <c r="V157" s="1">
        <f t="shared" si="58"/>
        <v>2600</v>
      </c>
      <c r="W157" s="1">
        <f t="shared" si="59"/>
        <v>780</v>
      </c>
      <c r="X157" s="1">
        <f t="shared" si="60"/>
        <v>780</v>
      </c>
      <c r="Z157" s="22">
        <v>1.2</v>
      </c>
      <c r="AA157" s="1">
        <f t="shared" si="62"/>
        <v>81900</v>
      </c>
      <c r="AB157" s="1">
        <f t="shared" si="61"/>
        <v>7800</v>
      </c>
      <c r="AC157" s="1">
        <f t="shared" si="63"/>
        <v>780</v>
      </c>
      <c r="AD157" s="1">
        <f t="shared" si="64"/>
        <v>780</v>
      </c>
    </row>
    <row r="158" spans="17:30" ht="20.100000000000001" customHeight="1">
      <c r="Q158" s="1">
        <f t="shared" si="33"/>
        <v>333</v>
      </c>
      <c r="R158" s="6" t="s">
        <v>2928</v>
      </c>
      <c r="S158" s="1">
        <v>3</v>
      </c>
      <c r="T158" s="6">
        <v>33</v>
      </c>
      <c r="U158" s="1">
        <f t="shared" si="57"/>
        <v>226800</v>
      </c>
      <c r="V158" s="1">
        <f t="shared" si="58"/>
        <v>3375</v>
      </c>
      <c r="W158" s="1">
        <f t="shared" si="59"/>
        <v>1013</v>
      </c>
      <c r="X158" s="1">
        <f t="shared" si="60"/>
        <v>1013</v>
      </c>
      <c r="Z158" s="22">
        <v>1.5</v>
      </c>
      <c r="AA158" s="1">
        <f t="shared" si="62"/>
        <v>680400</v>
      </c>
      <c r="AB158" s="1">
        <f t="shared" si="61"/>
        <v>10125</v>
      </c>
      <c r="AC158" s="1">
        <f t="shared" si="63"/>
        <v>1013</v>
      </c>
      <c r="AD158" s="1">
        <f t="shared" si="64"/>
        <v>1013</v>
      </c>
    </row>
    <row r="159" spans="17:30" ht="20.100000000000001" customHeight="1">
      <c r="Q159" s="1">
        <f t="shared" si="33"/>
        <v>333</v>
      </c>
      <c r="R159" s="6" t="s">
        <v>2499</v>
      </c>
      <c r="S159" s="1">
        <v>3</v>
      </c>
      <c r="T159" s="6">
        <v>33</v>
      </c>
      <c r="U159" s="1">
        <f t="shared" si="57"/>
        <v>226800</v>
      </c>
      <c r="V159" s="1">
        <f t="shared" si="58"/>
        <v>3375</v>
      </c>
      <c r="W159" s="1">
        <f t="shared" si="59"/>
        <v>1013</v>
      </c>
      <c r="X159" s="1">
        <f t="shared" si="60"/>
        <v>1013</v>
      </c>
      <c r="Z159" s="22">
        <v>1.5</v>
      </c>
      <c r="AA159" s="1">
        <f t="shared" si="62"/>
        <v>680400</v>
      </c>
      <c r="AB159" s="1">
        <f t="shared" si="61"/>
        <v>10125</v>
      </c>
      <c r="AC159" s="1">
        <f t="shared" si="63"/>
        <v>1013</v>
      </c>
      <c r="AD159" s="1">
        <f t="shared" si="64"/>
        <v>1013</v>
      </c>
    </row>
    <row r="160" spans="17:30" ht="20.100000000000001" customHeight="1">
      <c r="Q160" s="1">
        <f t="shared" si="33"/>
        <v>333</v>
      </c>
      <c r="R160" s="6" t="s">
        <v>2929</v>
      </c>
      <c r="S160" s="1">
        <v>3</v>
      </c>
      <c r="T160" s="6">
        <v>33</v>
      </c>
      <c r="U160" s="1">
        <f t="shared" si="57"/>
        <v>226800</v>
      </c>
      <c r="V160" s="1">
        <f t="shared" si="58"/>
        <v>3375</v>
      </c>
      <c r="W160" s="1">
        <f t="shared" si="59"/>
        <v>1013</v>
      </c>
      <c r="X160" s="1">
        <f t="shared" si="60"/>
        <v>1013</v>
      </c>
      <c r="Z160" s="22">
        <v>1.5</v>
      </c>
      <c r="AA160" s="1">
        <f t="shared" si="62"/>
        <v>680400</v>
      </c>
      <c r="AB160" s="1">
        <f t="shared" si="61"/>
        <v>10125</v>
      </c>
      <c r="AC160" s="1">
        <f t="shared" si="63"/>
        <v>1013</v>
      </c>
      <c r="AD160" s="1">
        <f t="shared" si="64"/>
        <v>1013</v>
      </c>
    </row>
    <row r="161" spans="17:30" ht="20.100000000000001" customHeight="1">
      <c r="Q161" s="1">
        <f t="shared" si="33"/>
        <v>333</v>
      </c>
      <c r="R161" s="6" t="s">
        <v>2930</v>
      </c>
      <c r="S161" s="1">
        <v>3</v>
      </c>
      <c r="T161" s="6">
        <v>33</v>
      </c>
      <c r="U161" s="1">
        <f t="shared" si="57"/>
        <v>226800</v>
      </c>
      <c r="V161" s="1">
        <f t="shared" si="58"/>
        <v>3375</v>
      </c>
      <c r="W161" s="1">
        <f t="shared" si="59"/>
        <v>1013</v>
      </c>
      <c r="X161" s="1">
        <f t="shared" si="60"/>
        <v>1013</v>
      </c>
      <c r="Z161" s="22">
        <v>1.5</v>
      </c>
      <c r="AA161" s="1">
        <f t="shared" si="62"/>
        <v>680400</v>
      </c>
      <c r="AB161" s="1">
        <f t="shared" si="61"/>
        <v>10125</v>
      </c>
      <c r="AC161" s="1">
        <f t="shared" si="63"/>
        <v>1013</v>
      </c>
      <c r="AD161" s="1">
        <f t="shared" si="64"/>
        <v>1013</v>
      </c>
    </row>
    <row r="162" spans="17:30" ht="20.100000000000001" customHeight="1">
      <c r="Q162" s="1">
        <f t="shared" si="33"/>
        <v>335</v>
      </c>
      <c r="R162" s="6" t="s">
        <v>2931</v>
      </c>
      <c r="S162" s="1">
        <v>3</v>
      </c>
      <c r="T162" s="6">
        <v>35</v>
      </c>
      <c r="U162" s="1">
        <f t="shared" si="57"/>
        <v>243600</v>
      </c>
      <c r="V162" s="1">
        <f t="shared" si="58"/>
        <v>3625</v>
      </c>
      <c r="W162" s="1">
        <f t="shared" si="59"/>
        <v>1088</v>
      </c>
      <c r="X162" s="1">
        <f t="shared" si="60"/>
        <v>1088</v>
      </c>
      <c r="Z162" s="22">
        <v>1.5</v>
      </c>
      <c r="AA162" s="1">
        <f t="shared" si="62"/>
        <v>730800</v>
      </c>
      <c r="AB162" s="1">
        <f t="shared" si="61"/>
        <v>10875</v>
      </c>
      <c r="AC162" s="1">
        <f t="shared" si="63"/>
        <v>1088</v>
      </c>
      <c r="AD162" s="1">
        <f t="shared" si="64"/>
        <v>1088</v>
      </c>
    </row>
    <row r="163" spans="17:30" ht="20.100000000000001" customHeight="1">
      <c r="R163" s="6"/>
      <c r="T163" s="6"/>
    </row>
    <row r="164" spans="17:30" ht="20.100000000000001" customHeight="1">
      <c r="Q164" s="1">
        <f t="shared" si="33"/>
        <v>142</v>
      </c>
      <c r="R164" s="6" t="s">
        <v>2933</v>
      </c>
      <c r="S164" s="1">
        <v>1</v>
      </c>
      <c r="T164" s="6">
        <v>42</v>
      </c>
      <c r="U164" s="1">
        <f t="shared" ref="U164:U172" si="65">LOOKUP($Q164,$A:$A,F:F)</f>
        <v>42000</v>
      </c>
      <c r="V164" s="1">
        <f t="shared" ref="V164:V172" si="66">LOOKUP($Q164,$A:$A,G:G)</f>
        <v>4000</v>
      </c>
      <c r="W164" s="1">
        <f t="shared" ref="W164:W172" si="67">LOOKUP($Q164,$A:$A,H:H)</f>
        <v>1200</v>
      </c>
      <c r="X164" s="1">
        <f t="shared" ref="X164:X172" si="68">LOOKUP($Q164,$A:$A,I:I)</f>
        <v>1200</v>
      </c>
      <c r="Z164" s="22">
        <v>1.2</v>
      </c>
      <c r="AA164" s="1">
        <f>U164*3</f>
        <v>126000</v>
      </c>
      <c r="AB164" s="1">
        <f t="shared" ref="AB164:AB172" si="69">V164*3</f>
        <v>12000</v>
      </c>
      <c r="AC164" s="1">
        <f>W164</f>
        <v>1200</v>
      </c>
      <c r="AD164" s="1">
        <f>X164</f>
        <v>1200</v>
      </c>
    </row>
    <row r="165" spans="17:30" ht="20.100000000000001" customHeight="1">
      <c r="Q165" s="1">
        <f t="shared" si="33"/>
        <v>142</v>
      </c>
      <c r="R165" s="6" t="s">
        <v>2936</v>
      </c>
      <c r="S165" s="1">
        <v>1</v>
      </c>
      <c r="T165" s="6">
        <v>42</v>
      </c>
      <c r="U165" s="1">
        <f t="shared" si="65"/>
        <v>42000</v>
      </c>
      <c r="V165" s="1">
        <f t="shared" si="66"/>
        <v>4000</v>
      </c>
      <c r="W165" s="1">
        <f t="shared" si="67"/>
        <v>1200</v>
      </c>
      <c r="X165" s="1">
        <f t="shared" si="68"/>
        <v>1200</v>
      </c>
      <c r="Z165" s="22">
        <v>1.2</v>
      </c>
      <c r="AA165" s="1">
        <f t="shared" ref="AA165:AA172" si="70">U165*3</f>
        <v>126000</v>
      </c>
      <c r="AB165" s="1">
        <f t="shared" si="69"/>
        <v>12000</v>
      </c>
      <c r="AC165" s="1">
        <f t="shared" ref="AC165:AC172" si="71">W165</f>
        <v>1200</v>
      </c>
      <c r="AD165" s="1">
        <f t="shared" ref="AD165:AD172" si="72">X165</f>
        <v>1200</v>
      </c>
    </row>
    <row r="166" spans="17:30" ht="20.100000000000001" customHeight="1">
      <c r="Q166" s="1">
        <f t="shared" si="33"/>
        <v>142</v>
      </c>
      <c r="R166" s="6" t="s">
        <v>2937</v>
      </c>
      <c r="S166" s="1">
        <v>1</v>
      </c>
      <c r="T166" s="6">
        <v>42</v>
      </c>
      <c r="U166" s="1">
        <f t="shared" si="65"/>
        <v>42000</v>
      </c>
      <c r="V166" s="1">
        <f t="shared" si="66"/>
        <v>4000</v>
      </c>
      <c r="W166" s="1">
        <f t="shared" si="67"/>
        <v>1200</v>
      </c>
      <c r="X166" s="1">
        <f t="shared" si="68"/>
        <v>1200</v>
      </c>
      <c r="Z166" s="22">
        <v>1.2</v>
      </c>
      <c r="AA166" s="1">
        <f t="shared" si="70"/>
        <v>126000</v>
      </c>
      <c r="AB166" s="1">
        <f t="shared" si="69"/>
        <v>12000</v>
      </c>
      <c r="AC166" s="1">
        <f t="shared" si="71"/>
        <v>1200</v>
      </c>
      <c r="AD166" s="1">
        <f t="shared" si="72"/>
        <v>1200</v>
      </c>
    </row>
    <row r="167" spans="17:30" ht="20.100000000000001" customHeight="1">
      <c r="Q167" s="1">
        <f t="shared" si="33"/>
        <v>142</v>
      </c>
      <c r="R167" s="6" t="s">
        <v>2938</v>
      </c>
      <c r="S167" s="1">
        <v>1</v>
      </c>
      <c r="T167" s="6">
        <v>42</v>
      </c>
      <c r="U167" s="1">
        <f t="shared" si="65"/>
        <v>42000</v>
      </c>
      <c r="V167" s="1">
        <f t="shared" si="66"/>
        <v>4000</v>
      </c>
      <c r="W167" s="1">
        <f t="shared" si="67"/>
        <v>1200</v>
      </c>
      <c r="X167" s="1">
        <f t="shared" si="68"/>
        <v>1200</v>
      </c>
      <c r="Z167" s="22">
        <v>1.2</v>
      </c>
      <c r="AA167" s="1">
        <f t="shared" si="70"/>
        <v>126000</v>
      </c>
      <c r="AB167" s="1">
        <f t="shared" si="69"/>
        <v>12000</v>
      </c>
      <c r="AC167" s="1">
        <f t="shared" si="71"/>
        <v>1200</v>
      </c>
      <c r="AD167" s="1">
        <f t="shared" si="72"/>
        <v>1200</v>
      </c>
    </row>
    <row r="168" spans="17:30" ht="20.100000000000001" customHeight="1">
      <c r="Q168" s="1">
        <f t="shared" si="33"/>
        <v>343</v>
      </c>
      <c r="R168" s="6" t="s">
        <v>2939</v>
      </c>
      <c r="S168" s="1">
        <v>3</v>
      </c>
      <c r="T168" s="6">
        <v>43</v>
      </c>
      <c r="U168" s="1">
        <f t="shared" si="65"/>
        <v>344400</v>
      </c>
      <c r="V168" s="1">
        <f t="shared" si="66"/>
        <v>5125</v>
      </c>
      <c r="W168" s="1">
        <f t="shared" si="67"/>
        <v>1538</v>
      </c>
      <c r="X168" s="1">
        <f t="shared" si="68"/>
        <v>1538</v>
      </c>
      <c r="Z168" s="22">
        <v>1.5</v>
      </c>
      <c r="AA168" s="1">
        <f t="shared" si="70"/>
        <v>1033200</v>
      </c>
      <c r="AB168" s="1">
        <f t="shared" si="69"/>
        <v>15375</v>
      </c>
      <c r="AC168" s="1">
        <f t="shared" si="71"/>
        <v>1538</v>
      </c>
      <c r="AD168" s="1">
        <f t="shared" si="72"/>
        <v>1538</v>
      </c>
    </row>
    <row r="169" spans="17:30" ht="20.100000000000001" customHeight="1">
      <c r="Q169" s="1">
        <f t="shared" si="33"/>
        <v>343</v>
      </c>
      <c r="R169" s="6" t="s">
        <v>2940</v>
      </c>
      <c r="S169" s="1">
        <v>3</v>
      </c>
      <c r="T169" s="6">
        <v>43</v>
      </c>
      <c r="U169" s="1">
        <f t="shared" si="65"/>
        <v>344400</v>
      </c>
      <c r="V169" s="1">
        <f t="shared" si="66"/>
        <v>5125</v>
      </c>
      <c r="W169" s="1">
        <f t="shared" si="67"/>
        <v>1538</v>
      </c>
      <c r="X169" s="1">
        <f t="shared" si="68"/>
        <v>1538</v>
      </c>
      <c r="Z169" s="22">
        <v>1.5</v>
      </c>
      <c r="AA169" s="1">
        <f t="shared" si="70"/>
        <v>1033200</v>
      </c>
      <c r="AB169" s="1">
        <f t="shared" si="69"/>
        <v>15375</v>
      </c>
      <c r="AC169" s="1">
        <f t="shared" si="71"/>
        <v>1538</v>
      </c>
      <c r="AD169" s="1">
        <f t="shared" si="72"/>
        <v>1538</v>
      </c>
    </row>
    <row r="170" spans="17:30" ht="20.100000000000001" customHeight="1">
      <c r="Q170" s="1">
        <f t="shared" si="33"/>
        <v>343</v>
      </c>
      <c r="R170" s="6" t="s">
        <v>2941</v>
      </c>
      <c r="S170" s="1">
        <v>3</v>
      </c>
      <c r="T170" s="6">
        <v>43</v>
      </c>
      <c r="U170" s="1">
        <f t="shared" si="65"/>
        <v>344400</v>
      </c>
      <c r="V170" s="1">
        <f t="shared" si="66"/>
        <v>5125</v>
      </c>
      <c r="W170" s="1">
        <f t="shared" si="67"/>
        <v>1538</v>
      </c>
      <c r="X170" s="1">
        <f t="shared" si="68"/>
        <v>1538</v>
      </c>
      <c r="Z170" s="22">
        <v>1.5</v>
      </c>
      <c r="AA170" s="1">
        <f t="shared" si="70"/>
        <v>1033200</v>
      </c>
      <c r="AB170" s="1">
        <f t="shared" si="69"/>
        <v>15375</v>
      </c>
      <c r="AC170" s="1">
        <f t="shared" si="71"/>
        <v>1538</v>
      </c>
      <c r="AD170" s="1">
        <f t="shared" si="72"/>
        <v>1538</v>
      </c>
    </row>
    <row r="171" spans="17:30" ht="20.100000000000001" customHeight="1">
      <c r="Q171" s="1">
        <f t="shared" si="33"/>
        <v>343</v>
      </c>
      <c r="R171" s="6" t="s">
        <v>2942</v>
      </c>
      <c r="S171" s="1">
        <v>3</v>
      </c>
      <c r="T171" s="6">
        <v>43</v>
      </c>
      <c r="U171" s="1">
        <f t="shared" si="65"/>
        <v>344400</v>
      </c>
      <c r="V171" s="1">
        <f t="shared" si="66"/>
        <v>5125</v>
      </c>
      <c r="W171" s="1">
        <f t="shared" si="67"/>
        <v>1538</v>
      </c>
      <c r="X171" s="1">
        <f t="shared" si="68"/>
        <v>1538</v>
      </c>
      <c r="Z171" s="22">
        <v>1.5</v>
      </c>
      <c r="AA171" s="1">
        <f t="shared" si="70"/>
        <v>1033200</v>
      </c>
      <c r="AB171" s="1">
        <f t="shared" si="69"/>
        <v>15375</v>
      </c>
      <c r="AC171" s="1">
        <f t="shared" si="71"/>
        <v>1538</v>
      </c>
      <c r="AD171" s="1">
        <f t="shared" si="72"/>
        <v>1538</v>
      </c>
    </row>
    <row r="172" spans="17:30" ht="20.100000000000001" customHeight="1">
      <c r="Q172" s="1">
        <f t="shared" si="33"/>
        <v>345</v>
      </c>
      <c r="R172" s="6" t="s">
        <v>2943</v>
      </c>
      <c r="S172" s="1">
        <v>3</v>
      </c>
      <c r="T172" s="6">
        <v>45</v>
      </c>
      <c r="U172" s="1">
        <f t="shared" si="65"/>
        <v>361200</v>
      </c>
      <c r="V172" s="1">
        <f t="shared" si="66"/>
        <v>5375</v>
      </c>
      <c r="W172" s="1">
        <f t="shared" si="67"/>
        <v>1613</v>
      </c>
      <c r="X172" s="1">
        <f t="shared" si="68"/>
        <v>1613</v>
      </c>
      <c r="Z172" s="22">
        <v>1.5</v>
      </c>
      <c r="AA172" s="1">
        <f t="shared" si="70"/>
        <v>1083600</v>
      </c>
      <c r="AB172" s="1">
        <f t="shared" si="69"/>
        <v>16125</v>
      </c>
      <c r="AC172" s="1">
        <f t="shared" si="71"/>
        <v>1613</v>
      </c>
      <c r="AD172" s="1">
        <f t="shared" si="72"/>
        <v>1613</v>
      </c>
    </row>
    <row r="173" spans="17:30" ht="20.100000000000001" customHeight="1">
      <c r="R173" s="6"/>
      <c r="T173" s="6"/>
    </row>
    <row r="174" spans="17:30" ht="20.100000000000001" customHeight="1">
      <c r="Q174" s="1">
        <f t="shared" si="33"/>
        <v>152</v>
      </c>
      <c r="R174" s="6" t="s">
        <v>2944</v>
      </c>
      <c r="S174" s="1">
        <v>1</v>
      </c>
      <c r="T174" s="6">
        <v>52</v>
      </c>
      <c r="U174" s="1">
        <f t="shared" ref="U174:U182" si="73">LOOKUP($Q174,$A:$A,F:F)</f>
        <v>56700</v>
      </c>
      <c r="V174" s="1">
        <f t="shared" ref="V174:V182" si="74">LOOKUP($Q174,$A:$A,G:G)</f>
        <v>5400</v>
      </c>
      <c r="W174" s="1">
        <f t="shared" ref="W174:W182" si="75">LOOKUP($Q174,$A:$A,H:H)</f>
        <v>1620</v>
      </c>
      <c r="X174" s="1">
        <f t="shared" ref="X174:X182" si="76">LOOKUP($Q174,$A:$A,I:I)</f>
        <v>1620</v>
      </c>
      <c r="Z174" s="22">
        <v>1.2</v>
      </c>
      <c r="AA174" s="1">
        <f>U174*3</f>
        <v>170100</v>
      </c>
      <c r="AB174" s="1">
        <f t="shared" ref="AB174:AB182" si="77">V174*3</f>
        <v>16200</v>
      </c>
      <c r="AC174" s="1">
        <f>W174</f>
        <v>1620</v>
      </c>
      <c r="AD174" s="1">
        <f>X174</f>
        <v>1620</v>
      </c>
    </row>
    <row r="175" spans="17:30" ht="20.100000000000001" customHeight="1">
      <c r="Q175" s="1">
        <f t="shared" si="33"/>
        <v>152</v>
      </c>
      <c r="R175" s="6" t="s">
        <v>2945</v>
      </c>
      <c r="S175" s="1">
        <v>1</v>
      </c>
      <c r="T175" s="6">
        <v>52</v>
      </c>
      <c r="U175" s="1">
        <f t="shared" si="73"/>
        <v>56700</v>
      </c>
      <c r="V175" s="1">
        <f t="shared" si="74"/>
        <v>5400</v>
      </c>
      <c r="W175" s="1">
        <f t="shared" si="75"/>
        <v>1620</v>
      </c>
      <c r="X175" s="1">
        <f t="shared" si="76"/>
        <v>1620</v>
      </c>
      <c r="Z175" s="22">
        <v>1.2</v>
      </c>
      <c r="AA175" s="1">
        <f t="shared" ref="AA175:AA182" si="78">U175*3</f>
        <v>170100</v>
      </c>
      <c r="AB175" s="1">
        <f t="shared" si="77"/>
        <v>16200</v>
      </c>
      <c r="AC175" s="1">
        <f t="shared" ref="AC175:AC182" si="79">W175</f>
        <v>1620</v>
      </c>
      <c r="AD175" s="1">
        <f t="shared" ref="AD175:AD182" si="80">X175</f>
        <v>1620</v>
      </c>
    </row>
    <row r="176" spans="17:30" ht="20.100000000000001" customHeight="1">
      <c r="Q176" s="1">
        <f t="shared" si="33"/>
        <v>152</v>
      </c>
      <c r="R176" s="6" t="s">
        <v>2946</v>
      </c>
      <c r="S176" s="1">
        <v>1</v>
      </c>
      <c r="T176" s="6">
        <v>52</v>
      </c>
      <c r="U176" s="1">
        <f t="shared" si="73"/>
        <v>56700</v>
      </c>
      <c r="V176" s="1">
        <f t="shared" si="74"/>
        <v>5400</v>
      </c>
      <c r="W176" s="1">
        <f t="shared" si="75"/>
        <v>1620</v>
      </c>
      <c r="X176" s="1">
        <f t="shared" si="76"/>
        <v>1620</v>
      </c>
      <c r="Z176" s="22">
        <v>1.2</v>
      </c>
      <c r="AA176" s="1">
        <f t="shared" si="78"/>
        <v>170100</v>
      </c>
      <c r="AB176" s="1">
        <f t="shared" si="77"/>
        <v>16200</v>
      </c>
      <c r="AC176" s="1">
        <f t="shared" si="79"/>
        <v>1620</v>
      </c>
      <c r="AD176" s="1">
        <f t="shared" si="80"/>
        <v>1620</v>
      </c>
    </row>
    <row r="177" spans="17:30" ht="20.100000000000001" customHeight="1">
      <c r="Q177" s="1">
        <f t="shared" si="33"/>
        <v>152</v>
      </c>
      <c r="R177" s="6" t="s">
        <v>2947</v>
      </c>
      <c r="S177" s="1">
        <v>1</v>
      </c>
      <c r="T177" s="6">
        <v>52</v>
      </c>
      <c r="U177" s="1">
        <f t="shared" si="73"/>
        <v>56700</v>
      </c>
      <c r="V177" s="1">
        <f t="shared" si="74"/>
        <v>5400</v>
      </c>
      <c r="W177" s="1">
        <f t="shared" si="75"/>
        <v>1620</v>
      </c>
      <c r="X177" s="1">
        <f t="shared" si="76"/>
        <v>1620</v>
      </c>
      <c r="Z177" s="22">
        <v>1.2</v>
      </c>
      <c r="AA177" s="1">
        <f t="shared" si="78"/>
        <v>170100</v>
      </c>
      <c r="AB177" s="1">
        <f t="shared" si="77"/>
        <v>16200</v>
      </c>
      <c r="AC177" s="1">
        <f t="shared" si="79"/>
        <v>1620</v>
      </c>
      <c r="AD177" s="1">
        <f t="shared" si="80"/>
        <v>1620</v>
      </c>
    </row>
    <row r="178" spans="17:30" ht="20.100000000000001" customHeight="1">
      <c r="Q178" s="1">
        <f t="shared" si="33"/>
        <v>354</v>
      </c>
      <c r="R178" s="6" t="s">
        <v>2950</v>
      </c>
      <c r="S178" s="1">
        <v>3</v>
      </c>
      <c r="T178" s="6">
        <v>54</v>
      </c>
      <c r="U178" s="1">
        <f t="shared" si="73"/>
        <v>470400</v>
      </c>
      <c r="V178" s="1">
        <f t="shared" si="74"/>
        <v>7000</v>
      </c>
      <c r="W178" s="1">
        <f t="shared" si="75"/>
        <v>2100</v>
      </c>
      <c r="X178" s="1">
        <f t="shared" si="76"/>
        <v>2100</v>
      </c>
      <c r="Z178" s="22">
        <v>1.5</v>
      </c>
      <c r="AA178" s="1">
        <f t="shared" si="78"/>
        <v>1411200</v>
      </c>
      <c r="AB178" s="1">
        <f t="shared" si="77"/>
        <v>21000</v>
      </c>
      <c r="AC178" s="1">
        <f t="shared" si="79"/>
        <v>2100</v>
      </c>
      <c r="AD178" s="1">
        <f t="shared" si="80"/>
        <v>2100</v>
      </c>
    </row>
    <row r="179" spans="17:30" ht="20.100000000000001" customHeight="1">
      <c r="Q179" s="1">
        <f t="shared" si="33"/>
        <v>354</v>
      </c>
      <c r="R179" s="6" t="s">
        <v>2951</v>
      </c>
      <c r="S179" s="1">
        <v>3</v>
      </c>
      <c r="T179" s="6">
        <v>54</v>
      </c>
      <c r="U179" s="1">
        <f t="shared" si="73"/>
        <v>470400</v>
      </c>
      <c r="V179" s="1">
        <f t="shared" si="74"/>
        <v>7000</v>
      </c>
      <c r="W179" s="1">
        <f t="shared" si="75"/>
        <v>2100</v>
      </c>
      <c r="X179" s="1">
        <f t="shared" si="76"/>
        <v>2100</v>
      </c>
      <c r="Z179" s="22">
        <v>1.5</v>
      </c>
      <c r="AA179" s="1">
        <f t="shared" si="78"/>
        <v>1411200</v>
      </c>
      <c r="AB179" s="1">
        <f t="shared" si="77"/>
        <v>21000</v>
      </c>
      <c r="AC179" s="1">
        <f t="shared" si="79"/>
        <v>2100</v>
      </c>
      <c r="AD179" s="1">
        <f t="shared" si="80"/>
        <v>2100</v>
      </c>
    </row>
    <row r="180" spans="17:30" ht="20.100000000000001" customHeight="1">
      <c r="Q180" s="1">
        <f t="shared" si="33"/>
        <v>354</v>
      </c>
      <c r="R180" s="6" t="s">
        <v>2952</v>
      </c>
      <c r="S180" s="1">
        <v>3</v>
      </c>
      <c r="T180" s="6">
        <v>54</v>
      </c>
      <c r="U180" s="1">
        <f t="shared" si="73"/>
        <v>470400</v>
      </c>
      <c r="V180" s="1">
        <f t="shared" si="74"/>
        <v>7000</v>
      </c>
      <c r="W180" s="1">
        <f t="shared" si="75"/>
        <v>2100</v>
      </c>
      <c r="X180" s="1">
        <f t="shared" si="76"/>
        <v>2100</v>
      </c>
      <c r="Z180" s="22">
        <v>1.5</v>
      </c>
      <c r="AA180" s="1">
        <f t="shared" si="78"/>
        <v>1411200</v>
      </c>
      <c r="AB180" s="1">
        <f t="shared" si="77"/>
        <v>21000</v>
      </c>
      <c r="AC180" s="1">
        <f t="shared" si="79"/>
        <v>2100</v>
      </c>
      <c r="AD180" s="1">
        <f t="shared" si="80"/>
        <v>2100</v>
      </c>
    </row>
    <row r="181" spans="17:30" ht="20.100000000000001" customHeight="1">
      <c r="Q181" s="1">
        <f t="shared" si="33"/>
        <v>354</v>
      </c>
      <c r="R181" s="6" t="s">
        <v>2953</v>
      </c>
      <c r="S181" s="1">
        <v>3</v>
      </c>
      <c r="T181" s="6">
        <v>54</v>
      </c>
      <c r="U181" s="1">
        <f t="shared" si="73"/>
        <v>470400</v>
      </c>
      <c r="V181" s="1">
        <f t="shared" si="74"/>
        <v>7000</v>
      </c>
      <c r="W181" s="1">
        <f t="shared" si="75"/>
        <v>2100</v>
      </c>
      <c r="X181" s="1">
        <f t="shared" si="76"/>
        <v>2100</v>
      </c>
      <c r="Z181" s="22">
        <v>1.5</v>
      </c>
      <c r="AA181" s="1">
        <f t="shared" si="78"/>
        <v>1411200</v>
      </c>
      <c r="AB181" s="1">
        <f t="shared" si="77"/>
        <v>21000</v>
      </c>
      <c r="AC181" s="1">
        <f t="shared" si="79"/>
        <v>2100</v>
      </c>
      <c r="AD181" s="1">
        <f t="shared" si="80"/>
        <v>2100</v>
      </c>
    </row>
    <row r="182" spans="17:30" ht="20.100000000000001" customHeight="1">
      <c r="Q182" s="1">
        <f t="shared" si="33"/>
        <v>355</v>
      </c>
      <c r="R182" s="6" t="s">
        <v>2954</v>
      </c>
      <c r="S182" s="1">
        <v>3</v>
      </c>
      <c r="T182" s="6">
        <v>55</v>
      </c>
      <c r="U182" s="1">
        <f t="shared" si="73"/>
        <v>478800</v>
      </c>
      <c r="V182" s="1">
        <f t="shared" si="74"/>
        <v>7125</v>
      </c>
      <c r="W182" s="1">
        <f t="shared" si="75"/>
        <v>2138</v>
      </c>
      <c r="X182" s="1">
        <f t="shared" si="76"/>
        <v>2138</v>
      </c>
      <c r="Z182" s="22">
        <v>1.5</v>
      </c>
      <c r="AA182" s="1">
        <f t="shared" si="78"/>
        <v>1436400</v>
      </c>
      <c r="AB182" s="1">
        <f t="shared" si="77"/>
        <v>21375</v>
      </c>
      <c r="AC182" s="1">
        <f t="shared" si="79"/>
        <v>2138</v>
      </c>
      <c r="AD182" s="1">
        <f t="shared" si="80"/>
        <v>2138</v>
      </c>
    </row>
  </sheetData>
  <phoneticPr fontId="35" type="noConversion"/>
  <pageMargins left="0.69930555555555596" right="0.69930555555555596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X50"/>
  <sheetViews>
    <sheetView workbookViewId="0">
      <selection activeCell="D19" sqref="D19"/>
    </sheetView>
  </sheetViews>
  <sheetFormatPr defaultColWidth="9" defaultRowHeight="14.25"/>
  <cols>
    <col min="3" max="3" width="17.375" customWidth="1"/>
    <col min="4" max="4" width="64.625" customWidth="1"/>
    <col min="15" max="15" width="11.375" customWidth="1"/>
    <col min="16" max="16" width="41.75" customWidth="1"/>
  </cols>
  <sheetData>
    <row r="1" spans="2:24" s="5" customFormat="1" ht="20.100000000000001" customHeight="1"/>
    <row r="2" spans="2:24" s="5" customFormat="1" ht="20.100000000000001" customHeight="1">
      <c r="B2" s="6">
        <v>72001011</v>
      </c>
      <c r="C2" s="6" t="s">
        <v>2587</v>
      </c>
      <c r="H2" s="6">
        <v>72002011</v>
      </c>
      <c r="I2" s="6" t="s">
        <v>2588</v>
      </c>
      <c r="N2" s="6">
        <v>72003011</v>
      </c>
      <c r="O2" s="6" t="s">
        <v>2589</v>
      </c>
      <c r="S2" s="6">
        <v>72004011</v>
      </c>
      <c r="T2" s="6" t="s">
        <v>2590</v>
      </c>
    </row>
    <row r="3" spans="2:24" s="5" customFormat="1" ht="20.100000000000001" customHeight="1">
      <c r="I3" s="1" t="s">
        <v>2591</v>
      </c>
      <c r="P3" s="3" t="s">
        <v>2592</v>
      </c>
      <c r="U3" s="5" t="s">
        <v>2593</v>
      </c>
    </row>
    <row r="4" spans="2:24" s="5" customFormat="1" ht="20.100000000000001" customHeight="1">
      <c r="C4" s="1" t="s">
        <v>483</v>
      </c>
      <c r="I4" s="1" t="s">
        <v>2594</v>
      </c>
      <c r="P4" s="3" t="s">
        <v>2595</v>
      </c>
      <c r="U4" s="5" t="s">
        <v>2596</v>
      </c>
    </row>
    <row r="5" spans="2:24" s="5" customFormat="1" ht="20.100000000000001" customHeight="1">
      <c r="C5" s="1" t="s">
        <v>111</v>
      </c>
      <c r="I5" s="1" t="s">
        <v>2597</v>
      </c>
      <c r="P5" s="5" t="s">
        <v>2598</v>
      </c>
      <c r="U5" s="5" t="s">
        <v>90</v>
      </c>
    </row>
    <row r="6" spans="2:24" s="5" customFormat="1" ht="20.100000000000001" customHeight="1">
      <c r="C6" s="1" t="s">
        <v>2599</v>
      </c>
      <c r="I6" s="1" t="s">
        <v>2323</v>
      </c>
      <c r="O6" s="1" t="s">
        <v>205</v>
      </c>
      <c r="P6" s="3" t="s">
        <v>2600</v>
      </c>
    </row>
    <row r="7" spans="2:24" s="5" customFormat="1" ht="20.100000000000001" customHeight="1"/>
    <row r="8" spans="2:24" s="5" customFormat="1" ht="20.100000000000001" customHeight="1"/>
    <row r="9" spans="2:24" s="5" customFormat="1" ht="20.100000000000001" customHeight="1"/>
    <row r="10" spans="2:24" s="5" customFormat="1" ht="20.100000000000001" customHeight="1"/>
    <row r="11" spans="2:24" s="5" customFormat="1" ht="20.100000000000001" customHeight="1">
      <c r="B11" s="6">
        <v>72001012</v>
      </c>
      <c r="C11" s="6" t="s">
        <v>2601</v>
      </c>
      <c r="H11" s="6">
        <v>72002012</v>
      </c>
      <c r="I11" s="6" t="s">
        <v>2602</v>
      </c>
      <c r="N11" s="6">
        <v>72003012</v>
      </c>
      <c r="O11" s="6" t="s">
        <v>2603</v>
      </c>
      <c r="S11" s="6">
        <v>72004012</v>
      </c>
      <c r="T11" s="6" t="s">
        <v>2604</v>
      </c>
      <c r="X11" s="5" t="s">
        <v>2605</v>
      </c>
    </row>
    <row r="12" spans="2:24" s="5" customFormat="1" ht="20.100000000000001" customHeight="1">
      <c r="I12" s="5" t="s">
        <v>2606</v>
      </c>
      <c r="O12" s="1"/>
      <c r="P12" s="7" t="s">
        <v>2607</v>
      </c>
      <c r="U12" s="5" t="s">
        <v>2608</v>
      </c>
    </row>
    <row r="13" spans="2:24" s="5" customFormat="1" ht="20.100000000000001" customHeight="1">
      <c r="C13" s="1" t="s">
        <v>2609</v>
      </c>
      <c r="O13" s="1" t="s">
        <v>2610</v>
      </c>
      <c r="P13" s="7" t="s">
        <v>2611</v>
      </c>
      <c r="U13" s="5" t="s">
        <v>205</v>
      </c>
    </row>
    <row r="14" spans="2:24" s="5" customFormat="1" ht="20.100000000000001" customHeight="1">
      <c r="C14" s="1" t="s">
        <v>2612</v>
      </c>
      <c r="O14" s="1"/>
      <c r="P14" s="3" t="s">
        <v>2613</v>
      </c>
      <c r="U14" s="5" t="s">
        <v>2614</v>
      </c>
    </row>
    <row r="15" spans="2:24" s="5" customFormat="1" ht="20.100000000000001" customHeight="1">
      <c r="C15" s="1" t="s">
        <v>2615</v>
      </c>
      <c r="P15" s="5" t="s">
        <v>2616</v>
      </c>
      <c r="U15" s="5" t="s">
        <v>2617</v>
      </c>
    </row>
    <row r="16" spans="2:24" s="5" customFormat="1" ht="20.100000000000001" customHeight="1">
      <c r="C16" s="1" t="s">
        <v>2618</v>
      </c>
      <c r="P16" s="3"/>
    </row>
    <row r="17" spans="2:21" s="5" customFormat="1" ht="20.100000000000001" customHeight="1">
      <c r="C17" s="1" t="s">
        <v>90</v>
      </c>
    </row>
    <row r="18" spans="2:21" s="5" customFormat="1" ht="20.100000000000001" customHeight="1"/>
    <row r="19" spans="2:21" s="5" customFormat="1" ht="20.100000000000001" customHeight="1"/>
    <row r="20" spans="2:21" s="5" customFormat="1" ht="20.100000000000001" customHeight="1"/>
    <row r="21" spans="2:21" s="5" customFormat="1" ht="20.100000000000001" customHeight="1">
      <c r="B21" s="6">
        <v>72001013</v>
      </c>
      <c r="C21" s="6" t="s">
        <v>2619</v>
      </c>
      <c r="H21" s="6">
        <v>72002013</v>
      </c>
      <c r="I21" s="6" t="s">
        <v>2620</v>
      </c>
      <c r="M21" s="3" t="s">
        <v>2621</v>
      </c>
      <c r="N21" s="6">
        <v>72003013</v>
      </c>
      <c r="O21" s="6" t="s">
        <v>2622</v>
      </c>
      <c r="S21" s="6">
        <v>72004013</v>
      </c>
      <c r="T21" s="6" t="s">
        <v>2623</v>
      </c>
    </row>
    <row r="22" spans="2:21" s="5" customFormat="1" ht="20.100000000000001" customHeight="1">
      <c r="I22" s="1" t="s">
        <v>2624</v>
      </c>
      <c r="J22" s="7" t="s">
        <v>2625</v>
      </c>
      <c r="P22" s="3" t="s">
        <v>2626</v>
      </c>
      <c r="U22" s="5" t="s">
        <v>2627</v>
      </c>
    </row>
    <row r="23" spans="2:21" s="5" customFormat="1" ht="20.100000000000001" customHeight="1">
      <c r="C23" s="1" t="s">
        <v>2628</v>
      </c>
      <c r="I23" s="1" t="s">
        <v>2612</v>
      </c>
      <c r="O23" s="1" t="s">
        <v>2629</v>
      </c>
      <c r="P23" s="7" t="s">
        <v>2630</v>
      </c>
      <c r="U23" s="5" t="s">
        <v>2631</v>
      </c>
    </row>
    <row r="24" spans="2:21" s="5" customFormat="1" ht="20.100000000000001" customHeight="1">
      <c r="C24" s="1" t="s">
        <v>2632</v>
      </c>
      <c r="I24" s="5" t="s">
        <v>2633</v>
      </c>
      <c r="O24" s="1" t="s">
        <v>2634</v>
      </c>
      <c r="P24" s="7" t="s">
        <v>2635</v>
      </c>
      <c r="U24" s="5" t="s">
        <v>2636</v>
      </c>
    </row>
    <row r="25" spans="2:21" s="5" customFormat="1" ht="20.100000000000001" customHeight="1">
      <c r="C25" s="1" t="s">
        <v>2637</v>
      </c>
      <c r="I25" s="1" t="s">
        <v>2638</v>
      </c>
      <c r="P25" s="3" t="s">
        <v>2639</v>
      </c>
      <c r="T25" s="5" t="s">
        <v>2640</v>
      </c>
      <c r="U25" s="5" t="s">
        <v>2641</v>
      </c>
    </row>
    <row r="26" spans="2:21" s="5" customFormat="1" ht="20.100000000000001" customHeight="1">
      <c r="C26" s="1" t="s">
        <v>2638</v>
      </c>
      <c r="I26" s="1" t="s">
        <v>2642</v>
      </c>
      <c r="P26" s="5" t="s">
        <v>2643</v>
      </c>
      <c r="U26" s="3" t="s">
        <v>2643</v>
      </c>
    </row>
    <row r="27" spans="2:21" s="5" customFormat="1" ht="20.100000000000001" customHeight="1">
      <c r="C27" s="1" t="s">
        <v>2642</v>
      </c>
      <c r="P27" s="3" t="s">
        <v>2644</v>
      </c>
      <c r="U27" s="7" t="s">
        <v>2638</v>
      </c>
    </row>
    <row r="28" spans="2:21" s="5" customFormat="1" ht="20.100000000000001" customHeight="1">
      <c r="C28" s="1" t="s">
        <v>2645</v>
      </c>
      <c r="U28" s="7" t="s">
        <v>2642</v>
      </c>
    </row>
    <row r="29" spans="2:21" s="5" customFormat="1" ht="20.100000000000001" customHeight="1"/>
    <row r="30" spans="2:21" s="5" customFormat="1" ht="20.100000000000001" customHeight="1"/>
    <row r="31" spans="2:21" s="5" customFormat="1" ht="20.100000000000001" customHeight="1"/>
    <row r="32" spans="2:21" s="5" customFormat="1" ht="20.100000000000001" customHeight="1"/>
    <row r="33" s="5" customFormat="1" ht="20.100000000000001" customHeight="1"/>
    <row r="34" s="5" customFormat="1" ht="20.100000000000001" customHeight="1"/>
    <row r="35" s="5" customFormat="1" ht="20.100000000000001" customHeight="1"/>
    <row r="36" s="5" customFormat="1" ht="20.100000000000001" customHeight="1"/>
    <row r="37" s="5" customFormat="1" ht="20.100000000000001" customHeight="1"/>
    <row r="38" s="5" customFormat="1" ht="20.100000000000001" customHeight="1"/>
    <row r="39" s="5" customFormat="1" ht="20.100000000000001" customHeight="1"/>
    <row r="40" s="5" customFormat="1" ht="20.100000000000001" customHeight="1"/>
    <row r="41" s="5" customFormat="1" ht="20.100000000000001" customHeight="1"/>
    <row r="42" s="5" customFormat="1" ht="20.100000000000001" customHeight="1"/>
    <row r="43" s="5" customFormat="1" ht="20.100000000000001" customHeight="1"/>
    <row r="44" s="5" customFormat="1" ht="20.100000000000001" customHeight="1"/>
    <row r="45" s="5" customFormat="1" ht="20.100000000000001" customHeight="1"/>
    <row r="46" s="5" customFormat="1" ht="20.100000000000001" customHeight="1"/>
    <row r="47" s="5" customFormat="1" ht="20.100000000000001" customHeight="1"/>
    <row r="48" s="5" customFormat="1" ht="20.100000000000001" customHeight="1"/>
    <row r="49" s="5" customFormat="1" ht="20.100000000000001" customHeight="1"/>
    <row r="50" s="5" customFormat="1" ht="20.100000000000001" customHeight="1"/>
  </sheetData>
  <phoneticPr fontId="35" type="noConversion"/>
  <pageMargins left="0.69930555555555596" right="0.69930555555555596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3:J34"/>
  <sheetViews>
    <sheetView topLeftCell="A4" workbookViewId="0">
      <selection activeCell="H26" sqref="H26"/>
    </sheetView>
  </sheetViews>
  <sheetFormatPr defaultColWidth="9" defaultRowHeight="14.25"/>
  <cols>
    <col min="1" max="1" width="12.875" customWidth="1"/>
    <col min="2" max="2" width="16.25" style="1" customWidth="1"/>
    <col min="5" max="5" width="15.125" customWidth="1"/>
  </cols>
  <sheetData>
    <row r="3" spans="2:6">
      <c r="B3" s="1" t="s">
        <v>1338</v>
      </c>
      <c r="E3" s="3" t="s">
        <v>2646</v>
      </c>
      <c r="F3" t="s">
        <v>2647</v>
      </c>
    </row>
    <row r="4" spans="2:6">
      <c r="B4" s="1" t="s">
        <v>2648</v>
      </c>
      <c r="C4" s="1"/>
      <c r="E4" t="s">
        <v>2649</v>
      </c>
    </row>
    <row r="5" spans="2:6">
      <c r="B5" s="1" t="s">
        <v>2650</v>
      </c>
      <c r="C5" s="1"/>
      <c r="E5" t="s">
        <v>2651</v>
      </c>
    </row>
    <row r="6" spans="2:6">
      <c r="B6" s="1" t="s">
        <v>2652</v>
      </c>
      <c r="C6" s="1"/>
      <c r="E6" t="s">
        <v>2653</v>
      </c>
    </row>
    <row r="7" spans="2:6">
      <c r="B7" s="1" t="s">
        <v>2652</v>
      </c>
      <c r="C7" s="1"/>
      <c r="E7" t="s">
        <v>2654</v>
      </c>
    </row>
    <row r="8" spans="2:6">
      <c r="B8" s="1" t="s">
        <v>2655</v>
      </c>
      <c r="C8" s="1" t="s">
        <v>2656</v>
      </c>
      <c r="E8" t="s">
        <v>2657</v>
      </c>
    </row>
    <row r="9" spans="2:6">
      <c r="B9" s="1" t="s">
        <v>2658</v>
      </c>
      <c r="C9" s="1" t="s">
        <v>2656</v>
      </c>
      <c r="E9" s="3" t="s">
        <v>2659</v>
      </c>
    </row>
    <row r="11" spans="2:6">
      <c r="B11" s="1" t="s">
        <v>2660</v>
      </c>
      <c r="C11" s="1"/>
      <c r="E11" t="s">
        <v>2661</v>
      </c>
    </row>
    <row r="12" spans="2:6">
      <c r="B12" s="1" t="s">
        <v>2662</v>
      </c>
      <c r="C12" s="1"/>
      <c r="E12" t="s">
        <v>2663</v>
      </c>
    </row>
    <row r="13" spans="2:6">
      <c r="B13" s="1" t="s">
        <v>2662</v>
      </c>
      <c r="C13" s="1"/>
      <c r="E13" t="s">
        <v>2664</v>
      </c>
    </row>
    <row r="16" spans="2:6">
      <c r="B16" s="1" t="s">
        <v>2665</v>
      </c>
      <c r="C16" s="1" t="s">
        <v>2656</v>
      </c>
    </row>
    <row r="17" spans="1:10">
      <c r="B17" s="1" t="s">
        <v>2666</v>
      </c>
      <c r="C17" s="1" t="s">
        <v>2656</v>
      </c>
    </row>
    <row r="18" spans="1:10">
      <c r="B18" s="1" t="s">
        <v>2667</v>
      </c>
      <c r="C18" s="1" t="s">
        <v>2656</v>
      </c>
    </row>
    <row r="19" spans="1:10">
      <c r="B19" s="1" t="s">
        <v>2666</v>
      </c>
      <c r="C19" s="1" t="s">
        <v>2656</v>
      </c>
    </row>
    <row r="20" spans="1:10">
      <c r="E20" t="s">
        <v>2668</v>
      </c>
    </row>
    <row r="21" spans="1:10">
      <c r="E21" t="s">
        <v>2669</v>
      </c>
    </row>
    <row r="22" spans="1:10">
      <c r="A22" t="s">
        <v>2670</v>
      </c>
      <c r="B22" s="4" t="s">
        <v>2671</v>
      </c>
    </row>
    <row r="23" spans="1:10">
      <c r="B23" s="1" t="s">
        <v>2672</v>
      </c>
    </row>
    <row r="24" spans="1:10">
      <c r="B24" s="1" t="s">
        <v>2673</v>
      </c>
    </row>
    <row r="25" spans="1:10">
      <c r="B25" s="1" t="s">
        <v>2674</v>
      </c>
    </row>
    <row r="26" spans="1:10">
      <c r="B26" s="1" t="s">
        <v>2675</v>
      </c>
    </row>
    <row r="28" spans="1:10">
      <c r="B28" s="1" t="s">
        <v>2676</v>
      </c>
      <c r="C28" s="1"/>
      <c r="E28" t="s">
        <v>2677</v>
      </c>
    </row>
    <row r="29" spans="1:10">
      <c r="J29">
        <f>60*3</f>
        <v>180</v>
      </c>
    </row>
    <row r="30" spans="1:10">
      <c r="E30" t="s">
        <v>2678</v>
      </c>
    </row>
    <row r="31" spans="1:10">
      <c r="E31" t="s">
        <v>2679</v>
      </c>
    </row>
    <row r="34" spans="2:2">
      <c r="B34" s="1" t="s">
        <v>2680</v>
      </c>
    </row>
  </sheetData>
  <phoneticPr fontId="35" type="noConversion"/>
  <pageMargins left="0.75" right="0.75" top="1" bottom="1" header="0.51180555555555596" footer="0.51180555555555596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1:R30"/>
  <sheetViews>
    <sheetView workbookViewId="0">
      <selection activeCell="N7" sqref="N7"/>
    </sheetView>
  </sheetViews>
  <sheetFormatPr defaultColWidth="9" defaultRowHeight="14.25"/>
  <cols>
    <col min="10" max="10" width="16.5" customWidth="1"/>
    <col min="18" max="18" width="12.625"/>
  </cols>
  <sheetData>
    <row r="1" spans="3:18" ht="20.100000000000001" customHeight="1"/>
    <row r="2" spans="3:18" ht="20.100000000000001" customHeight="1"/>
    <row r="3" spans="3:18" ht="20.100000000000001" customHeight="1"/>
    <row r="4" spans="3:18" ht="20.100000000000001" customHeight="1">
      <c r="C4" s="1"/>
      <c r="D4" s="1"/>
      <c r="E4" s="1"/>
      <c r="F4" s="1">
        <f>SUM(F6:F6:F25)</f>
        <v>14120</v>
      </c>
      <c r="G4" s="1">
        <f>SUM(G6:G6:G25)</f>
        <v>84720</v>
      </c>
      <c r="H4" s="1" t="s">
        <v>1264</v>
      </c>
      <c r="I4" s="1"/>
      <c r="J4" s="1">
        <f>SUM(J6:J25)/100000000</f>
        <v>16.943999999999999</v>
      </c>
      <c r="K4" s="1" t="s">
        <v>2681</v>
      </c>
    </row>
    <row r="5" spans="3:18" ht="20.100000000000001" customHeight="1">
      <c r="C5" s="1"/>
      <c r="D5" s="1" t="s">
        <v>2682</v>
      </c>
      <c r="E5" s="1" t="s">
        <v>649</v>
      </c>
      <c r="F5" s="1"/>
      <c r="G5" s="1"/>
      <c r="H5" s="1"/>
      <c r="I5" s="1"/>
      <c r="J5" s="1"/>
      <c r="N5" s="1" t="s">
        <v>2683</v>
      </c>
    </row>
    <row r="6" spans="3:18" ht="20.100000000000001" customHeight="1">
      <c r="C6" s="1">
        <v>1</v>
      </c>
      <c r="D6" s="1">
        <v>3000</v>
      </c>
      <c r="E6" s="1">
        <v>3000</v>
      </c>
      <c r="F6" s="1">
        <f>E6/200</f>
        <v>15</v>
      </c>
      <c r="G6" s="1">
        <f>F6*6</f>
        <v>90</v>
      </c>
      <c r="H6" s="2">
        <v>0.01</v>
      </c>
      <c r="I6" s="1"/>
      <c r="J6" s="1">
        <f>F6*120000</f>
        <v>1800000</v>
      </c>
      <c r="M6" s="1" t="s">
        <v>2684</v>
      </c>
      <c r="N6" s="1">
        <v>1</v>
      </c>
      <c r="R6">
        <v>300</v>
      </c>
    </row>
    <row r="7" spans="3:18" ht="20.100000000000001" customHeight="1">
      <c r="C7" s="1">
        <v>2</v>
      </c>
      <c r="D7" s="1">
        <v>3000</v>
      </c>
      <c r="E7" s="1">
        <f>E6+D7</f>
        <v>6000</v>
      </c>
      <c r="F7" s="1">
        <f t="shared" ref="F7:F15" si="0">E7/200</f>
        <v>30</v>
      </c>
      <c r="G7" s="1">
        <f t="shared" ref="G7:G15" si="1">F7*6</f>
        <v>180</v>
      </c>
      <c r="H7" s="2">
        <v>0.02</v>
      </c>
      <c r="I7" s="1"/>
      <c r="J7" s="1">
        <f t="shared" ref="J7:J15" si="2">F7*120000</f>
        <v>3600000</v>
      </c>
      <c r="M7" s="1" t="s">
        <v>2685</v>
      </c>
      <c r="N7" s="1">
        <v>200</v>
      </c>
      <c r="O7" s="3"/>
      <c r="R7">
        <v>100000</v>
      </c>
    </row>
    <row r="8" spans="3:18" ht="20.100000000000001" customHeight="1">
      <c r="C8" s="1">
        <v>3</v>
      </c>
      <c r="D8" s="1">
        <v>4000</v>
      </c>
      <c r="E8" s="1">
        <f t="shared" ref="E8:E25" si="3">E7+D8</f>
        <v>10000</v>
      </c>
      <c r="F8" s="1">
        <f t="shared" si="0"/>
        <v>50</v>
      </c>
      <c r="G8" s="1">
        <f t="shared" si="1"/>
        <v>300</v>
      </c>
      <c r="H8" s="2">
        <v>0.03</v>
      </c>
      <c r="I8" s="1"/>
      <c r="J8" s="1">
        <f t="shared" si="2"/>
        <v>6000000</v>
      </c>
      <c r="M8" s="1" t="s">
        <v>2686</v>
      </c>
      <c r="N8" s="1">
        <v>300</v>
      </c>
      <c r="O8" s="3"/>
      <c r="R8">
        <f>R7/R6</f>
        <v>333.33333333333331</v>
      </c>
    </row>
    <row r="9" spans="3:18" ht="20.100000000000001" customHeight="1">
      <c r="C9" s="1">
        <v>4</v>
      </c>
      <c r="D9" s="1">
        <v>5000</v>
      </c>
      <c r="E9" s="1">
        <f t="shared" si="3"/>
        <v>15000</v>
      </c>
      <c r="F9" s="1">
        <f t="shared" si="0"/>
        <v>75</v>
      </c>
      <c r="G9" s="1">
        <f t="shared" si="1"/>
        <v>450</v>
      </c>
      <c r="H9" s="2">
        <v>0.04</v>
      </c>
      <c r="I9" s="1"/>
      <c r="J9" s="1">
        <f t="shared" si="2"/>
        <v>9000000</v>
      </c>
      <c r="N9" t="s">
        <v>2687</v>
      </c>
    </row>
    <row r="10" spans="3:18" ht="20.100000000000001" customHeight="1">
      <c r="C10" s="1">
        <v>5</v>
      </c>
      <c r="D10" s="1">
        <v>7500</v>
      </c>
      <c r="E10" s="1">
        <f t="shared" si="3"/>
        <v>22500</v>
      </c>
      <c r="F10" s="1">
        <f t="shared" si="0"/>
        <v>112.5</v>
      </c>
      <c r="G10" s="1">
        <f t="shared" si="1"/>
        <v>675</v>
      </c>
      <c r="H10" s="2">
        <v>0.05</v>
      </c>
      <c r="I10" s="1"/>
      <c r="J10" s="1">
        <f t="shared" si="2"/>
        <v>13500000</v>
      </c>
    </row>
    <row r="11" spans="3:18" ht="20.100000000000001" customHeight="1">
      <c r="C11" s="1">
        <v>6</v>
      </c>
      <c r="D11" s="1">
        <f t="shared" ref="D11:D13" si="4">D10+2500</f>
        <v>10000</v>
      </c>
      <c r="E11" s="1">
        <f t="shared" si="3"/>
        <v>32500</v>
      </c>
      <c r="F11" s="1">
        <f t="shared" si="0"/>
        <v>162.5</v>
      </c>
      <c r="G11" s="1">
        <f t="shared" si="1"/>
        <v>975</v>
      </c>
      <c r="H11" s="2">
        <v>0.06</v>
      </c>
      <c r="I11" s="1"/>
      <c r="J11" s="1">
        <f t="shared" si="2"/>
        <v>19500000</v>
      </c>
    </row>
    <row r="12" spans="3:18" ht="20.100000000000001" customHeight="1">
      <c r="C12" s="1">
        <v>7</v>
      </c>
      <c r="D12" s="1">
        <f t="shared" si="4"/>
        <v>12500</v>
      </c>
      <c r="E12" s="1">
        <f t="shared" si="3"/>
        <v>45000</v>
      </c>
      <c r="F12" s="1">
        <f t="shared" si="0"/>
        <v>225</v>
      </c>
      <c r="G12" s="1">
        <f t="shared" si="1"/>
        <v>1350</v>
      </c>
      <c r="H12" s="2">
        <v>7.0000000000000007E-2</v>
      </c>
      <c r="I12" s="1"/>
      <c r="J12" s="1">
        <f t="shared" si="2"/>
        <v>27000000</v>
      </c>
    </row>
    <row r="13" spans="3:18" ht="20.100000000000001" customHeight="1">
      <c r="C13" s="1">
        <v>8</v>
      </c>
      <c r="D13" s="1">
        <f t="shared" si="4"/>
        <v>15000</v>
      </c>
      <c r="E13" s="1">
        <f t="shared" si="3"/>
        <v>60000</v>
      </c>
      <c r="F13" s="1">
        <f t="shared" si="0"/>
        <v>300</v>
      </c>
      <c r="G13" s="1">
        <f t="shared" si="1"/>
        <v>1800</v>
      </c>
      <c r="H13" s="2">
        <v>0.08</v>
      </c>
      <c r="I13" s="1"/>
      <c r="J13" s="1">
        <f t="shared" si="2"/>
        <v>36000000</v>
      </c>
    </row>
    <row r="14" spans="3:18" ht="20.100000000000001" customHeight="1">
      <c r="C14" s="1">
        <v>9</v>
      </c>
      <c r="D14" s="1">
        <f>D13+5000</f>
        <v>20000</v>
      </c>
      <c r="E14" s="1">
        <f t="shared" si="3"/>
        <v>80000</v>
      </c>
      <c r="F14" s="1">
        <f t="shared" si="0"/>
        <v>400</v>
      </c>
      <c r="G14" s="1">
        <f t="shared" si="1"/>
        <v>2400</v>
      </c>
      <c r="H14" s="2">
        <v>0.09</v>
      </c>
      <c r="I14" s="1"/>
      <c r="J14" s="1">
        <f t="shared" si="2"/>
        <v>48000000</v>
      </c>
    </row>
    <row r="15" spans="3:18" ht="20.100000000000001" customHeight="1">
      <c r="C15" s="1">
        <v>10</v>
      </c>
      <c r="D15" s="1">
        <v>20000</v>
      </c>
      <c r="E15" s="1">
        <f t="shared" si="3"/>
        <v>100000</v>
      </c>
      <c r="F15" s="1">
        <f t="shared" si="0"/>
        <v>500</v>
      </c>
      <c r="G15" s="1">
        <f t="shared" si="1"/>
        <v>3000</v>
      </c>
      <c r="H15" s="2">
        <v>0.1</v>
      </c>
      <c r="I15" s="1"/>
      <c r="J15" s="1">
        <f t="shared" si="2"/>
        <v>60000000</v>
      </c>
    </row>
    <row r="16" spans="3:18" ht="20.100000000000001" customHeight="1">
      <c r="C16" s="1">
        <v>11</v>
      </c>
      <c r="D16" s="1">
        <v>20000</v>
      </c>
      <c r="E16" s="1">
        <f t="shared" si="3"/>
        <v>120000</v>
      </c>
      <c r="F16" s="1">
        <f t="shared" ref="F16:F25" si="5">E16/200</f>
        <v>600</v>
      </c>
      <c r="G16" s="1">
        <f t="shared" ref="G16:G25" si="6">F16*6</f>
        <v>3600</v>
      </c>
      <c r="H16" s="2">
        <v>0.11</v>
      </c>
      <c r="I16" s="1"/>
      <c r="J16" s="1">
        <f t="shared" ref="J16:J25" si="7">F16*120000</f>
        <v>72000000</v>
      </c>
    </row>
    <row r="17" spans="3:10" ht="20.100000000000001" customHeight="1">
      <c r="C17" s="1">
        <v>12</v>
      </c>
      <c r="D17" s="1">
        <v>20000</v>
      </c>
      <c r="E17" s="1">
        <f t="shared" si="3"/>
        <v>140000</v>
      </c>
      <c r="F17" s="1">
        <f t="shared" si="5"/>
        <v>700</v>
      </c>
      <c r="G17" s="1">
        <f t="shared" si="6"/>
        <v>4200</v>
      </c>
      <c r="H17" s="2">
        <v>0.12</v>
      </c>
      <c r="I17" s="1"/>
      <c r="J17" s="1">
        <f t="shared" si="7"/>
        <v>84000000</v>
      </c>
    </row>
    <row r="18" spans="3:10" ht="20.100000000000001" customHeight="1">
      <c r="C18" s="1">
        <v>13</v>
      </c>
      <c r="D18" s="1">
        <v>20000</v>
      </c>
      <c r="E18" s="1">
        <f t="shared" si="3"/>
        <v>160000</v>
      </c>
      <c r="F18" s="1">
        <f t="shared" si="5"/>
        <v>800</v>
      </c>
      <c r="G18" s="1">
        <f t="shared" si="6"/>
        <v>4800</v>
      </c>
      <c r="H18" s="2">
        <v>0.13</v>
      </c>
      <c r="I18" s="1"/>
      <c r="J18" s="1">
        <f t="shared" si="7"/>
        <v>96000000</v>
      </c>
    </row>
    <row r="19" spans="3:10" ht="20.100000000000001" customHeight="1">
      <c r="C19" s="1">
        <v>14</v>
      </c>
      <c r="D19" s="1">
        <v>20000</v>
      </c>
      <c r="E19" s="1">
        <f t="shared" si="3"/>
        <v>180000</v>
      </c>
      <c r="F19" s="1">
        <f t="shared" si="5"/>
        <v>900</v>
      </c>
      <c r="G19" s="1">
        <f t="shared" si="6"/>
        <v>5400</v>
      </c>
      <c r="H19" s="2">
        <v>0.14000000000000001</v>
      </c>
      <c r="I19" s="1"/>
      <c r="J19" s="1">
        <f t="shared" si="7"/>
        <v>108000000</v>
      </c>
    </row>
    <row r="20" spans="3:10" ht="20.100000000000001" customHeight="1">
      <c r="C20" s="1">
        <v>15</v>
      </c>
      <c r="D20" s="1">
        <v>20000</v>
      </c>
      <c r="E20" s="1">
        <f t="shared" si="3"/>
        <v>200000</v>
      </c>
      <c r="F20" s="1">
        <f t="shared" si="5"/>
        <v>1000</v>
      </c>
      <c r="G20" s="1">
        <f t="shared" si="6"/>
        <v>6000</v>
      </c>
      <c r="H20" s="2">
        <v>0.15</v>
      </c>
      <c r="I20" s="1"/>
      <c r="J20" s="1">
        <f t="shared" si="7"/>
        <v>120000000</v>
      </c>
    </row>
    <row r="21" spans="3:10" ht="20.100000000000001" customHeight="1">
      <c r="C21" s="1">
        <v>16</v>
      </c>
      <c r="D21" s="1">
        <v>30000</v>
      </c>
      <c r="E21" s="1">
        <f t="shared" si="3"/>
        <v>230000</v>
      </c>
      <c r="F21" s="1">
        <f t="shared" si="5"/>
        <v>1150</v>
      </c>
      <c r="G21" s="1">
        <f t="shared" si="6"/>
        <v>6900</v>
      </c>
      <c r="H21" s="2">
        <v>0.16</v>
      </c>
      <c r="I21" s="1"/>
      <c r="J21" s="1">
        <f t="shared" si="7"/>
        <v>138000000</v>
      </c>
    </row>
    <row r="22" spans="3:10" ht="20.100000000000001" customHeight="1">
      <c r="C22" s="1">
        <v>17</v>
      </c>
      <c r="D22" s="1">
        <v>40000</v>
      </c>
      <c r="E22" s="1">
        <f t="shared" si="3"/>
        <v>270000</v>
      </c>
      <c r="F22" s="1">
        <f t="shared" si="5"/>
        <v>1350</v>
      </c>
      <c r="G22" s="1">
        <f t="shared" si="6"/>
        <v>8100</v>
      </c>
      <c r="H22" s="2">
        <v>0.17</v>
      </c>
      <c r="I22" s="1"/>
      <c r="J22" s="1">
        <f t="shared" si="7"/>
        <v>162000000</v>
      </c>
    </row>
    <row r="23" spans="3:10" ht="20.100000000000001" customHeight="1">
      <c r="C23" s="1">
        <v>18</v>
      </c>
      <c r="D23" s="1">
        <v>50000</v>
      </c>
      <c r="E23" s="1">
        <f t="shared" si="3"/>
        <v>320000</v>
      </c>
      <c r="F23" s="1">
        <f t="shared" si="5"/>
        <v>1600</v>
      </c>
      <c r="G23" s="1">
        <f t="shared" si="6"/>
        <v>9600</v>
      </c>
      <c r="H23" s="2">
        <v>0.18</v>
      </c>
      <c r="I23" s="1"/>
      <c r="J23" s="1">
        <f t="shared" si="7"/>
        <v>192000000</v>
      </c>
    </row>
    <row r="24" spans="3:10" ht="20.100000000000001" customHeight="1">
      <c r="C24" s="1">
        <v>19</v>
      </c>
      <c r="D24" s="1">
        <v>60000</v>
      </c>
      <c r="E24" s="1">
        <f t="shared" si="3"/>
        <v>380000</v>
      </c>
      <c r="F24" s="1">
        <f t="shared" si="5"/>
        <v>1900</v>
      </c>
      <c r="G24" s="1">
        <f t="shared" si="6"/>
        <v>11400</v>
      </c>
      <c r="H24" s="2">
        <v>0.19</v>
      </c>
      <c r="I24" s="1"/>
      <c r="J24" s="1">
        <f t="shared" si="7"/>
        <v>228000000</v>
      </c>
    </row>
    <row r="25" spans="3:10" ht="20.100000000000001" customHeight="1">
      <c r="C25" s="1">
        <v>20</v>
      </c>
      <c r="D25" s="1">
        <v>70000</v>
      </c>
      <c r="E25" s="1">
        <f t="shared" si="3"/>
        <v>450000</v>
      </c>
      <c r="F25" s="1">
        <f t="shared" si="5"/>
        <v>2250</v>
      </c>
      <c r="G25" s="1">
        <f t="shared" si="6"/>
        <v>13500</v>
      </c>
      <c r="H25" s="2">
        <v>0.2</v>
      </c>
      <c r="I25" s="1"/>
      <c r="J25" s="1">
        <f t="shared" si="7"/>
        <v>270000000</v>
      </c>
    </row>
    <row r="26" spans="3:10" ht="20.100000000000001" customHeight="1"/>
    <row r="27" spans="3:10" ht="20.100000000000001" customHeight="1"/>
    <row r="28" spans="3:10" ht="20.100000000000001" customHeight="1"/>
    <row r="29" spans="3:10" ht="20.100000000000001" customHeight="1"/>
    <row r="30" spans="3:10" ht="20.100000000000001" customHeight="1"/>
  </sheetData>
  <phoneticPr fontId="35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总表</vt:lpstr>
      <vt:lpstr>属性介绍</vt:lpstr>
      <vt:lpstr>等级属性</vt:lpstr>
      <vt:lpstr>活力属性</vt:lpstr>
      <vt:lpstr>技能</vt:lpstr>
      <vt:lpstr>赛季</vt:lpstr>
      <vt:lpstr>装备洗练</vt:lpstr>
      <vt:lpstr>装备属性</vt:lpstr>
      <vt:lpstr>特殊装备</vt:lpstr>
      <vt:lpstr>觉醒</vt:lpstr>
      <vt:lpstr>增幅属性</vt:lpstr>
      <vt:lpstr>收集</vt:lpstr>
      <vt:lpstr>精灵</vt:lpstr>
      <vt:lpstr>属性列表</vt:lpstr>
      <vt:lpstr>宝石</vt:lpstr>
      <vt:lpstr>宠物</vt:lpstr>
      <vt:lpstr>宠物属性</vt:lpstr>
      <vt:lpstr>宠物爬塔</vt:lpstr>
      <vt:lpstr>宠物之核</vt:lpstr>
      <vt:lpstr>装备</vt:lpstr>
      <vt:lpstr>怪物属性</vt:lpstr>
      <vt:lpstr>boss技能</vt:lpstr>
      <vt:lpstr>称号</vt:lpstr>
      <vt:lpstr>生命之盾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2015-06-05T18:19:00Z</dcterms:created>
  <dcterms:modified xsi:type="dcterms:W3CDTF">2026-09-30T15:00:22Z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