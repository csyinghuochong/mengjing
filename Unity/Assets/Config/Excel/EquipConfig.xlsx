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Equi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F3" authorId="0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>:
0</t>
        </r>
        <r>
          <rPr>
            <sz val="11"/>
            <color indexed="8"/>
            <rFont val="宋体"/>
            <charset val="134"/>
          </rPr>
          <t xml:space="preserve">：不会出现任何随机属性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：可出现随机属性
</t>
        </r>
        <r>
          <rPr>
            <sz val="11"/>
            <color indexed="8"/>
            <rFont val="Helvetica Neue"/>
            <charset val="134"/>
          </rPr>
          <t xml:space="preserve">     </t>
        </r>
        <r>
          <rPr>
            <sz val="11"/>
            <color indexed="8"/>
            <rFont val="宋体"/>
            <charset val="134"/>
          </rPr>
          <t>攻击</t>
        </r>
        <r>
          <rPr>
            <sz val="11"/>
            <color indexed="8"/>
            <rFont val="Helvetica Neue"/>
            <charset val="134"/>
          </rPr>
          <t xml:space="preserve">  </t>
        </r>
        <r>
          <rPr>
            <sz val="11"/>
            <color indexed="8"/>
            <rFont val="宋体"/>
            <charset val="134"/>
          </rPr>
          <t>物防</t>
        </r>
        <r>
          <rPr>
            <sz val="11"/>
            <color indexed="8"/>
            <rFont val="Helvetica Neue"/>
            <charset val="134"/>
          </rPr>
          <t xml:space="preserve"> </t>
        </r>
        <r>
          <rPr>
            <sz val="11"/>
            <color indexed="8"/>
            <rFont val="宋体"/>
            <charset val="134"/>
          </rPr>
          <t xml:space="preserve">魔防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：可出现随机属性
</t>
        </r>
        <r>
          <rPr>
            <sz val="11"/>
            <color indexed="8"/>
            <rFont val="Helvetica Neue"/>
            <charset val="134"/>
          </rPr>
          <t xml:space="preserve">     </t>
        </r>
        <r>
          <rPr>
            <sz val="11"/>
            <color indexed="8"/>
            <rFont val="宋体"/>
            <charset val="134"/>
          </rPr>
          <t>生命</t>
        </r>
        <r>
          <rPr>
            <sz val="11"/>
            <color indexed="8"/>
            <rFont val="Helvetica Neue"/>
            <charset val="134"/>
          </rPr>
          <t xml:space="preserve">  </t>
        </r>
        <r>
          <rPr>
            <sz val="11"/>
            <color indexed="8"/>
            <rFont val="宋体"/>
            <charset val="134"/>
          </rPr>
          <t>物防</t>
        </r>
        <r>
          <rPr>
            <sz val="11"/>
            <color indexed="8"/>
            <rFont val="Helvetica Neue"/>
            <charset val="134"/>
          </rPr>
          <t xml:space="preserve"> </t>
        </r>
        <r>
          <rPr>
            <sz val="11"/>
            <color indexed="8"/>
            <rFont val="宋体"/>
            <charset val="134"/>
          </rPr>
          <t>魔防</t>
        </r>
        <r>
          <rPr>
            <sz val="11"/>
            <color indexed="8"/>
            <rFont val="Helvetica Neue"/>
            <charset val="134"/>
          </rPr>
          <t xml:space="preserve">  </t>
        </r>
        <r>
          <rPr>
            <sz val="11"/>
            <color indexed="8"/>
            <rFont val="宋体"/>
            <charset val="134"/>
          </rPr>
          <t xml:space="preserve">攻击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 xml:space="preserve">：可出现随机
</t>
        </r>
        <r>
          <rPr>
            <sz val="11"/>
            <color indexed="8"/>
            <rFont val="Helvetica Neue"/>
            <charset val="134"/>
          </rPr>
          <t xml:space="preserve">     </t>
        </r>
        <r>
          <rPr>
            <sz val="11"/>
            <color indexed="8"/>
            <rFont val="宋体"/>
            <charset val="134"/>
          </rPr>
          <t xml:space="preserve">生命
</t>
        </r>
        <r>
          <rPr>
            <sz val="11"/>
            <color indexed="8"/>
            <rFont val="Helvetica Neue"/>
            <charset val="134"/>
          </rPr>
          <t xml:space="preserve"> </t>
        </r>
      </text>
    </comment>
    <comment ref="G3" authorId="0">
      <text>
        <r>
          <rPr>
            <sz val="11"/>
            <color indexed="8"/>
            <rFont val="Helvetica Neue"/>
            <charset val="134"/>
          </rPr>
          <t>作者:
隐藏属性最大值,表示出现隐藏属性的最大值</t>
        </r>
      </text>
    </comment>
    <comment ref="A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显示  1不显示</t>
        </r>
      </text>
    </comment>
    <comment ref="AD3" authorId="0">
      <text>
        <r>
          <rPr>
            <b/>
            <sz val="9"/>
            <rFont val="宋体"/>
            <charset val="134"/>
          </rPr>
          <t xml:space="preserve">RolePropertyAdd  增加角色属性
SkillPropertyAdd   增加技能属性
    //1.增加范围
    //2.技能伤害来源的攻击值系数,为1时表示造成100%攻击力的伤害
    //3.技能附加固定伤害值
    //4.减少冷却CD
    //5.技能持续时间
    //6.技能附加额外buff
BuffIdAdd   添加Buff属性
ReplaceSkillId  替换技能
SkillIdAdd 增加技能
BuffPropertyAdd 增加buff效果
1 buff属性值
2 buff持续时间
</t>
        </r>
      </text>
    </comment>
  </commentList>
</comments>
</file>

<file path=xl/sharedStrings.xml><?xml version="1.0" encoding="utf-8"?>
<sst xmlns="http://schemas.openxmlformats.org/spreadsheetml/2006/main" count="681" uniqueCount="492">
  <si>
    <t>##var</t>
  </si>
  <si>
    <t>Id</t>
  </si>
  <si>
    <t>#ItemName</t>
  </si>
  <si>
    <t>AppraisalItem</t>
  </si>
  <si>
    <t>EquipSuitID</t>
  </si>
  <si>
    <t>HideType</t>
  </si>
  <si>
    <t>HideMax</t>
  </si>
  <si>
    <t>HideShowPro</t>
  </si>
  <si>
    <t>OneProRandomValue</t>
  </si>
  <si>
    <t>GemHole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</si>
  <si>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</si>
  <si>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</si>
  <si>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</si>
  <si>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</si>
  <si>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</si>
  <si>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</si>
  <si>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</si>
  <si>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</si>
  <si>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</si>
  <si>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</si>
  <si>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</si>
  <si>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</si>
  <si>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</si>
  <si>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</si>
  <si>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</si>
  <si>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</si>
  <si>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AddPropreListType</t>
  </si>
  <si>
    <t>AddPropreListValue</t>
  </si>
  <si>
    <t>AddPropreListIfShow</t>
  </si>
  <si>
    <t>TianFuId</t>
  </si>
  <si>
    <t>##type</t>
  </si>
  <si>
    <t>int</t>
  </si>
  <si>
    <t>string</t>
  </si>
  <si>
    <t>double</t>
  </si>
  <si>
    <t>(array#sep=,),int</t>
  </si>
  <si>
    <t>(array#sep=,),long</t>
  </si>
  <si>
    <t>##</t>
  </si>
  <si>
    <t>装备名称</t>
  </si>
  <si>
    <t>鉴定道具消耗</t>
  </si>
  <si>
    <t>套装ID</t>
  </si>
  <si>
    <t>隐藏属性类型</t>
  </si>
  <si>
    <t>隐藏属性最大值</t>
  </si>
  <si>
    <t>单条隐藏属性出现概率</t>
  </si>
  <si>
    <t>一级属性随机值</t>
  </si>
  <si>
    <t>初始宝石孔位</t>
  </si>
  <si>
    <t>血量</t>
  </si>
  <si>
    <t>最低攻击</t>
  </si>
  <si>
    <t>最高攻击</t>
  </si>
  <si>
    <t>最低防御</t>
  </si>
  <si>
    <t>最高防御</t>
  </si>
  <si>
    <t>暴击</t>
  </si>
  <si>
    <t>命中</t>
  </si>
  <si>
    <t>闪避</t>
  </si>
  <si>
    <t>伤害加成</t>
  </si>
  <si>
    <t>伤害减免</t>
  </si>
  <si>
    <t>速度</t>
  </si>
  <si>
    <t>幸运值</t>
  </si>
  <si>
    <t>附加属性类型</t>
  </si>
  <si>
    <t>附加属性值</t>
  </si>
  <si>
    <t>是否显示属性</t>
  </si>
  <si>
    <r>
      <rPr>
        <sz val="10"/>
        <color theme="0"/>
        <rFont val="Helvetica Neue"/>
        <charset val="134"/>
      </rPr>
      <t>附加</t>
    </r>
  </si>
  <si>
    <t>测试专用武器1</t>
  </si>
  <si>
    <t>测试专用武器2</t>
  </si>
  <si>
    <t>宠物:翠玉颈环</t>
  </si>
  <si>
    <t>宠物:翠玉护腕</t>
  </si>
  <si>
    <t>宠物:翠玉坠饰</t>
  </si>
  <si>
    <t>宠物:翠玉装甲</t>
  </si>
  <si>
    <t>智力之石</t>
  </si>
  <si>
    <t>105301,120701</t>
  </si>
  <si>
    <t>20,30</t>
  </si>
  <si>
    <t>0,0</t>
  </si>
  <si>
    <t>力量之石</t>
  </si>
  <si>
    <t>105101,120601</t>
  </si>
  <si>
    <t>灵魂之石</t>
  </si>
  <si>
    <t>30,50</t>
  </si>
  <si>
    <t>试炼之石</t>
  </si>
  <si>
    <t>光灵之石</t>
  </si>
  <si>
    <t>50,80</t>
  </si>
  <si>
    <t>勇猛之石</t>
  </si>
  <si>
    <t>圣焰之剑</t>
  </si>
  <si>
    <t>远古王者之刃</t>
  </si>
  <si>
    <t>天堂的权杖</t>
  </si>
  <si>
    <t>时光能量魔法</t>
  </si>
  <si>
    <t>魔焰神弓</t>
  </si>
  <si>
    <t>小木盔</t>
  </si>
  <si>
    <t>玄木头盔</t>
  </si>
  <si>
    <t>迅影头盔</t>
  </si>
  <si>
    <t>勇气之盔</t>
  </si>
  <si>
    <t>布巾</t>
  </si>
  <si>
    <t>暗影头盔</t>
  </si>
  <si>
    <t>灵纹头盔</t>
  </si>
  <si>
    <t>暴灵之盔</t>
  </si>
  <si>
    <t>铁盔</t>
  </si>
  <si>
    <t>精钢头盔</t>
  </si>
  <si>
    <t>战灵头盔</t>
  </si>
  <si>
    <t>英勇之盔</t>
  </si>
  <si>
    <t>皮质手套</t>
  </si>
  <si>
    <t>轻灵手套</t>
  </si>
  <si>
    <t>迅影手套</t>
  </si>
  <si>
    <t>勇气之手</t>
  </si>
  <si>
    <t>布料手套</t>
  </si>
  <si>
    <t>长者手套</t>
  </si>
  <si>
    <t>灵纹手套</t>
  </si>
  <si>
    <t>暴灵之手</t>
  </si>
  <si>
    <t>铁手套</t>
  </si>
  <si>
    <t>玄铁手套</t>
  </si>
  <si>
    <t>战灵手套</t>
  </si>
  <si>
    <t>英勇之手</t>
  </si>
  <si>
    <t>幸运者之手</t>
  </si>
  <si>
    <t>皮质腰带</t>
  </si>
  <si>
    <r>
      <rPr>
        <sz val="10"/>
        <color rgb="FF0070C0"/>
        <rFont val="宋体"/>
        <charset val="134"/>
      </rPr>
      <t>大地</t>
    </r>
    <r>
      <rPr>
        <sz val="10"/>
        <color rgb="FF0070C0"/>
        <rFont val="Helvetica Neue"/>
        <charset val="134"/>
      </rPr>
      <t>腰带</t>
    </r>
  </si>
  <si>
    <t>迅影腰带</t>
  </si>
  <si>
    <t>勇气之带</t>
  </si>
  <si>
    <t>布腰带</t>
  </si>
  <si>
    <r>
      <rPr>
        <sz val="10"/>
        <color rgb="FF0070C0"/>
        <rFont val="宋体"/>
        <charset val="134"/>
      </rPr>
      <t>生命</t>
    </r>
    <r>
      <rPr>
        <sz val="10"/>
        <color rgb="FF0070C0"/>
        <rFont val="Helvetica Neue"/>
        <charset val="134"/>
      </rPr>
      <t>腰带</t>
    </r>
  </si>
  <si>
    <t>灵纹腰带</t>
  </si>
  <si>
    <t>暴灵之带</t>
  </si>
  <si>
    <t>铜腰带</t>
  </si>
  <si>
    <r>
      <rPr>
        <sz val="10"/>
        <color rgb="FF0070C0"/>
        <rFont val="宋体"/>
        <charset val="134"/>
      </rPr>
      <t>钢铁</t>
    </r>
    <r>
      <rPr>
        <sz val="10"/>
        <color rgb="FF0070C0"/>
        <rFont val="Helvetica Neue"/>
        <charset val="134"/>
      </rPr>
      <t>腰带</t>
    </r>
  </si>
  <si>
    <t>战灵腰带</t>
  </si>
  <si>
    <t>英勇之带</t>
  </si>
  <si>
    <t>消逝者的腰带</t>
  </si>
  <si>
    <t>皮质靴子</t>
  </si>
  <si>
    <t>银光靴</t>
  </si>
  <si>
    <t>迅影靴子</t>
  </si>
  <si>
    <t>勇气之靴</t>
  </si>
  <si>
    <t>布靴</t>
  </si>
  <si>
    <t>宝石靴子</t>
  </si>
  <si>
    <t>灵纹靴子</t>
  </si>
  <si>
    <t>暴灵之靴</t>
  </si>
  <si>
    <t>岩石靴子</t>
  </si>
  <si>
    <t>力量战靴</t>
  </si>
  <si>
    <t>战灵靴子</t>
  </si>
  <si>
    <t>英勇之靴</t>
  </si>
  <si>
    <t>皮质护腿</t>
  </si>
  <si>
    <t>暴风长裤</t>
  </si>
  <si>
    <t>迅影护腿</t>
  </si>
  <si>
    <t>勇气之腿</t>
  </si>
  <si>
    <t>麻布护腿</t>
  </si>
  <si>
    <t>火焰长裤</t>
  </si>
  <si>
    <t>灵纹护腿</t>
  </si>
  <si>
    <t>暴灵之腿</t>
  </si>
  <si>
    <t>矿工护腿</t>
  </si>
  <si>
    <t>力量长裤</t>
  </si>
  <si>
    <t>战灵护腿</t>
  </si>
  <si>
    <t>英勇之腿</t>
  </si>
  <si>
    <t>银项链</t>
  </si>
  <si>
    <t>魔灵铃铛</t>
  </si>
  <si>
    <t>精灵之链</t>
  </si>
  <si>
    <t>疾风之链</t>
  </si>
  <si>
    <t>传承:新月神链</t>
  </si>
  <si>
    <t>呼唤狼王之链</t>
  </si>
  <si>
    <t>银戒指</t>
  </si>
  <si>
    <t>精金戒指</t>
  </si>
  <si>
    <r>
      <rPr>
        <sz val="10"/>
        <color rgb="FF0070C0"/>
        <rFont val="宋体"/>
        <charset val="134"/>
      </rPr>
      <t>树王</t>
    </r>
    <r>
      <rPr>
        <sz val="10"/>
        <color rgb="FF0070C0"/>
        <rFont val="Helvetica Neue"/>
        <charset val="134"/>
      </rPr>
      <t>戒指</t>
    </r>
  </si>
  <si>
    <t>疾风之戒</t>
  </si>
  <si>
    <t>治愈之秋</t>
  </si>
  <si>
    <t>森之精灵</t>
  </si>
  <si>
    <t>疾风之灵</t>
  </si>
  <si>
    <t>魔法冲击之石</t>
  </si>
  <si>
    <t>耐力护符</t>
  </si>
  <si>
    <t>森林护符</t>
  </si>
  <si>
    <t>疾风之符</t>
  </si>
  <si>
    <t>咏歌者护符</t>
  </si>
  <si>
    <t>短木剑</t>
  </si>
  <si>
    <t>精金剑</t>
  </si>
  <si>
    <t>战灵战刃</t>
  </si>
  <si>
    <t>疾风之剑</t>
  </si>
  <si>
    <t>钢刀</t>
  </si>
  <si>
    <t>精钢刀</t>
  </si>
  <si>
    <t>战灵之刃</t>
  </si>
  <si>
    <t>疾风之刀</t>
  </si>
  <si>
    <r>
      <rPr>
        <sz val="10"/>
        <color theme="1"/>
        <rFont val="Helvetica Neue"/>
        <charset val="134"/>
      </rPr>
      <t>传承</t>
    </r>
    <r>
      <rPr>
        <sz val="10"/>
        <color theme="1"/>
        <rFont val="Helvetica Neue"/>
        <charset val="134"/>
      </rPr>
      <t>:</t>
    </r>
    <r>
      <rPr>
        <sz val="10"/>
        <color theme="1"/>
        <rFont val="Helvetica Neue"/>
        <charset val="134"/>
      </rPr>
      <t>勇者的无畏</t>
    </r>
  </si>
  <si>
    <t>传承:勇者的意志</t>
  </si>
  <si>
    <t>劣质木弓</t>
  </si>
  <si>
    <t>精制弓</t>
  </si>
  <si>
    <t>风灵之弓</t>
  </si>
  <si>
    <t>森灵之弓</t>
  </si>
  <si>
    <t>传承:鱼骨神弓</t>
  </si>
  <si>
    <t>小皮衣</t>
  </si>
  <si>
    <t>妖灵护甲</t>
  </si>
  <si>
    <t>迅影护甲</t>
  </si>
  <si>
    <t>勇气之甲</t>
  </si>
  <si>
    <t>麻布衣</t>
  </si>
  <si>
    <t>符文护甲</t>
  </si>
  <si>
    <t>灵纹护甲</t>
  </si>
  <si>
    <t>暴灵之甲</t>
  </si>
  <si>
    <t>重盔甲</t>
  </si>
  <si>
    <t>玄铁战甲</t>
  </si>
  <si>
    <t>战灵护甲</t>
  </si>
  <si>
    <t>英勇之甲</t>
  </si>
  <si>
    <t>传承:疾风者的疯狂</t>
  </si>
  <si>
    <t>传承:圣域的记忆</t>
  </si>
  <si>
    <t>传承:米希尔之力</t>
  </si>
  <si>
    <t>轻风头盔</t>
  </si>
  <si>
    <t>命运之盔</t>
  </si>
  <si>
    <t>魔法头盔</t>
  </si>
  <si>
    <t>魔光之盔</t>
  </si>
  <si>
    <t>重力头盔</t>
  </si>
  <si>
    <t>熔铸之盔</t>
  </si>
  <si>
    <t>轻风手套</t>
  </si>
  <si>
    <t>命运之手</t>
  </si>
  <si>
    <t>魔法手套</t>
  </si>
  <si>
    <t>魔光之手</t>
  </si>
  <si>
    <t>重力手套</t>
  </si>
  <si>
    <t>熔铸之手</t>
  </si>
  <si>
    <t>轻风腰带</t>
  </si>
  <si>
    <t>命运之带</t>
  </si>
  <si>
    <t>魔法腰带</t>
  </si>
  <si>
    <t>魔光之带</t>
  </si>
  <si>
    <t>重力腰带</t>
  </si>
  <si>
    <t>熔铸之带</t>
  </si>
  <si>
    <t>轻风靴子</t>
  </si>
  <si>
    <t>命运之靴</t>
  </si>
  <si>
    <t>魔法靴子</t>
  </si>
  <si>
    <t>魔光之靴</t>
  </si>
  <si>
    <t>重力靴子</t>
  </si>
  <si>
    <t>熔铸之靴</t>
  </si>
  <si>
    <t>轻风护腿</t>
  </si>
  <si>
    <t>命运之腿</t>
  </si>
  <si>
    <t>魔法护腿</t>
  </si>
  <si>
    <t>魔光之腿</t>
  </si>
  <si>
    <t>重力护腿</t>
  </si>
  <si>
    <t>熔铸之腿</t>
  </si>
  <si>
    <t>破军冲锋护腿</t>
  </si>
  <si>
    <t>暗光项链</t>
  </si>
  <si>
    <t>幽光之链</t>
  </si>
  <si>
    <t>传承:恒心使徒的魔链</t>
  </si>
  <si>
    <t>守护之戒</t>
  </si>
  <si>
    <t>幽光之戒</t>
  </si>
  <si>
    <t>追光狩猎之戒</t>
  </si>
  <si>
    <t>幽光之灵</t>
  </si>
  <si>
    <t>燃烧之火</t>
  </si>
  <si>
    <t>星之护符</t>
  </si>
  <si>
    <t>幽光之符</t>
  </si>
  <si>
    <t>闪电灵巧护符</t>
  </si>
  <si>
    <t>轻风剑</t>
  </si>
  <si>
    <t>幽光之剑</t>
  </si>
  <si>
    <t>云清刃</t>
  </si>
  <si>
    <t>幽光战刃</t>
  </si>
  <si>
    <t>传承:碧蓝之歌</t>
  </si>
  <si>
    <t>传承:有坚不摧之力</t>
  </si>
  <si>
    <t>弯月弓</t>
  </si>
  <si>
    <t>流光之弓</t>
  </si>
  <si>
    <t>传承:漠灵之弓</t>
  </si>
  <si>
    <t>轻风护甲</t>
  </si>
  <si>
    <t>命运之甲</t>
  </si>
  <si>
    <t>魔法护甲</t>
  </si>
  <si>
    <t>魔光之甲</t>
  </si>
  <si>
    <t>重力护甲</t>
  </si>
  <si>
    <t>熔铸之甲</t>
  </si>
  <si>
    <t>传承:光之怒</t>
  </si>
  <si>
    <t>传承:神灵启示者</t>
  </si>
  <si>
    <t>传承:降魔护卫者</t>
  </si>
  <si>
    <t>赤影头盔</t>
  </si>
  <si>
    <t>怒风之盔</t>
  </si>
  <si>
    <t>闪电头盔</t>
  </si>
  <si>
    <t>信念之盔</t>
  </si>
  <si>
    <t>巨兵头盔</t>
  </si>
  <si>
    <t>雷霆之盔</t>
  </si>
  <si>
    <t>赤影手套</t>
  </si>
  <si>
    <t>怒风之手</t>
  </si>
  <si>
    <t>闪电手套</t>
  </si>
  <si>
    <t>信念之手</t>
  </si>
  <si>
    <t>巨兵手套</t>
  </si>
  <si>
    <t>雷霆之手</t>
  </si>
  <si>
    <t>速之灵手套</t>
  </si>
  <si>
    <t>赤影腰带</t>
  </si>
  <si>
    <t>怒风之带</t>
  </si>
  <si>
    <t>闪电腰带</t>
  </si>
  <si>
    <t>信念之带</t>
  </si>
  <si>
    <t>巨兵腰带</t>
  </si>
  <si>
    <t>雷霆之带</t>
  </si>
  <si>
    <t>赤影靴子</t>
  </si>
  <si>
    <t>怒风之靴</t>
  </si>
  <si>
    <t>闪电靴子</t>
  </si>
  <si>
    <t>信念之靴</t>
  </si>
  <si>
    <t>巨兵靴子</t>
  </si>
  <si>
    <t>雷霆之靴</t>
  </si>
  <si>
    <t>赤影护腿</t>
  </si>
  <si>
    <t>怒风之腿</t>
  </si>
  <si>
    <t>闪电护腿</t>
  </si>
  <si>
    <t>信念之腿</t>
  </si>
  <si>
    <t>巨兵护腿</t>
  </si>
  <si>
    <t>雷霆之腿</t>
  </si>
  <si>
    <t>灰烬之链</t>
  </si>
  <si>
    <t>传承:末日的启示者</t>
  </si>
  <si>
    <t>树王戒指</t>
  </si>
  <si>
    <t>灰烬之戒</t>
  </si>
  <si>
    <t>灰烬之灵</t>
  </si>
  <si>
    <t>守护者的准则</t>
  </si>
  <si>
    <t>禁术召唤</t>
  </si>
  <si>
    <t>灰烬之符</t>
  </si>
  <si>
    <t>赤影剑</t>
  </si>
  <si>
    <t>灰烬之剑</t>
  </si>
  <si>
    <t>影刀</t>
  </si>
  <si>
    <t>灰烬战刃</t>
  </si>
  <si>
    <t>传承:寒冰使者的佩剑</t>
  </si>
  <si>
    <t>传承:黎明的护卫者</t>
  </si>
  <si>
    <t>精钢弓</t>
  </si>
  <si>
    <t>冰封之弓</t>
  </si>
  <si>
    <t>传承:雪人的呼唤</t>
  </si>
  <si>
    <t>赤影护甲</t>
  </si>
  <si>
    <t>怒风之甲</t>
  </si>
  <si>
    <t>闪电护甲</t>
  </si>
  <si>
    <t>信念之甲</t>
  </si>
  <si>
    <t>巨兵护甲</t>
  </si>
  <si>
    <t>雷霆之甲</t>
  </si>
  <si>
    <t>传承:正义的呼唤</t>
  </si>
  <si>
    <t>传承:暴灵的守护</t>
  </si>
  <si>
    <t>传承:神官的黄昏</t>
  </si>
  <si>
    <t>先锋头盔</t>
  </si>
  <si>
    <t>苍穹之盔</t>
  </si>
  <si>
    <t>寂静头盔</t>
  </si>
  <si>
    <t>神谕之盔</t>
  </si>
  <si>
    <t>守护头盔</t>
  </si>
  <si>
    <t>龙脊之盔</t>
  </si>
  <si>
    <t>战斗爆裂头盔</t>
  </si>
  <si>
    <t>先锋手套</t>
  </si>
  <si>
    <t>苍穹之手</t>
  </si>
  <si>
    <t>寂静手套</t>
  </si>
  <si>
    <t>神谕之手</t>
  </si>
  <si>
    <t>守护手套</t>
  </si>
  <si>
    <t>龙脊之手</t>
  </si>
  <si>
    <t>先锋腰带</t>
  </si>
  <si>
    <t>苍穹之带</t>
  </si>
  <si>
    <t>寂静腰带</t>
  </si>
  <si>
    <t>神谕之带</t>
  </si>
  <si>
    <t>守护腰带</t>
  </si>
  <si>
    <t>龙脊之带</t>
  </si>
  <si>
    <t>先锋靴子</t>
  </si>
  <si>
    <t>苍穹之靴</t>
  </si>
  <si>
    <t>寂静靴子</t>
  </si>
  <si>
    <t>神谕之靴</t>
  </si>
  <si>
    <t>守护靴子</t>
  </si>
  <si>
    <t>龙脊之靴</t>
  </si>
  <si>
    <t>先锋护腿</t>
  </si>
  <si>
    <t>苍穹之腿</t>
  </si>
  <si>
    <t>寂静护腿</t>
  </si>
  <si>
    <t>神谕之腿</t>
  </si>
  <si>
    <t>守护护腿</t>
  </si>
  <si>
    <t>龙脊之腿</t>
  </si>
  <si>
    <t>星云项链</t>
  </si>
  <si>
    <t>幻影之链</t>
  </si>
  <si>
    <t>传承:女王项链</t>
  </si>
  <si>
    <t>启航之戒</t>
  </si>
  <si>
    <t>幻影之戒</t>
  </si>
  <si>
    <t>无尽时光戒指</t>
  </si>
  <si>
    <t>幻影之灵</t>
  </si>
  <si>
    <t>神圣战斗之锚</t>
  </si>
  <si>
    <t>星云护符</t>
  </si>
  <si>
    <t>幻影之符</t>
  </si>
  <si>
    <t>先锋剑</t>
  </si>
  <si>
    <t>幻影之剑</t>
  </si>
  <si>
    <t>坚壁刀</t>
  </si>
  <si>
    <t>传承:黑暗毁灭者</t>
  </si>
  <si>
    <t>传承:末日的决战</t>
  </si>
  <si>
    <t>传承:堕落的使者</t>
  </si>
  <si>
    <t>传承:上层精灵的魔法</t>
  </si>
  <si>
    <t>先锋护甲</t>
  </si>
  <si>
    <t>苍穹之甲</t>
  </si>
  <si>
    <t>寂静护甲</t>
  </si>
  <si>
    <t>神谕之甲</t>
  </si>
  <si>
    <t>守护护甲</t>
  </si>
  <si>
    <t>龙脊之甲</t>
  </si>
  <si>
    <t>传承:尽头之声</t>
  </si>
  <si>
    <t>传承:天籁长袍</t>
  </si>
  <si>
    <t>传承:不败的意志</t>
  </si>
  <si>
    <t>雷鸣头盔</t>
  </si>
  <si>
    <t>灵犀之盔</t>
  </si>
  <si>
    <t>元素头盔</t>
  </si>
  <si>
    <t>黑月之盔</t>
  </si>
  <si>
    <t>赤心头盔</t>
  </si>
  <si>
    <t>神官之盔</t>
  </si>
  <si>
    <t>雷鸣手套</t>
  </si>
  <si>
    <t>灵犀之手</t>
  </si>
  <si>
    <t>元素手套</t>
  </si>
  <si>
    <t>黑月之手</t>
  </si>
  <si>
    <t>赤心手套</t>
  </si>
  <si>
    <t>神官之手</t>
  </si>
  <si>
    <t>雷鸣腰带</t>
  </si>
  <si>
    <t>灵犀之带</t>
  </si>
  <si>
    <t>元素腰带</t>
  </si>
  <si>
    <t>黑月之带</t>
  </si>
  <si>
    <t>赤心腰带</t>
  </si>
  <si>
    <t>神官之带</t>
  </si>
  <si>
    <t>重力灵犀腰带</t>
  </si>
  <si>
    <t>雷鸣靴子</t>
  </si>
  <si>
    <t>灵犀之靴</t>
  </si>
  <si>
    <t>元素靴子</t>
  </si>
  <si>
    <t>黑月之靴</t>
  </si>
  <si>
    <t>赤心靴子</t>
  </si>
  <si>
    <t>神官之靴</t>
  </si>
  <si>
    <t>雷鸣护腿</t>
  </si>
  <si>
    <t>灵犀之腿</t>
  </si>
  <si>
    <t>元素护腿</t>
  </si>
  <si>
    <t>黑月之腿</t>
  </si>
  <si>
    <t>赤心护腿</t>
  </si>
  <si>
    <t>神官之腿</t>
  </si>
  <si>
    <t>红炎之链</t>
  </si>
  <si>
    <t>圣灵之链</t>
  </si>
  <si>
    <t>传承:力量的召唤</t>
  </si>
  <si>
    <t>领域戒指</t>
  </si>
  <si>
    <t>圣灵之戒</t>
  </si>
  <si>
    <t>雷鸣攻击之戒</t>
  </si>
  <si>
    <t>圣灵之灵</t>
  </si>
  <si>
    <t>图腾之灵</t>
  </si>
  <si>
    <t>迷之护符</t>
  </si>
  <si>
    <t>圣灵之符</t>
  </si>
  <si>
    <t>生命永恒之符</t>
  </si>
  <si>
    <t>雷鸣剑</t>
  </si>
  <si>
    <t>圣灵之剑</t>
  </si>
  <si>
    <t>闪电刀</t>
  </si>
  <si>
    <t>圣灵战刃</t>
  </si>
  <si>
    <t>传承:圣焰之剑</t>
  </si>
  <si>
    <t>传承:远古王者之刃</t>
  </si>
  <si>
    <t>传承:天堂的权杖</t>
  </si>
  <si>
    <t>传承:时光能量魔法</t>
  </si>
  <si>
    <t>灵力弓</t>
  </si>
  <si>
    <t>炙热之弓</t>
  </si>
  <si>
    <t>传承:魔焰神弓</t>
  </si>
  <si>
    <t>雷鸣护甲</t>
  </si>
  <si>
    <t>灵犀之甲</t>
  </si>
  <si>
    <t>元素护甲</t>
  </si>
  <si>
    <t>黑月之甲</t>
  </si>
  <si>
    <t>赤心护甲</t>
  </si>
  <si>
    <t xml:space="preserve"> 神官之甲</t>
  </si>
  <si>
    <t>传承:噩梦裁决者</t>
  </si>
  <si>
    <t>传承:祝福者外衣</t>
  </si>
  <si>
    <t>传承:怒之烈焰</t>
  </si>
  <si>
    <t>史诗:炙热之弓</t>
  </si>
  <si>
    <t>传承史诗:支配之弓</t>
  </si>
  <si>
    <t>子·鼠</t>
  </si>
  <si>
    <t>丑·牛</t>
  </si>
  <si>
    <t>寅·虎</t>
  </si>
  <si>
    <t>卯·兔</t>
  </si>
  <si>
    <t>辰·龙</t>
  </si>
  <si>
    <t>105501,105401</t>
  </si>
  <si>
    <t>1,1</t>
  </si>
  <si>
    <t>巳·蛇</t>
  </si>
  <si>
    <t>105301,105201</t>
  </si>
  <si>
    <t>午·马</t>
  </si>
  <si>
    <t>105101,105401</t>
  </si>
  <si>
    <t>未·羊</t>
  </si>
  <si>
    <t>105501,105201</t>
  </si>
  <si>
    <t>申·猴</t>
  </si>
  <si>
    <t>酉·鸡</t>
  </si>
  <si>
    <t>105101,105201</t>
  </si>
  <si>
    <t>戌·狗</t>
  </si>
  <si>
    <t>105501,105301</t>
  </si>
  <si>
    <t>亥·猪</t>
  </si>
  <si>
    <t>105301,105401</t>
  </si>
  <si>
    <t>子鼠·破晓</t>
  </si>
  <si>
    <t>丑牛·破风</t>
  </si>
  <si>
    <t>寅虎·破军</t>
  </si>
  <si>
    <t>卯兔·洪流</t>
  </si>
  <si>
    <t>辰龙·挽歌</t>
  </si>
  <si>
    <t>5,5</t>
  </si>
  <si>
    <t>巳蛇·逐风</t>
  </si>
  <si>
    <t>午马·利刃</t>
  </si>
  <si>
    <t>未羊·战魂</t>
  </si>
  <si>
    <t>申猴·清风</t>
  </si>
  <si>
    <t>酉鸡·天刺</t>
  </si>
  <si>
    <t>戌狗·惊鸿</t>
  </si>
  <si>
    <t>亥猪·寒裂</t>
  </si>
  <si>
    <t>子鼠·天启</t>
  </si>
  <si>
    <t>丑牛·天正</t>
  </si>
  <si>
    <t>寅虎·天罡</t>
  </si>
  <si>
    <t>卯兔·白鸿</t>
  </si>
  <si>
    <t>辰龙·紫金</t>
  </si>
  <si>
    <t>10,10</t>
  </si>
  <si>
    <t>巳蛇·修罗</t>
  </si>
  <si>
    <t>午马·金甲</t>
  </si>
  <si>
    <t>未羊·苍穹</t>
  </si>
  <si>
    <t>申猴·龙牙</t>
  </si>
  <si>
    <t>酉鸡·漠灵</t>
  </si>
  <si>
    <t>戌狗·无尽</t>
  </si>
  <si>
    <t>亥猪·焚天</t>
  </si>
  <si>
    <t>子鼠·破晓天启</t>
  </si>
  <si>
    <t>丑牛·破风天正</t>
  </si>
  <si>
    <t>寅虎·破军天罡</t>
  </si>
  <si>
    <t>卯兔·洪流白鸿</t>
  </si>
  <si>
    <t>辰龙·挽歌紫金</t>
  </si>
  <si>
    <t>13,13</t>
  </si>
  <si>
    <t>巳蛇·逐风修罗</t>
  </si>
  <si>
    <t>午马·利刃金甲</t>
  </si>
  <si>
    <t>未羊·战魂苍穹</t>
  </si>
  <si>
    <t>申猴·清风龙牙</t>
  </si>
  <si>
    <t>酉鸡·天刺漠灵</t>
  </si>
  <si>
    <t>戌狗·惊鸿无尽</t>
  </si>
  <si>
    <t>亥猪·寒裂焚天</t>
  </si>
  <si>
    <t>赛季晶核1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</si>
</sst>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indexed="8"/>
      <name val="宋体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theme="1"/>
      <name val="Helvetica Neue"/>
      <charset val="134"/>
      <scheme val="minor"/>
    </font>
    <font>
      <sz val="10"/>
      <name val="微软雅黑"/>
      <charset val="134"/>
    </font>
    <font>
      <sz val="10"/>
      <name val="Helvetica Neue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color theme="0"/>
      <name val="Helvetica Neue"/>
      <charset val="134"/>
      <scheme val="minor"/>
    </font>
    <font>
      <sz val="10"/>
      <color rgb="FFFF0000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Tahoma"/>
      <charset val="134"/>
    </font>
    <font>
      <sz val="11"/>
      <color indexed="8"/>
      <name val="Helvetica Neue"/>
      <charset val="134"/>
      <scheme val="minor"/>
    </font>
    <font>
      <sz val="10"/>
      <color rgb="FF0070C0"/>
      <name val="宋体"/>
      <charset val="134"/>
    </font>
    <font>
      <sz val="10"/>
      <color rgb="FF0070C0"/>
      <name val="Helvetica Neue"/>
      <charset val="134"/>
    </font>
    <font>
      <sz val="10"/>
      <color theme="0"/>
      <name val="Helvetica Neue"/>
      <charset val="134"/>
    </font>
    <font>
      <sz val="10"/>
      <color theme="1"/>
      <name val="Helvetica Neue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11"/>
      <color indexed="8"/>
      <name val="Helvetica Neue"/>
      <charset val="134"/>
    </font>
    <font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theme="7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856410412915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8777733695486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theme="0" tint="-0.1488692892239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9" tint="0.799798577837458"/>
        <bgColor indexed="64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792474135563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4">
    <xf numFmtId="0" fontId="0" fillId="0" borderId="0" applyNumberForma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2" fillId="17" borderId="16" applyNumberFormat="0" applyAlignment="0" applyProtection="0">
      <alignment vertical="center"/>
    </xf>
    <xf numFmtId="0" fontId="23" fillId="17" borderId="15" applyNumberFormat="0" applyAlignment="0" applyProtection="0">
      <alignment vertical="center"/>
    </xf>
    <xf numFmtId="0" fontId="24" fillId="1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0" fillId="0" borderId="0" applyNumberFormat="0" applyFill="0" applyBorder="0" applyProtection="0"/>
    <xf numFmtId="0" fontId="12" fillId="0" borderId="0"/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  <xf numFmtId="0" fontId="33" fillId="15" borderId="12" applyNumberFormat="0" applyFont="0" applyAlignment="0" applyProtection="0">
      <alignment vertical="center"/>
    </xf>
    <xf numFmtId="0" fontId="12" fillId="15" borderId="12" applyNumberFormat="0" applyFont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4" borderId="0" xfId="0" applyFont="1" applyFill="1"/>
    <xf numFmtId="49" fontId="4" fillId="5" borderId="1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5" fillId="6" borderId="4" xfId="441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5" fillId="7" borderId="7" xfId="337" applyFont="1" applyFill="1" applyBorder="1" applyAlignment="1">
      <alignment horizontal="center" vertical="center"/>
    </xf>
    <xf numFmtId="0" fontId="8" fillId="9" borderId="8" xfId="0" applyNumberFormat="1" applyFont="1" applyFill="1" applyBorder="1" applyAlignment="1">
      <alignment horizontal="center" vertical="center"/>
    </xf>
    <xf numFmtId="0" fontId="2" fillId="2" borderId="4" xfId="441" applyFont="1" applyFill="1" applyBorder="1" applyAlignment="1">
      <alignment horizontal="center" vertical="center"/>
    </xf>
    <xf numFmtId="0" fontId="5" fillId="2" borderId="7" xfId="337" applyFont="1" applyFill="1" applyBorder="1" applyAlignment="1">
      <alignment horizontal="center" vertical="center"/>
    </xf>
    <xf numFmtId="0" fontId="8" fillId="2" borderId="8" xfId="0" applyNumberFormat="1" applyFont="1" applyFill="1" applyBorder="1" applyAlignment="1">
      <alignment horizontal="center" vertical="center"/>
    </xf>
    <xf numFmtId="0" fontId="5" fillId="3" borderId="4" xfId="441" applyFont="1" applyFill="1" applyBorder="1" applyAlignment="1">
      <alignment horizontal="center" vertical="center"/>
    </xf>
    <xf numFmtId="0" fontId="2" fillId="3" borderId="4" xfId="441" applyFont="1" applyFill="1" applyBorder="1" applyAlignment="1">
      <alignment horizontal="center" vertical="center"/>
    </xf>
    <xf numFmtId="0" fontId="5" fillId="3" borderId="7" xfId="337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horizontal="center" vertical="center"/>
    </xf>
    <xf numFmtId="0" fontId="7" fillId="7" borderId="6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9" fillId="6" borderId="4" xfId="441" applyFont="1" applyFill="1" applyBorder="1" applyAlignment="1">
      <alignment horizontal="center" vertical="center"/>
    </xf>
    <xf numFmtId="0" fontId="9" fillId="2" borderId="4" xfId="441" applyFont="1" applyFill="1" applyBorder="1" applyAlignment="1">
      <alignment horizontal="center" vertical="center"/>
    </xf>
    <xf numFmtId="0" fontId="9" fillId="3" borderId="4" xfId="441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" fillId="0" borderId="0" xfId="0" applyNumberFormat="1" applyFont="1"/>
    <xf numFmtId="0" fontId="8" fillId="2" borderId="11" xfId="0" applyNumberFormat="1" applyFont="1" applyFill="1" applyBorder="1" applyAlignment="1">
      <alignment horizontal="left" vertical="center"/>
    </xf>
    <xf numFmtId="0" fontId="0" fillId="2" borderId="0" xfId="0" applyNumberFormat="1" applyFill="1"/>
    <xf numFmtId="0" fontId="8" fillId="2" borderId="8" xfId="0" applyNumberFormat="1" applyFont="1" applyFill="1" applyBorder="1" applyAlignment="1">
      <alignment horizontal="left" vertical="center"/>
    </xf>
    <xf numFmtId="0" fontId="0" fillId="3" borderId="0" xfId="0" applyNumberFormat="1" applyFill="1"/>
    <xf numFmtId="0" fontId="5" fillId="4" borderId="4" xfId="441" applyFont="1" applyFill="1" applyBorder="1" applyAlignment="1">
      <alignment horizontal="center" vertical="center"/>
    </xf>
    <xf numFmtId="0" fontId="5" fillId="4" borderId="7" xfId="337" applyFont="1" applyFill="1" applyBorder="1" applyAlignment="1">
      <alignment horizontal="center" vertical="center"/>
    </xf>
    <xf numFmtId="0" fontId="8" fillId="4" borderId="8" xfId="0" applyNumberFormat="1" applyFont="1" applyFill="1" applyBorder="1" applyAlignment="1">
      <alignment horizontal="center" vertical="center"/>
    </xf>
    <xf numFmtId="0" fontId="5" fillId="11" borderId="4" xfId="441" applyFont="1" applyFill="1" applyBorder="1" applyAlignment="1">
      <alignment horizontal="center" vertical="center"/>
    </xf>
    <xf numFmtId="0" fontId="5" fillId="12" borderId="4" xfId="441" applyFont="1" applyFill="1" applyBorder="1" applyAlignment="1">
      <alignment horizontal="center" vertical="center"/>
    </xf>
    <xf numFmtId="0" fontId="9" fillId="4" borderId="4" xfId="441" applyFont="1" applyFill="1" applyBorder="1" applyAlignment="1">
      <alignment horizontal="center" vertical="center"/>
    </xf>
    <xf numFmtId="0" fontId="0" fillId="4" borderId="0" xfId="0" applyNumberFormat="1" applyFill="1"/>
    <xf numFmtId="0" fontId="2" fillId="3" borderId="7" xfId="337" applyFont="1" applyFill="1" applyBorder="1" applyAlignment="1">
      <alignment horizontal="center" vertical="center"/>
    </xf>
    <xf numFmtId="0" fontId="2" fillId="7" borderId="7" xfId="337" applyFont="1" applyFill="1" applyBorder="1" applyAlignment="1">
      <alignment horizontal="center" vertical="center"/>
    </xf>
    <xf numFmtId="0" fontId="11" fillId="3" borderId="4" xfId="441" applyFont="1" applyFill="1" applyBorder="1" applyAlignment="1">
      <alignment horizontal="center" vertical="center"/>
    </xf>
    <xf numFmtId="0" fontId="8" fillId="9" borderId="8" xfId="0" applyNumberFormat="1" applyFont="1" applyFill="1" applyBorder="1" applyAlignment="1">
      <alignment horizontal="left" vertical="center"/>
    </xf>
    <xf numFmtId="0" fontId="8" fillId="4" borderId="8" xfId="0" applyNumberFormat="1" applyFont="1" applyFill="1" applyBorder="1" applyAlignment="1">
      <alignment horizontal="left" vertical="center"/>
    </xf>
    <xf numFmtId="0" fontId="8" fillId="3" borderId="8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9" borderId="11" xfId="0" applyNumberFormat="1" applyFont="1" applyFill="1" applyBorder="1" applyAlignment="1">
      <alignment horizontal="left" vertical="center"/>
    </xf>
    <xf numFmtId="0" fontId="2" fillId="6" borderId="4" xfId="441" applyFont="1" applyFill="1" applyBorder="1" applyAlignment="1">
      <alignment horizontal="center" vertical="center"/>
    </xf>
    <xf numFmtId="0" fontId="5" fillId="13" borderId="0" xfId="441" applyFont="1" applyFill="1" applyAlignment="1">
      <alignment horizontal="center" vertical="center"/>
    </xf>
    <xf numFmtId="0" fontId="5" fillId="13" borderId="4" xfId="441" applyFont="1" applyFill="1" applyBorder="1" applyAlignment="1">
      <alignment horizontal="center" vertical="center"/>
    </xf>
    <xf numFmtId="0" fontId="5" fillId="14" borderId="0" xfId="441" applyFont="1" applyFill="1" applyAlignment="1">
      <alignment horizontal="center" vertical="center"/>
    </xf>
    <xf numFmtId="0" fontId="8" fillId="9" borderId="8" xfId="0" applyNumberFormat="1" applyFont="1" applyFill="1" applyBorder="1" applyAlignment="1" quotePrefix="1">
      <alignment horizontal="center" vertical="center"/>
    </xf>
  </cellXfs>
  <cellStyles count="4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2 2" xfId="52"/>
    <cellStyle name="20% - 强调文字颜色 1 2 2 2 3" xfId="53"/>
    <cellStyle name="20% - 强调文字颜色 1 2 2 3" xfId="54"/>
    <cellStyle name="20% - 强调文字颜色 1 2 2 4" xfId="55"/>
    <cellStyle name="20% - 强调文字颜色 1 2 2 5" xfId="56"/>
    <cellStyle name="20% - 强调文字颜色 1 2 3" xfId="57"/>
    <cellStyle name="20% - 强调文字颜色 1 2 3 2" xfId="58"/>
    <cellStyle name="20% - 强调文字颜色 1 2 3 3" xfId="59"/>
    <cellStyle name="20% - 强调文字颜色 1 2 4" xfId="60"/>
    <cellStyle name="20% - 强调文字颜色 1 2 5" xfId="61"/>
    <cellStyle name="20% - 强调文字颜色 1 2 6" xfId="62"/>
    <cellStyle name="20% - 强调文字颜色 1 3" xfId="63"/>
    <cellStyle name="20% - 强调文字颜色 1 3 2" xfId="64"/>
    <cellStyle name="20% - 强调文字颜色 1 3 2 2" xfId="65"/>
    <cellStyle name="20% - 强调文字颜色 1 3 2 3" xfId="66"/>
    <cellStyle name="20% - 强调文字颜色 1 3 3" xfId="67"/>
    <cellStyle name="20% - 强调文字颜色 1 3 4" xfId="68"/>
    <cellStyle name="20% - 强调文字颜色 1 3 5" xfId="69"/>
    <cellStyle name="20% - 强调文字颜色 1 4" xfId="70"/>
    <cellStyle name="20% - 强调文字颜色 1 4 2" xfId="71"/>
    <cellStyle name="20% - 强调文字颜色 1 4 3" xfId="72"/>
    <cellStyle name="20% - 强调文字颜色 2 2" xfId="73"/>
    <cellStyle name="20% - 强调文字颜色 2 2 2" xfId="74"/>
    <cellStyle name="20% - 强调文字颜色 2 2 2 2" xfId="75"/>
    <cellStyle name="20% - 强调文字颜色 2 2 2 2 2" xfId="76"/>
    <cellStyle name="20% - 强调文字颜色 2 2 2 2 3" xfId="77"/>
    <cellStyle name="20% - 强调文字颜色 2 2 2 3" xfId="78"/>
    <cellStyle name="20% - 强调文字颜色 2 2 2 4" xfId="79"/>
    <cellStyle name="20% - 强调文字颜色 2 2 2 5" xfId="80"/>
    <cellStyle name="20% - 强调文字颜色 2 2 3" xfId="81"/>
    <cellStyle name="20% - 强调文字颜色 2 2 3 2" xfId="82"/>
    <cellStyle name="20% - 强调文字颜色 2 2 3 3" xfId="83"/>
    <cellStyle name="20% - 强调文字颜色 2 2 4" xfId="84"/>
    <cellStyle name="20% - 强调文字颜色 2 2 5" xfId="85"/>
    <cellStyle name="20% - 强调文字颜色 2 2 6" xfId="86"/>
    <cellStyle name="20% - 强调文字颜色 2 3" xfId="87"/>
    <cellStyle name="20% - 强调文字颜色 2 3 2" xfId="88"/>
    <cellStyle name="20% - 强调文字颜色 2 3 2 2" xfId="89"/>
    <cellStyle name="20% - 强调文字颜色 2 3 2 3" xfId="90"/>
    <cellStyle name="20% - 强调文字颜色 2 3 3" xfId="91"/>
    <cellStyle name="20% - 强调文字颜色 2 3 4" xfId="92"/>
    <cellStyle name="20% - 强调文字颜色 2 3 5" xfId="93"/>
    <cellStyle name="20% - 强调文字颜色 2 4" xfId="94"/>
    <cellStyle name="20% - 强调文字颜色 2 4 2" xfId="95"/>
    <cellStyle name="20% - 强调文字颜色 2 4 3" xfId="96"/>
    <cellStyle name="20% - 强调文字颜色 3 2" xfId="97"/>
    <cellStyle name="20% - 强调文字颜色 3 2 2" xfId="98"/>
    <cellStyle name="20% - 强调文字颜色 3 2 2 2" xfId="99"/>
    <cellStyle name="20% - 强调文字颜色 3 2 2 2 2" xfId="100"/>
    <cellStyle name="20% - 强调文字颜色 3 2 2 2 3" xfId="101"/>
    <cellStyle name="20% - 强调文字颜色 3 2 2 3" xfId="102"/>
    <cellStyle name="20% - 强调文字颜色 3 2 2 4" xfId="103"/>
    <cellStyle name="20% - 强调文字颜色 3 2 2 5" xfId="104"/>
    <cellStyle name="20% - 强调文字颜色 3 2 3" xfId="105"/>
    <cellStyle name="20% - 强调文字颜色 3 2 3 2" xfId="106"/>
    <cellStyle name="20% - 强调文字颜色 3 2 3 3" xfId="107"/>
    <cellStyle name="20% - 强调文字颜色 3 2 4" xfId="108"/>
    <cellStyle name="20% - 强调文字颜色 3 2 5" xfId="109"/>
    <cellStyle name="20% - 强调文字颜色 3 2 6" xfId="110"/>
    <cellStyle name="20% - 强调文字颜色 3 3" xfId="111"/>
    <cellStyle name="20% - 强调文字颜色 3 3 2" xfId="112"/>
    <cellStyle name="20% - 强调文字颜色 3 3 2 2" xfId="113"/>
    <cellStyle name="20% - 强调文字颜色 3 3 2 3" xfId="114"/>
    <cellStyle name="20% - 强调文字颜色 3 3 3" xfId="115"/>
    <cellStyle name="20% - 强调文字颜色 3 3 4" xfId="116"/>
    <cellStyle name="20% - 强调文字颜色 3 3 5" xfId="117"/>
    <cellStyle name="20% - 强调文字颜色 3 4" xfId="118"/>
    <cellStyle name="20% - 强调文字颜色 3 4 2" xfId="119"/>
    <cellStyle name="20% - 强调文字颜色 3 4 3" xfId="120"/>
    <cellStyle name="20% - 强调文字颜色 4 2" xfId="121"/>
    <cellStyle name="20% - 强调文字颜色 4 2 2" xfId="122"/>
    <cellStyle name="20% - 强调文字颜色 4 2 2 2" xfId="123"/>
    <cellStyle name="20% - 强调文字颜色 4 2 2 2 2" xfId="124"/>
    <cellStyle name="20% - 强调文字颜色 4 2 2 2 3" xfId="125"/>
    <cellStyle name="20% - 强调文字颜色 4 2 2 3" xfId="126"/>
    <cellStyle name="20% - 强调文字颜色 4 2 2 4" xfId="127"/>
    <cellStyle name="20% - 强调文字颜色 4 2 2 5" xfId="128"/>
    <cellStyle name="20% - 强调文字颜色 4 2 3" xfId="129"/>
    <cellStyle name="20% - 强调文字颜色 4 2 3 2" xfId="130"/>
    <cellStyle name="20% - 强调文字颜色 4 2 3 3" xfId="131"/>
    <cellStyle name="20% - 强调文字颜色 4 2 4" xfId="132"/>
    <cellStyle name="20% - 强调文字颜色 4 2 5" xfId="133"/>
    <cellStyle name="20% - 强调文字颜色 4 2 6" xfId="134"/>
    <cellStyle name="20% - 强调文字颜色 4 3" xfId="135"/>
    <cellStyle name="20% - 强调文字颜色 4 3 2" xfId="136"/>
    <cellStyle name="20% - 强调文字颜色 4 3 2 2" xfId="137"/>
    <cellStyle name="20% - 强调文字颜色 4 3 2 3" xfId="138"/>
    <cellStyle name="20% - 强调文字颜色 4 3 3" xfId="139"/>
    <cellStyle name="20% - 强调文字颜色 4 3 4" xfId="140"/>
    <cellStyle name="20% - 强调文字颜色 4 3 5" xfId="141"/>
    <cellStyle name="20% - 强调文字颜色 4 4" xfId="142"/>
    <cellStyle name="20% - 强调文字颜色 4 4 2" xfId="143"/>
    <cellStyle name="20% - 强调文字颜色 4 4 3" xfId="144"/>
    <cellStyle name="20% - 强调文字颜色 5 2" xfId="145"/>
    <cellStyle name="20% - 强调文字颜色 5 2 2" xfId="146"/>
    <cellStyle name="20% - 强调文字颜色 5 2 2 2" xfId="147"/>
    <cellStyle name="20% - 强调文字颜色 5 2 2 2 2" xfId="148"/>
    <cellStyle name="20% - 强调文字颜色 5 2 2 2 3" xfId="149"/>
    <cellStyle name="20% - 强调文字颜色 5 2 2 3" xfId="150"/>
    <cellStyle name="20% - 强调文字颜色 5 2 2 4" xfId="151"/>
    <cellStyle name="20% - 强调文字颜色 5 2 2 5" xfId="152"/>
    <cellStyle name="20% - 强调文字颜色 5 2 3" xfId="153"/>
    <cellStyle name="20% - 强调文字颜色 5 2 3 2" xfId="154"/>
    <cellStyle name="20% - 强调文字颜色 5 2 3 3" xfId="155"/>
    <cellStyle name="20% - 强调文字颜色 5 2 4" xfId="156"/>
    <cellStyle name="20% - 强调文字颜色 5 2 5" xfId="157"/>
    <cellStyle name="20% - 强调文字颜色 5 2 6" xfId="158"/>
    <cellStyle name="20% - 强调文字颜色 5 3" xfId="159"/>
    <cellStyle name="20% - 强调文字颜色 5 3 2" xfId="160"/>
    <cellStyle name="20% - 强调文字颜色 5 3 2 2" xfId="161"/>
    <cellStyle name="20% - 强调文字颜色 5 3 2 3" xfId="162"/>
    <cellStyle name="20% - 强调文字颜色 5 3 3" xfId="163"/>
    <cellStyle name="20% - 强调文字颜色 5 3 4" xfId="164"/>
    <cellStyle name="20% - 强调文字颜色 5 3 5" xfId="165"/>
    <cellStyle name="20% - 强调文字颜色 5 4" xfId="166"/>
    <cellStyle name="20% - 强调文字颜色 5 4 2" xfId="167"/>
    <cellStyle name="20% - 强调文字颜色 5 4 3" xfId="168"/>
    <cellStyle name="20% - 强调文字颜色 6 2" xfId="169"/>
    <cellStyle name="20% - 强调文字颜色 6 2 2" xfId="170"/>
    <cellStyle name="20% - 强调文字颜色 6 2 2 2" xfId="171"/>
    <cellStyle name="20% - 强调文字颜色 6 2 2 2 2" xfId="172"/>
    <cellStyle name="20% - 强调文字颜色 6 2 2 2 3" xfId="173"/>
    <cellStyle name="20% - 强调文字颜色 6 2 2 3" xfId="174"/>
    <cellStyle name="20% - 强调文字颜色 6 2 2 4" xfId="175"/>
    <cellStyle name="20% - 强调文字颜色 6 2 2 5" xfId="176"/>
    <cellStyle name="20% - 强调文字颜色 6 2 3" xfId="177"/>
    <cellStyle name="20% - 强调文字颜色 6 2 3 2" xfId="178"/>
    <cellStyle name="20% - 强调文字颜色 6 2 3 3" xfId="179"/>
    <cellStyle name="20% - 强调文字颜色 6 2 4" xfId="180"/>
    <cellStyle name="20% - 强调文字颜色 6 2 5" xfId="181"/>
    <cellStyle name="20% - 强调文字颜色 6 2 6" xfId="182"/>
    <cellStyle name="20% - 强调文字颜色 6 3" xfId="183"/>
    <cellStyle name="20% - 强调文字颜色 6 3 2" xfId="184"/>
    <cellStyle name="20% - 强调文字颜色 6 3 2 2" xfId="185"/>
    <cellStyle name="20% - 强调文字颜色 6 3 2 3" xfId="186"/>
    <cellStyle name="20% - 强调文字颜色 6 3 3" xfId="187"/>
    <cellStyle name="20% - 强调文字颜色 6 3 4" xfId="188"/>
    <cellStyle name="20% - 强调文字颜色 6 3 5" xfId="189"/>
    <cellStyle name="20% - 强调文字颜色 6 4" xfId="190"/>
    <cellStyle name="20% - 强调文字颜色 6 4 2" xfId="191"/>
    <cellStyle name="20% - 强调文字颜色 6 4 3" xfId="192"/>
    <cellStyle name="40% - 强调文字颜色 1 2" xfId="193"/>
    <cellStyle name="40% - 强调文字颜色 1 2 2" xfId="194"/>
    <cellStyle name="40% - 强调文字颜色 1 2 2 2" xfId="195"/>
    <cellStyle name="40% - 强调文字颜色 1 2 2 2 2" xfId="196"/>
    <cellStyle name="40% - 强调文字颜色 1 2 2 2 3" xfId="197"/>
    <cellStyle name="40% - 强调文字颜色 1 2 2 3" xfId="198"/>
    <cellStyle name="40% - 强调文字颜色 1 2 2 4" xfId="199"/>
    <cellStyle name="40% - 强调文字颜色 1 2 2 5" xfId="200"/>
    <cellStyle name="40% - 强调文字颜色 1 2 3" xfId="201"/>
    <cellStyle name="40% - 强调文字颜色 1 2 3 2" xfId="202"/>
    <cellStyle name="40% - 强调文字颜色 1 2 3 3" xfId="203"/>
    <cellStyle name="40% - 强调文字颜色 1 2 4" xfId="204"/>
    <cellStyle name="40% - 强调文字颜色 1 2 5" xfId="205"/>
    <cellStyle name="40% - 强调文字颜色 1 2 6" xfId="206"/>
    <cellStyle name="40% - 强调文字颜色 1 3" xfId="207"/>
    <cellStyle name="40% - 强调文字颜色 1 3 2" xfId="208"/>
    <cellStyle name="40% - 强调文字颜色 1 3 2 2" xfId="209"/>
    <cellStyle name="40% - 强调文字颜色 1 3 2 3" xfId="210"/>
    <cellStyle name="40% - 强调文字颜色 1 3 3" xfId="211"/>
    <cellStyle name="40% - 强调文字颜色 1 3 4" xfId="212"/>
    <cellStyle name="40% - 强调文字颜色 1 3 5" xfId="213"/>
    <cellStyle name="40% - 强调文字颜色 1 4" xfId="214"/>
    <cellStyle name="40% - 强调文字颜色 1 4 2" xfId="215"/>
    <cellStyle name="40% - 强调文字颜色 1 4 3" xfId="216"/>
    <cellStyle name="40% - 强调文字颜色 2 2" xfId="217"/>
    <cellStyle name="40% - 强调文字颜色 2 2 2" xfId="218"/>
    <cellStyle name="40% - 强调文字颜色 2 2 2 2" xfId="219"/>
    <cellStyle name="40% - 强调文字颜色 2 2 2 2 2" xfId="220"/>
    <cellStyle name="40% - 强调文字颜色 2 2 2 2 3" xfId="221"/>
    <cellStyle name="40% - 强调文字颜色 2 2 2 3" xfId="222"/>
    <cellStyle name="40% - 强调文字颜色 2 2 2 4" xfId="223"/>
    <cellStyle name="40% - 强调文字颜色 2 2 2 5" xfId="224"/>
    <cellStyle name="40% - 强调文字颜色 2 2 3" xfId="225"/>
    <cellStyle name="40% - 强调文字颜色 2 2 3 2" xfId="226"/>
    <cellStyle name="40% - 强调文字颜色 2 2 3 3" xfId="227"/>
    <cellStyle name="40% - 强调文字颜色 2 2 4" xfId="228"/>
    <cellStyle name="40% - 强调文字颜色 2 2 5" xfId="229"/>
    <cellStyle name="40% - 强调文字颜色 2 2 6" xfId="230"/>
    <cellStyle name="40% - 强调文字颜色 2 3" xfId="231"/>
    <cellStyle name="40% - 强调文字颜色 2 3 2" xfId="232"/>
    <cellStyle name="40% - 强调文字颜色 2 3 2 2" xfId="233"/>
    <cellStyle name="40% - 强调文字颜色 2 3 2 3" xfId="234"/>
    <cellStyle name="40% - 强调文字颜色 2 3 3" xfId="235"/>
    <cellStyle name="40% - 强调文字颜色 2 3 4" xfId="236"/>
    <cellStyle name="40% - 强调文字颜色 2 3 5" xfId="237"/>
    <cellStyle name="40% - 强调文字颜色 2 4" xfId="238"/>
    <cellStyle name="40% - 强调文字颜色 2 4 2" xfId="239"/>
    <cellStyle name="40% - 强调文字颜色 2 4 3" xfId="240"/>
    <cellStyle name="40% - 强调文字颜色 3 2" xfId="241"/>
    <cellStyle name="40% - 强调文字颜色 3 2 2" xfId="242"/>
    <cellStyle name="40% - 强调文字颜色 3 2 2 2" xfId="243"/>
    <cellStyle name="40% - 强调文字颜色 3 2 2 2 2" xfId="244"/>
    <cellStyle name="40% - 强调文字颜色 3 2 2 2 3" xfId="245"/>
    <cellStyle name="40% - 强调文字颜色 3 2 2 3" xfId="246"/>
    <cellStyle name="40% - 强调文字颜色 3 2 2 4" xfId="247"/>
    <cellStyle name="40% - 强调文字颜色 3 2 2 5" xfId="248"/>
    <cellStyle name="40% - 强调文字颜色 3 2 3" xfId="249"/>
    <cellStyle name="40% - 强调文字颜色 3 2 3 2" xfId="250"/>
    <cellStyle name="40% - 强调文字颜色 3 2 3 3" xfId="251"/>
    <cellStyle name="40% - 强调文字颜色 3 2 4" xfId="252"/>
    <cellStyle name="40% - 强调文字颜色 3 2 5" xfId="253"/>
    <cellStyle name="40% - 强调文字颜色 3 2 6" xfId="254"/>
    <cellStyle name="40% - 强调文字颜色 3 3" xfId="255"/>
    <cellStyle name="40% - 强调文字颜色 3 3 2" xfId="256"/>
    <cellStyle name="40% - 强调文字颜色 3 3 2 2" xfId="257"/>
    <cellStyle name="40% - 强调文字颜色 3 3 2 3" xfId="258"/>
    <cellStyle name="40% - 强调文字颜色 3 3 3" xfId="259"/>
    <cellStyle name="40% - 强调文字颜色 3 3 4" xfId="260"/>
    <cellStyle name="40% - 强调文字颜色 3 3 5" xfId="261"/>
    <cellStyle name="40% - 强调文字颜色 3 4" xfId="262"/>
    <cellStyle name="40% - 强调文字颜色 3 4 2" xfId="263"/>
    <cellStyle name="40% - 强调文字颜色 3 4 3" xfId="264"/>
    <cellStyle name="40% - 强调文字颜色 4 2" xfId="265"/>
    <cellStyle name="40% - 强调文字颜色 4 2 2" xfId="266"/>
    <cellStyle name="40% - 强调文字颜色 4 2 2 2" xfId="267"/>
    <cellStyle name="40% - 强调文字颜色 4 2 2 2 2" xfId="268"/>
    <cellStyle name="40% - 强调文字颜色 4 2 2 2 3" xfId="269"/>
    <cellStyle name="40% - 强调文字颜色 4 2 2 3" xfId="270"/>
    <cellStyle name="40% - 强调文字颜色 4 2 2 4" xfId="271"/>
    <cellStyle name="40% - 强调文字颜色 4 2 2 5" xfId="272"/>
    <cellStyle name="40% - 强调文字颜色 4 2 3" xfId="273"/>
    <cellStyle name="40% - 强调文字颜色 4 2 3 2" xfId="274"/>
    <cellStyle name="40% - 强调文字颜色 4 2 3 3" xfId="275"/>
    <cellStyle name="40% - 强调文字颜色 4 2 4" xfId="276"/>
    <cellStyle name="40% - 强调文字颜色 4 2 5" xfId="277"/>
    <cellStyle name="40% - 强调文字颜色 4 2 6" xfId="278"/>
    <cellStyle name="40% - 强调文字颜色 4 3" xfId="279"/>
    <cellStyle name="40% - 强调文字颜色 4 3 2" xfId="280"/>
    <cellStyle name="40% - 强调文字颜色 4 3 2 2" xfId="281"/>
    <cellStyle name="40% - 强调文字颜色 4 3 2 3" xfId="282"/>
    <cellStyle name="40% - 强调文字颜色 4 3 3" xfId="283"/>
    <cellStyle name="40% - 强调文字颜色 4 3 4" xfId="284"/>
    <cellStyle name="40% - 强调文字颜色 4 3 5" xfId="285"/>
    <cellStyle name="40% - 强调文字颜色 4 4" xfId="286"/>
    <cellStyle name="40% - 强调文字颜色 4 4 2" xfId="287"/>
    <cellStyle name="40% - 强调文字颜色 4 4 3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2 3" xfId="293"/>
    <cellStyle name="40% - 强调文字颜色 5 2 2 3" xfId="294"/>
    <cellStyle name="40% - 强调文字颜色 5 2 2 4" xfId="295"/>
    <cellStyle name="40% - 强调文字颜色 5 2 2 5" xfId="296"/>
    <cellStyle name="40% - 强调文字颜色 5 2 3" xfId="297"/>
    <cellStyle name="40% - 强调文字颜色 5 2 3 2" xfId="298"/>
    <cellStyle name="40% - 强调文字颜色 5 2 3 3" xfId="299"/>
    <cellStyle name="40% - 强调文字颜色 5 2 4" xfId="300"/>
    <cellStyle name="40% - 强调文字颜色 5 2 5" xfId="301"/>
    <cellStyle name="40% - 强调文字颜色 5 2 6" xfId="302"/>
    <cellStyle name="40% - 强调文字颜色 5 3" xfId="303"/>
    <cellStyle name="40% - 强调文字颜色 5 3 2" xfId="304"/>
    <cellStyle name="40% - 强调文字颜色 5 3 2 2" xfId="305"/>
    <cellStyle name="40% - 强调文字颜色 5 3 2 3" xfId="306"/>
    <cellStyle name="40% - 强调文字颜色 5 3 3" xfId="307"/>
    <cellStyle name="40% - 强调文字颜色 5 3 4" xfId="308"/>
    <cellStyle name="40% - 强调文字颜色 5 3 5" xfId="309"/>
    <cellStyle name="40% - 强调文字颜色 5 4" xfId="310"/>
    <cellStyle name="40% - 强调文字颜色 5 4 2" xfId="311"/>
    <cellStyle name="40% - 强调文字颜色 5 4 3" xfId="312"/>
    <cellStyle name="40% - 强调文字颜色 6 2" xfId="313"/>
    <cellStyle name="40% - 强调文字颜色 6 2 2" xfId="314"/>
    <cellStyle name="40% - 强调文字颜色 6 2 2 2" xfId="315"/>
    <cellStyle name="40% - 强调文字颜色 6 2 2 2 2" xfId="316"/>
    <cellStyle name="40% - 强调文字颜色 6 2 2 2 3" xfId="317"/>
    <cellStyle name="40% - 强调文字颜色 6 2 2 3" xfId="318"/>
    <cellStyle name="40% - 强调文字颜色 6 2 2 4" xfId="319"/>
    <cellStyle name="40% - 强调文字颜色 6 2 2 5" xfId="320"/>
    <cellStyle name="40% - 强调文字颜色 6 2 3" xfId="321"/>
    <cellStyle name="40% - 强调文字颜色 6 2 3 2" xfId="322"/>
    <cellStyle name="40% - 强调文字颜色 6 2 3 3" xfId="323"/>
    <cellStyle name="40% - 强调文字颜色 6 2 4" xfId="324"/>
    <cellStyle name="40% - 强调文字颜色 6 2 5" xfId="325"/>
    <cellStyle name="40% - 强调文字颜色 6 2 6" xfId="326"/>
    <cellStyle name="40% - 强调文字颜色 6 3" xfId="327"/>
    <cellStyle name="40% - 强调文字颜色 6 3 2" xfId="328"/>
    <cellStyle name="40% - 强调文字颜色 6 3 2 2" xfId="329"/>
    <cellStyle name="40% - 强调文字颜色 6 3 2 3" xfId="330"/>
    <cellStyle name="40% - 强调文字颜色 6 3 3" xfId="331"/>
    <cellStyle name="40% - 强调文字颜色 6 3 4" xfId="332"/>
    <cellStyle name="40% - 强调文字颜色 6 3 5" xfId="333"/>
    <cellStyle name="40% - 强调文字颜色 6 4" xfId="334"/>
    <cellStyle name="40% - 强调文字颜色 6 4 2" xfId="335"/>
    <cellStyle name="40% - 强调文字颜色 6 4 3" xfId="336"/>
    <cellStyle name="常规 2" xfId="337"/>
    <cellStyle name="常规 2 2" xfId="338"/>
    <cellStyle name="常规 2 2 2" xfId="339"/>
    <cellStyle name="常规 2 2 3" xfId="340"/>
    <cellStyle name="常规 2 3" xfId="341"/>
    <cellStyle name="常规 2 3 2" xfId="342"/>
    <cellStyle name="常规 2 3 2 2" xfId="343"/>
    <cellStyle name="常规 2 3 2 2 2" xfId="344"/>
    <cellStyle name="常规 2 3 2 2 2 2" xfId="345"/>
    <cellStyle name="常规 2 3 2 2 2 2 2" xfId="346"/>
    <cellStyle name="常规 2 3 2 2 2 2 3" xfId="347"/>
    <cellStyle name="常规 2 3 2 2 2 3" xfId="348"/>
    <cellStyle name="常规 2 3 2 2 2 4" xfId="349"/>
    <cellStyle name="常规 2 3 2 2 2 5" xfId="350"/>
    <cellStyle name="常规 2 3 2 2 3" xfId="351"/>
    <cellStyle name="常规 2 3 2 2 3 2" xfId="352"/>
    <cellStyle name="常规 2 3 2 2 3 3" xfId="353"/>
    <cellStyle name="常规 2 3 2 2 4" xfId="354"/>
    <cellStyle name="常规 2 3 2 2 5" xfId="355"/>
    <cellStyle name="常规 2 3 2 2 6" xfId="356"/>
    <cellStyle name="常规 2 3 2 3" xfId="357"/>
    <cellStyle name="常规 2 3 2 3 2" xfId="358"/>
    <cellStyle name="常规 2 3 2 3 2 2" xfId="359"/>
    <cellStyle name="常规 2 3 2 3 2 3" xfId="360"/>
    <cellStyle name="常规 2 3 2 3 3" xfId="361"/>
    <cellStyle name="常规 2 3 2 3 4" xfId="362"/>
    <cellStyle name="常规 2 3 2 3 5" xfId="363"/>
    <cellStyle name="常规 2 3 2 4" xfId="364"/>
    <cellStyle name="常规 2 3 2 4 2" xfId="365"/>
    <cellStyle name="常规 2 3 2 4 3" xfId="366"/>
    <cellStyle name="常规 2 3 2 5" xfId="367"/>
    <cellStyle name="常规 2 3 2 6" xfId="368"/>
    <cellStyle name="常规 2 3 2 7" xfId="369"/>
    <cellStyle name="常规 2 3 3" xfId="370"/>
    <cellStyle name="常规 2 3 3 2" xfId="371"/>
    <cellStyle name="常规 2 3 3 2 2" xfId="372"/>
    <cellStyle name="常规 2 3 3 2 2 2" xfId="373"/>
    <cellStyle name="常规 2 3 3 2 2 3" xfId="374"/>
    <cellStyle name="常规 2 3 3 2 3" xfId="375"/>
    <cellStyle name="常规 2 3 3 2 4" xfId="376"/>
    <cellStyle name="常规 2 3 3 2 5" xfId="377"/>
    <cellStyle name="常规 2 3 3 3" xfId="378"/>
    <cellStyle name="常规 2 3 3 3 2" xfId="379"/>
    <cellStyle name="常规 2 3 3 3 3" xfId="380"/>
    <cellStyle name="常规 2 3 3 4" xfId="381"/>
    <cellStyle name="常规 2 3 3 5" xfId="382"/>
    <cellStyle name="常规 2 3 3 6" xfId="383"/>
    <cellStyle name="常规 2 3 4" xfId="384"/>
    <cellStyle name="常规 2 3 4 2" xfId="385"/>
    <cellStyle name="常规 2 3 4 2 2" xfId="386"/>
    <cellStyle name="常规 2 3 4 2 3" xfId="387"/>
    <cellStyle name="常规 2 3 4 3" xfId="388"/>
    <cellStyle name="常规 2 3 4 4" xfId="389"/>
    <cellStyle name="常规 2 3 4 5" xfId="390"/>
    <cellStyle name="常规 2 3 5" xfId="391"/>
    <cellStyle name="常规 2 3 5 2" xfId="392"/>
    <cellStyle name="常规 2 3 5 3" xfId="393"/>
    <cellStyle name="常规 2 3 6" xfId="394"/>
    <cellStyle name="常规 2 3 7" xfId="395"/>
    <cellStyle name="常规 2 3 8" xfId="396"/>
    <cellStyle name="常规 2 4" xfId="397"/>
    <cellStyle name="常规 2 4 2" xfId="398"/>
    <cellStyle name="常规 2 5" xfId="399"/>
    <cellStyle name="常规 2 6" xfId="400"/>
    <cellStyle name="常规 2 7" xfId="401"/>
    <cellStyle name="常规 3" xfId="402"/>
    <cellStyle name="常规 3 2" xfId="403"/>
    <cellStyle name="常规 3 2 2" xfId="404"/>
    <cellStyle name="常规 3 3" xfId="405"/>
    <cellStyle name="常规 3 4" xfId="406"/>
    <cellStyle name="常规 4" xfId="407"/>
    <cellStyle name="常规 4 2" xfId="408"/>
    <cellStyle name="常规 4 2 2" xfId="409"/>
    <cellStyle name="常规 4 3" xfId="410"/>
    <cellStyle name="常规 4 4" xfId="411"/>
    <cellStyle name="常规 4 5" xfId="412"/>
    <cellStyle name="常规 5" xfId="413"/>
    <cellStyle name="常规 5 2" xfId="414"/>
    <cellStyle name="常规 5 2 2" xfId="415"/>
    <cellStyle name="常规 5 2 2 2" xfId="416"/>
    <cellStyle name="常规 5 2 2 2 2" xfId="417"/>
    <cellStyle name="常规 5 2 2 2 3" xfId="418"/>
    <cellStyle name="常规 5 2 2 3" xfId="419"/>
    <cellStyle name="常规 5 2 2 4" xfId="420"/>
    <cellStyle name="常规 5 2 2 5" xfId="421"/>
    <cellStyle name="常规 5 2 3" xfId="422"/>
    <cellStyle name="常规 5 2 3 2" xfId="423"/>
    <cellStyle name="常规 5 2 3 3" xfId="424"/>
    <cellStyle name="常规 5 2 4" xfId="425"/>
    <cellStyle name="常规 5 2 5" xfId="426"/>
    <cellStyle name="常规 5 2 6" xfId="427"/>
    <cellStyle name="常规 5 3" xfId="428"/>
    <cellStyle name="常规 5 3 2" xfId="429"/>
    <cellStyle name="常规 5 3 2 2" xfId="430"/>
    <cellStyle name="常规 5 3 2 3" xfId="431"/>
    <cellStyle name="常规 5 3 3" xfId="432"/>
    <cellStyle name="常规 5 3 4" xfId="433"/>
    <cellStyle name="常规 5 3 5" xfId="434"/>
    <cellStyle name="常规 5 4" xfId="435"/>
    <cellStyle name="常规 5 4 2" xfId="436"/>
    <cellStyle name="常规 5 4 3" xfId="437"/>
    <cellStyle name="常规 5 5" xfId="438"/>
    <cellStyle name="常规 5 6" xfId="439"/>
    <cellStyle name="常规 5 7" xfId="440"/>
    <cellStyle name="常规 6" xfId="441"/>
    <cellStyle name="常规 6 2" xfId="442"/>
    <cellStyle name="常规 7" xfId="443"/>
    <cellStyle name="常规 8" xfId="444"/>
    <cellStyle name="常规 9" xfId="445"/>
    <cellStyle name="注释 2" xfId="446"/>
    <cellStyle name="注释 2 2" xfId="447"/>
    <cellStyle name="注释 2 2 2" xfId="448"/>
    <cellStyle name="注释 2 2 2 2" xfId="449"/>
    <cellStyle name="注释 2 2 2 2 2" xfId="450"/>
    <cellStyle name="注释 2 2 2 2 3" xfId="451"/>
    <cellStyle name="注释 2 2 2 3" xfId="452"/>
    <cellStyle name="注释 2 2 2 4" xfId="453"/>
    <cellStyle name="注释 2 2 2 5" xfId="454"/>
    <cellStyle name="注释 2 2 3" xfId="455"/>
    <cellStyle name="注释 2 2 3 2" xfId="456"/>
    <cellStyle name="注释 2 2 3 3" xfId="457"/>
    <cellStyle name="注释 2 2 4" xfId="458"/>
    <cellStyle name="注释 2 2 5" xfId="459"/>
    <cellStyle name="注释 2 2 6" xfId="460"/>
    <cellStyle name="注释 2 3" xfId="461"/>
    <cellStyle name="注释 2 3 2" xfId="462"/>
    <cellStyle name="注释 2 3 2 2" xfId="463"/>
    <cellStyle name="注释 2 3 2 3" xfId="464"/>
    <cellStyle name="注释 2 3 3" xfId="465"/>
    <cellStyle name="注释 2 3 4" xfId="466"/>
    <cellStyle name="注释 2 3 5" xfId="467"/>
    <cellStyle name="注释 2 4" xfId="468"/>
    <cellStyle name="注释 2 4 2" xfId="469"/>
    <cellStyle name="注释 2 4 3" xfId="470"/>
    <cellStyle name="注释 2 5" xfId="471"/>
    <cellStyle name="注释 2 6" xfId="472"/>
    <cellStyle name="注释 2 7" xfId="473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B2B4FC98-6252-4AA1-82A3-8667F863611A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O492"/>
  <sheetViews>
    <sheetView showGridLines="0" tabSelected="1" workbookViewId="0">
      <pane xSplit="3" ySplit="3" topLeftCell="D4" activePane="bottomRight" state="frozen"/>
      <selection/>
      <selection pane="topRight"/>
      <selection pane="bottomLeft"/>
      <selection pane="bottomRight" activeCell="C1" sqref="C1"/>
    </sheetView>
  </sheetViews>
  <sheetFormatPr defaultColWidth="8.875" defaultRowHeight="13.5" customHeight="1"/>
  <cols>
    <col min="1" max="1" width="9.5" customWidth="1"/>
    <col min="2" max="2" width="13.25" style="5" customWidth="1"/>
    <col min="3" max="3" width="18.625" style="5" customWidth="1"/>
    <col min="4" max="4" width="13.125" style="5" customWidth="1"/>
    <col min="5" max="7" width="11.875" style="5" customWidth="1"/>
    <col min="8" max="8" width="18.625" style="5" customWidth="1"/>
    <col min="9" max="9" width="17.125" style="5" customWidth="1"/>
    <col min="10" max="10" width="18.625" style="5" customWidth="1"/>
    <col min="11" max="11" width="13.5" style="5" customWidth="1"/>
    <col min="12" max="12" width="17.875" style="5" customWidth="1"/>
    <col min="13" max="13" width="19" style="5" customWidth="1"/>
    <col min="14" max="14" width="17.875" style="5" customWidth="1"/>
    <col min="15" max="15" width="19" style="5" customWidth="1"/>
    <col min="16" max="16" width="17.875" style="5" customWidth="1"/>
    <col min="17" max="19" width="19" style="5" customWidth="1"/>
    <col min="20" max="21" width="14.5" style="5" customWidth="1"/>
    <col min="22" max="22" width="15.5" style="5" customWidth="1"/>
    <col min="23" max="23" width="20.125" style="5" customWidth="1"/>
    <col min="24" max="24" width="21.375" style="5" customWidth="1"/>
    <col min="25" max="25" width="16" style="5" customWidth="1"/>
    <col min="26" max="26" width="16.625" style="5" customWidth="1"/>
    <col min="27" max="28" width="16" style="5" customWidth="1"/>
    <col min="29" max="29" width="19" style="5" customWidth="1"/>
    <col min="30" max="30" width="22.125" style="5" customWidth="1"/>
    <col min="31" max="198" width="8.875" style="5" customWidth="1"/>
  </cols>
  <sheetData>
    <row r="1" customFormat="1" ht="20.1" customHeight="1" spans="1:198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29" t="s">
        <v>26</v>
      </c>
      <c r="AB1" s="29" t="s">
        <v>27</v>
      </c>
      <c r="AC1" s="29" t="s">
        <v>28</v>
      </c>
      <c r="AD1" s="30" t="s">
        <v>29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</row>
    <row r="2" customFormat="1" ht="20.1" customHeight="1" spans="1:198">
      <c r="A2" s="6" t="s">
        <v>30</v>
      </c>
      <c r="B2" s="7" t="s">
        <v>31</v>
      </c>
      <c r="C2" s="10" t="s">
        <v>32</v>
      </c>
      <c r="D2" s="10" t="s">
        <v>31</v>
      </c>
      <c r="E2" s="10" t="s">
        <v>31</v>
      </c>
      <c r="F2" s="10" t="s">
        <v>31</v>
      </c>
      <c r="G2" s="10" t="s">
        <v>31</v>
      </c>
      <c r="H2" s="10" t="s">
        <v>33</v>
      </c>
      <c r="I2" s="10" t="s">
        <v>31</v>
      </c>
      <c r="J2" s="10" t="s">
        <v>31</v>
      </c>
      <c r="K2" s="10" t="s">
        <v>31</v>
      </c>
      <c r="L2" s="10" t="s">
        <v>31</v>
      </c>
      <c r="M2" s="10" t="s">
        <v>31</v>
      </c>
      <c r="N2" s="10" t="s">
        <v>31</v>
      </c>
      <c r="O2" s="10" t="s">
        <v>31</v>
      </c>
      <c r="P2" s="10" t="s">
        <v>31</v>
      </c>
      <c r="Q2" s="10" t="s">
        <v>31</v>
      </c>
      <c r="R2" s="10" t="s">
        <v>31</v>
      </c>
      <c r="S2" s="10" t="s">
        <v>31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31</v>
      </c>
      <c r="AA2" s="10" t="s">
        <v>34</v>
      </c>
      <c r="AB2" s="10" t="s">
        <v>35</v>
      </c>
      <c r="AC2" s="10" t="s">
        <v>35</v>
      </c>
      <c r="AD2" s="30" t="s">
        <v>31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</row>
    <row r="3" ht="20.1" customHeight="1" spans="1:30">
      <c r="A3" s="6" t="s">
        <v>36</v>
      </c>
      <c r="B3" s="7" t="s">
        <v>1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48</v>
      </c>
      <c r="S3" s="10" t="s">
        <v>49</v>
      </c>
      <c r="T3" s="10" t="s">
        <v>50</v>
      </c>
      <c r="U3" s="10" t="s">
        <v>51</v>
      </c>
      <c r="V3" s="10" t="s">
        <v>52</v>
      </c>
      <c r="W3" s="10" t="s">
        <v>53</v>
      </c>
      <c r="X3" s="10" t="s">
        <v>54</v>
      </c>
      <c r="Y3" s="10" t="s">
        <v>55</v>
      </c>
      <c r="Z3" s="10" t="s">
        <v>56</v>
      </c>
      <c r="AA3" s="10" t="s">
        <v>57</v>
      </c>
      <c r="AB3" s="10" t="s">
        <v>58</v>
      </c>
      <c r="AC3" s="10" t="s">
        <v>59</v>
      </c>
      <c r="AD3" s="30" t="s">
        <v>60</v>
      </c>
    </row>
    <row r="4" s="1" customFormat="1" ht="20.1" customHeight="1" spans="2:198">
      <c r="B4" s="11">
        <v>40030001</v>
      </c>
      <c r="C4" s="12" t="s">
        <v>61</v>
      </c>
      <c r="D4" s="13">
        <v>0</v>
      </c>
      <c r="E4" s="13">
        <v>0</v>
      </c>
      <c r="F4" s="13">
        <v>1</v>
      </c>
      <c r="G4" s="13">
        <v>10</v>
      </c>
      <c r="H4" s="13">
        <v>0.3</v>
      </c>
      <c r="I4" s="24">
        <v>0</v>
      </c>
      <c r="J4" s="24">
        <v>0</v>
      </c>
      <c r="K4" s="25">
        <v>999999</v>
      </c>
      <c r="L4" s="25">
        <v>99999</v>
      </c>
      <c r="M4" s="25">
        <v>99999</v>
      </c>
      <c r="N4" s="25">
        <v>99999</v>
      </c>
      <c r="O4" s="25">
        <v>99999</v>
      </c>
      <c r="P4" s="25">
        <v>99999</v>
      </c>
      <c r="Q4" s="25">
        <v>99999</v>
      </c>
      <c r="R4" s="25">
        <v>99999</v>
      </c>
      <c r="S4" s="25">
        <v>99999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4">
        <v>0</v>
      </c>
      <c r="AB4" s="24">
        <v>0</v>
      </c>
      <c r="AC4" s="24">
        <v>0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</row>
    <row r="5" s="1" customFormat="1" ht="20.1" customHeight="1" spans="2:198">
      <c r="B5" s="11">
        <v>40030002</v>
      </c>
      <c r="C5" s="12" t="s">
        <v>62</v>
      </c>
      <c r="D5" s="13">
        <v>0</v>
      </c>
      <c r="E5" s="13">
        <v>0</v>
      </c>
      <c r="F5" s="13">
        <v>1</v>
      </c>
      <c r="G5" s="13">
        <v>10</v>
      </c>
      <c r="H5" s="13">
        <v>0.3</v>
      </c>
      <c r="I5" s="24">
        <v>0</v>
      </c>
      <c r="J5" s="24">
        <v>0</v>
      </c>
      <c r="K5" s="25">
        <v>999999</v>
      </c>
      <c r="L5" s="25">
        <v>0</v>
      </c>
      <c r="M5" s="25">
        <v>0</v>
      </c>
      <c r="N5" s="25">
        <v>0</v>
      </c>
      <c r="O5" s="25">
        <v>0</v>
      </c>
      <c r="P5" s="25">
        <v>99999</v>
      </c>
      <c r="Q5" s="25">
        <v>99999</v>
      </c>
      <c r="R5" s="25">
        <v>99999</v>
      </c>
      <c r="S5" s="25">
        <v>99999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4">
        <v>0</v>
      </c>
      <c r="AB5" s="24">
        <v>0</v>
      </c>
      <c r="AC5" s="24">
        <v>0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</row>
    <row r="6" ht="20.1" customHeight="1" spans="2:223">
      <c r="B6" s="14">
        <v>1800101</v>
      </c>
      <c r="C6" s="14" t="s">
        <v>63</v>
      </c>
      <c r="D6" s="15">
        <v>1140002</v>
      </c>
      <c r="E6" s="15">
        <v>0</v>
      </c>
      <c r="F6" s="15">
        <v>1</v>
      </c>
      <c r="G6" s="15">
        <v>20</v>
      </c>
      <c r="H6" s="16">
        <v>0.2</v>
      </c>
      <c r="I6" s="26">
        <v>10</v>
      </c>
      <c r="J6" s="15">
        <v>0</v>
      </c>
      <c r="K6" s="15">
        <v>1200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6">
        <v>0</v>
      </c>
      <c r="U6" s="15">
        <v>0</v>
      </c>
      <c r="V6" s="15">
        <v>0</v>
      </c>
      <c r="W6" s="15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</row>
    <row r="7" ht="20.1" customHeight="1" spans="2:223">
      <c r="B7" s="14">
        <v>1800102</v>
      </c>
      <c r="C7" s="14" t="s">
        <v>64</v>
      </c>
      <c r="D7" s="15">
        <v>1140001</v>
      </c>
      <c r="E7" s="15">
        <v>0</v>
      </c>
      <c r="F7" s="15">
        <v>1</v>
      </c>
      <c r="G7" s="15">
        <v>20</v>
      </c>
      <c r="H7" s="16">
        <v>0.2</v>
      </c>
      <c r="I7" s="26">
        <v>10</v>
      </c>
      <c r="J7" s="15">
        <v>0</v>
      </c>
      <c r="K7" s="15">
        <v>0</v>
      </c>
      <c r="L7" s="15">
        <v>50</v>
      </c>
      <c r="M7" s="15">
        <v>50</v>
      </c>
      <c r="N7" s="15">
        <v>0</v>
      </c>
      <c r="O7" s="15">
        <v>0</v>
      </c>
      <c r="P7" s="15">
        <v>0</v>
      </c>
      <c r="Q7" s="15">
        <v>0</v>
      </c>
      <c r="R7" s="15">
        <v>20</v>
      </c>
      <c r="S7" s="15">
        <v>20</v>
      </c>
      <c r="T7" s="16">
        <v>0</v>
      </c>
      <c r="U7" s="15">
        <v>0</v>
      </c>
      <c r="V7" s="15">
        <v>0</v>
      </c>
      <c r="W7" s="15">
        <v>0</v>
      </c>
      <c r="X7" s="16">
        <v>0</v>
      </c>
      <c r="Y7" s="16">
        <v>0</v>
      </c>
      <c r="Z7" s="16">
        <v>0</v>
      </c>
      <c r="AA7" s="16">
        <v>100202</v>
      </c>
      <c r="AB7" s="16">
        <v>300</v>
      </c>
      <c r="AC7" s="16">
        <v>1</v>
      </c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</row>
    <row r="8" ht="20.1" customHeight="1" spans="2:223">
      <c r="B8" s="14">
        <v>1800103</v>
      </c>
      <c r="C8" s="14" t="s">
        <v>65</v>
      </c>
      <c r="D8" s="15">
        <v>1140001</v>
      </c>
      <c r="E8" s="15">
        <v>0</v>
      </c>
      <c r="F8" s="15">
        <v>1</v>
      </c>
      <c r="G8" s="15">
        <v>20</v>
      </c>
      <c r="H8" s="16">
        <v>0.2</v>
      </c>
      <c r="I8" s="26">
        <v>10</v>
      </c>
      <c r="J8" s="15">
        <v>0</v>
      </c>
      <c r="K8" s="15">
        <v>0</v>
      </c>
      <c r="L8" s="15">
        <v>200</v>
      </c>
      <c r="M8" s="15">
        <v>200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6">
        <v>0</v>
      </c>
      <c r="U8" s="15">
        <v>0</v>
      </c>
      <c r="V8" s="15">
        <v>0</v>
      </c>
      <c r="W8" s="15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</row>
    <row r="9" ht="20.1" customHeight="1" spans="2:223">
      <c r="B9" s="14">
        <v>1800104</v>
      </c>
      <c r="C9" s="14" t="s">
        <v>66</v>
      </c>
      <c r="D9" s="15">
        <v>1140003</v>
      </c>
      <c r="E9" s="15">
        <v>0</v>
      </c>
      <c r="F9" s="15">
        <v>1</v>
      </c>
      <c r="G9" s="15">
        <v>20</v>
      </c>
      <c r="H9" s="16">
        <v>0.2</v>
      </c>
      <c r="I9" s="26">
        <v>10</v>
      </c>
      <c r="J9" s="15">
        <v>0</v>
      </c>
      <c r="K9" s="15">
        <v>600</v>
      </c>
      <c r="L9" s="15">
        <v>0</v>
      </c>
      <c r="M9" s="15">
        <v>0</v>
      </c>
      <c r="N9" s="15">
        <v>0</v>
      </c>
      <c r="O9" s="15">
        <v>0</v>
      </c>
      <c r="P9" s="15">
        <v>20</v>
      </c>
      <c r="Q9" s="15">
        <v>20</v>
      </c>
      <c r="R9" s="15">
        <v>0</v>
      </c>
      <c r="S9" s="15">
        <v>0</v>
      </c>
      <c r="T9" s="16">
        <v>0</v>
      </c>
      <c r="U9" s="15">
        <v>0</v>
      </c>
      <c r="V9" s="15">
        <v>0</v>
      </c>
      <c r="W9" s="15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</row>
    <row r="10" ht="20.1" customHeight="1" spans="2:223">
      <c r="B10" s="14">
        <v>1800201</v>
      </c>
      <c r="C10" s="14" t="s">
        <v>63</v>
      </c>
      <c r="D10" s="15">
        <v>1140002</v>
      </c>
      <c r="E10" s="15">
        <v>0</v>
      </c>
      <c r="F10" s="15">
        <v>1</v>
      </c>
      <c r="G10" s="15">
        <v>20</v>
      </c>
      <c r="H10" s="16">
        <v>0.2</v>
      </c>
      <c r="I10" s="26">
        <v>15</v>
      </c>
      <c r="J10" s="15">
        <v>0</v>
      </c>
      <c r="K10" s="15">
        <v>1500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6">
        <v>0</v>
      </c>
      <c r="U10" s="15">
        <v>0</v>
      </c>
      <c r="V10" s="15">
        <v>0</v>
      </c>
      <c r="W10" s="15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</row>
    <row r="11" ht="20.1" customHeight="1" spans="2:223">
      <c r="B11" s="14">
        <v>1800202</v>
      </c>
      <c r="C11" s="14" t="s">
        <v>64</v>
      </c>
      <c r="D11" s="15">
        <v>1140001</v>
      </c>
      <c r="E11" s="15">
        <v>0</v>
      </c>
      <c r="F11" s="15">
        <v>1</v>
      </c>
      <c r="G11" s="15">
        <v>20</v>
      </c>
      <c r="H11" s="16">
        <v>0.2</v>
      </c>
      <c r="I11" s="26">
        <v>15</v>
      </c>
      <c r="J11" s="15">
        <v>0</v>
      </c>
      <c r="K11" s="15">
        <v>0</v>
      </c>
      <c r="L11" s="15">
        <v>60</v>
      </c>
      <c r="M11" s="15">
        <v>60</v>
      </c>
      <c r="N11" s="15">
        <v>0</v>
      </c>
      <c r="O11" s="15">
        <v>0</v>
      </c>
      <c r="P11" s="15">
        <v>0</v>
      </c>
      <c r="Q11" s="15">
        <v>0</v>
      </c>
      <c r="R11" s="15">
        <v>30</v>
      </c>
      <c r="S11" s="15">
        <v>30</v>
      </c>
      <c r="T11" s="16">
        <v>0</v>
      </c>
      <c r="U11" s="15">
        <v>0</v>
      </c>
      <c r="V11" s="15">
        <v>0</v>
      </c>
      <c r="W11" s="15">
        <v>0</v>
      </c>
      <c r="X11" s="16">
        <v>0</v>
      </c>
      <c r="Y11" s="16">
        <v>0</v>
      </c>
      <c r="Z11" s="16">
        <v>0</v>
      </c>
      <c r="AA11" s="16">
        <v>100202</v>
      </c>
      <c r="AB11" s="16">
        <v>300</v>
      </c>
      <c r="AC11" s="16">
        <v>1</v>
      </c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</row>
    <row r="12" ht="20.1" customHeight="1" spans="2:223">
      <c r="B12" s="14">
        <v>1800203</v>
      </c>
      <c r="C12" s="14" t="s">
        <v>65</v>
      </c>
      <c r="D12" s="15">
        <v>1140001</v>
      </c>
      <c r="E12" s="15">
        <v>0</v>
      </c>
      <c r="F12" s="15">
        <v>1</v>
      </c>
      <c r="G12" s="15">
        <v>20</v>
      </c>
      <c r="H12" s="16">
        <v>0.2</v>
      </c>
      <c r="I12" s="26">
        <v>15</v>
      </c>
      <c r="J12" s="15">
        <v>0</v>
      </c>
      <c r="K12" s="15">
        <v>750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6">
        <v>0</v>
      </c>
      <c r="U12" s="15">
        <v>0</v>
      </c>
      <c r="V12" s="15">
        <v>0</v>
      </c>
      <c r="W12" s="15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</row>
    <row r="13" ht="20.1" customHeight="1" spans="2:223">
      <c r="B13" s="14">
        <v>1800204</v>
      </c>
      <c r="C13" s="14" t="s">
        <v>66</v>
      </c>
      <c r="D13" s="15">
        <v>1140003</v>
      </c>
      <c r="E13" s="15">
        <v>0</v>
      </c>
      <c r="F13" s="15">
        <v>1</v>
      </c>
      <c r="G13" s="15">
        <v>20</v>
      </c>
      <c r="H13" s="16">
        <v>0.2</v>
      </c>
      <c r="I13" s="26">
        <v>15</v>
      </c>
      <c r="J13" s="15">
        <v>0</v>
      </c>
      <c r="K13" s="15">
        <v>0</v>
      </c>
      <c r="L13" s="15">
        <v>240</v>
      </c>
      <c r="M13" s="15">
        <v>240</v>
      </c>
      <c r="N13" s="15">
        <v>0</v>
      </c>
      <c r="O13" s="15">
        <v>0</v>
      </c>
      <c r="P13" s="15">
        <v>30</v>
      </c>
      <c r="Q13" s="15">
        <v>30</v>
      </c>
      <c r="R13" s="15">
        <v>0</v>
      </c>
      <c r="S13" s="15">
        <v>0</v>
      </c>
      <c r="T13" s="16">
        <v>0</v>
      </c>
      <c r="U13" s="15">
        <v>0</v>
      </c>
      <c r="V13" s="15">
        <v>0</v>
      </c>
      <c r="W13" s="15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</row>
    <row r="14" ht="20.1" customHeight="1" spans="2:223">
      <c r="B14" s="14">
        <v>1800301</v>
      </c>
      <c r="C14" s="14" t="s">
        <v>63</v>
      </c>
      <c r="D14" s="15">
        <v>1140002</v>
      </c>
      <c r="E14" s="15">
        <v>0</v>
      </c>
      <c r="F14" s="15">
        <v>1</v>
      </c>
      <c r="G14" s="15">
        <v>20</v>
      </c>
      <c r="H14" s="16">
        <v>0.2</v>
      </c>
      <c r="I14" s="26">
        <v>20</v>
      </c>
      <c r="J14" s="15">
        <v>0</v>
      </c>
      <c r="K14" s="15">
        <v>1800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6">
        <v>0</v>
      </c>
      <c r="U14" s="15">
        <v>0</v>
      </c>
      <c r="V14" s="15">
        <v>0</v>
      </c>
      <c r="W14" s="15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</row>
    <row r="15" ht="20.1" customHeight="1" spans="2:223">
      <c r="B15" s="14">
        <v>1800302</v>
      </c>
      <c r="C15" s="14" t="s">
        <v>64</v>
      </c>
      <c r="D15" s="15">
        <v>1140001</v>
      </c>
      <c r="E15" s="15">
        <v>0</v>
      </c>
      <c r="F15" s="15">
        <v>1</v>
      </c>
      <c r="G15" s="15">
        <v>20</v>
      </c>
      <c r="H15" s="16">
        <v>0.2</v>
      </c>
      <c r="I15" s="26">
        <v>20</v>
      </c>
      <c r="J15" s="15">
        <v>0</v>
      </c>
      <c r="K15" s="15">
        <v>0</v>
      </c>
      <c r="L15" s="15">
        <v>75</v>
      </c>
      <c r="M15" s="15">
        <v>75</v>
      </c>
      <c r="N15" s="15">
        <v>0</v>
      </c>
      <c r="O15" s="15">
        <v>0</v>
      </c>
      <c r="P15" s="15">
        <v>0</v>
      </c>
      <c r="Q15" s="15">
        <v>0</v>
      </c>
      <c r="R15" s="15">
        <v>45</v>
      </c>
      <c r="S15" s="15">
        <v>45</v>
      </c>
      <c r="T15" s="16">
        <v>0</v>
      </c>
      <c r="U15" s="15">
        <v>0</v>
      </c>
      <c r="V15" s="15">
        <v>0</v>
      </c>
      <c r="W15" s="15">
        <v>0</v>
      </c>
      <c r="X15" s="16">
        <v>0</v>
      </c>
      <c r="Y15" s="16">
        <v>0</v>
      </c>
      <c r="Z15" s="16">
        <v>0</v>
      </c>
      <c r="AA15" s="16">
        <v>100202</v>
      </c>
      <c r="AB15" s="16">
        <v>300</v>
      </c>
      <c r="AC15" s="16">
        <v>1</v>
      </c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</row>
    <row r="16" ht="20.1" customHeight="1" spans="2:223">
      <c r="B16" s="14">
        <v>1800303</v>
      </c>
      <c r="C16" s="14" t="s">
        <v>65</v>
      </c>
      <c r="D16" s="15">
        <v>1140001</v>
      </c>
      <c r="E16" s="15">
        <v>0</v>
      </c>
      <c r="F16" s="15">
        <v>1</v>
      </c>
      <c r="G16" s="15">
        <v>20</v>
      </c>
      <c r="H16" s="16">
        <v>0.2</v>
      </c>
      <c r="I16" s="26">
        <v>20</v>
      </c>
      <c r="J16" s="15">
        <v>0</v>
      </c>
      <c r="K16" s="15">
        <v>0</v>
      </c>
      <c r="L16" s="15">
        <v>300</v>
      </c>
      <c r="M16" s="15">
        <v>300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6">
        <v>0</v>
      </c>
      <c r="U16" s="15">
        <v>0</v>
      </c>
      <c r="V16" s="15">
        <v>0</v>
      </c>
      <c r="W16" s="15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</row>
    <row r="17" ht="20.1" customHeight="1" spans="2:223">
      <c r="B17" s="14">
        <v>1800304</v>
      </c>
      <c r="C17" s="14" t="s">
        <v>66</v>
      </c>
      <c r="D17" s="15">
        <v>1140003</v>
      </c>
      <c r="E17" s="15">
        <v>0</v>
      </c>
      <c r="F17" s="15">
        <v>1</v>
      </c>
      <c r="G17" s="15">
        <v>20</v>
      </c>
      <c r="H17" s="16">
        <v>0.2</v>
      </c>
      <c r="I17" s="26">
        <v>20</v>
      </c>
      <c r="J17" s="15">
        <v>0</v>
      </c>
      <c r="K17" s="15">
        <v>900</v>
      </c>
      <c r="L17" s="15">
        <v>0</v>
      </c>
      <c r="M17" s="15">
        <v>0</v>
      </c>
      <c r="N17" s="15">
        <v>0</v>
      </c>
      <c r="O17" s="15">
        <v>0</v>
      </c>
      <c r="P17" s="15">
        <v>45</v>
      </c>
      <c r="Q17" s="15">
        <v>45</v>
      </c>
      <c r="R17" s="15">
        <v>0</v>
      </c>
      <c r="S17" s="15">
        <v>0</v>
      </c>
      <c r="T17" s="16">
        <v>0</v>
      </c>
      <c r="U17" s="15">
        <v>0</v>
      </c>
      <c r="V17" s="15">
        <v>0</v>
      </c>
      <c r="W17" s="15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</row>
    <row r="18" ht="20.1" customHeight="1" spans="2:223">
      <c r="B18" s="14">
        <v>1800401</v>
      </c>
      <c r="C18" s="14" t="s">
        <v>63</v>
      </c>
      <c r="D18" s="15">
        <v>1140002</v>
      </c>
      <c r="E18" s="15">
        <v>0</v>
      </c>
      <c r="F18" s="15">
        <v>1</v>
      </c>
      <c r="G18" s="15">
        <v>20</v>
      </c>
      <c r="H18" s="16">
        <v>0.2</v>
      </c>
      <c r="I18" s="26">
        <v>25</v>
      </c>
      <c r="J18" s="15">
        <v>0</v>
      </c>
      <c r="K18" s="15">
        <v>2100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6">
        <v>0</v>
      </c>
      <c r="U18" s="15">
        <v>0</v>
      </c>
      <c r="V18" s="15">
        <v>0</v>
      </c>
      <c r="W18" s="15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</row>
    <row r="19" ht="20.1" customHeight="1" spans="2:223">
      <c r="B19" s="14">
        <v>1800402</v>
      </c>
      <c r="C19" s="14" t="s">
        <v>64</v>
      </c>
      <c r="D19" s="15">
        <v>1140001</v>
      </c>
      <c r="E19" s="15">
        <v>0</v>
      </c>
      <c r="F19" s="15">
        <v>1</v>
      </c>
      <c r="G19" s="15">
        <v>20</v>
      </c>
      <c r="H19" s="16">
        <v>0.2</v>
      </c>
      <c r="I19" s="26">
        <v>25</v>
      </c>
      <c r="J19" s="15">
        <v>0</v>
      </c>
      <c r="K19" s="15">
        <v>0</v>
      </c>
      <c r="L19" s="15">
        <v>90</v>
      </c>
      <c r="M19" s="15">
        <v>90</v>
      </c>
      <c r="N19" s="15">
        <v>0</v>
      </c>
      <c r="O19" s="15">
        <v>0</v>
      </c>
      <c r="P19" s="15">
        <v>0</v>
      </c>
      <c r="Q19" s="15">
        <v>0</v>
      </c>
      <c r="R19" s="15">
        <v>60</v>
      </c>
      <c r="S19" s="15">
        <v>60</v>
      </c>
      <c r="T19" s="16">
        <v>0</v>
      </c>
      <c r="U19" s="15">
        <v>0</v>
      </c>
      <c r="V19" s="15">
        <v>0</v>
      </c>
      <c r="W19" s="15">
        <v>0</v>
      </c>
      <c r="X19" s="16">
        <v>0</v>
      </c>
      <c r="Y19" s="16">
        <v>0</v>
      </c>
      <c r="Z19" s="16">
        <v>0</v>
      </c>
      <c r="AA19" s="16">
        <v>100202</v>
      </c>
      <c r="AB19" s="16">
        <v>300</v>
      </c>
      <c r="AC19" s="16">
        <v>1</v>
      </c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</row>
    <row r="20" ht="20.1" customHeight="1" spans="2:223">
      <c r="B20" s="14">
        <v>1800403</v>
      </c>
      <c r="C20" s="14" t="s">
        <v>65</v>
      </c>
      <c r="D20" s="15">
        <v>1140001</v>
      </c>
      <c r="E20" s="15">
        <v>0</v>
      </c>
      <c r="F20" s="15">
        <v>1</v>
      </c>
      <c r="G20" s="15">
        <v>20</v>
      </c>
      <c r="H20" s="16">
        <v>0.2</v>
      </c>
      <c r="I20" s="26">
        <v>25</v>
      </c>
      <c r="J20" s="15">
        <v>0</v>
      </c>
      <c r="K20" s="15">
        <v>0</v>
      </c>
      <c r="L20" s="15">
        <v>360</v>
      </c>
      <c r="M20" s="15">
        <v>360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6">
        <v>0</v>
      </c>
      <c r="U20" s="15">
        <v>0</v>
      </c>
      <c r="V20" s="15">
        <v>0</v>
      </c>
      <c r="W20" s="15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</row>
    <row r="21" ht="20.1" customHeight="1" spans="2:223">
      <c r="B21" s="14">
        <v>1800404</v>
      </c>
      <c r="C21" s="14" t="s">
        <v>66</v>
      </c>
      <c r="D21" s="15">
        <v>1140003</v>
      </c>
      <c r="E21" s="15">
        <v>0</v>
      </c>
      <c r="F21" s="15">
        <v>1</v>
      </c>
      <c r="G21" s="15">
        <v>20</v>
      </c>
      <c r="H21" s="16">
        <v>0.2</v>
      </c>
      <c r="I21" s="26">
        <v>25</v>
      </c>
      <c r="J21" s="15">
        <v>0</v>
      </c>
      <c r="K21" s="15">
        <v>1050</v>
      </c>
      <c r="L21" s="15">
        <v>0</v>
      </c>
      <c r="M21" s="15">
        <v>0</v>
      </c>
      <c r="N21" s="15">
        <v>0</v>
      </c>
      <c r="O21" s="15">
        <v>0</v>
      </c>
      <c r="P21" s="15">
        <v>60</v>
      </c>
      <c r="Q21" s="15">
        <v>60</v>
      </c>
      <c r="R21" s="15">
        <v>0</v>
      </c>
      <c r="S21" s="15">
        <v>0</v>
      </c>
      <c r="T21" s="16">
        <v>0</v>
      </c>
      <c r="U21" s="15">
        <v>0</v>
      </c>
      <c r="V21" s="15">
        <v>0</v>
      </c>
      <c r="W21" s="15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</row>
    <row r="22" ht="20.1" customHeight="1" spans="2:223">
      <c r="B22" s="11">
        <v>10090101</v>
      </c>
      <c r="C22" s="11" t="s">
        <v>67</v>
      </c>
      <c r="D22" s="15">
        <v>1140003</v>
      </c>
      <c r="E22" s="15">
        <v>0</v>
      </c>
      <c r="F22" s="15">
        <v>1</v>
      </c>
      <c r="G22" s="15">
        <v>20</v>
      </c>
      <c r="H22" s="16">
        <v>0.2</v>
      </c>
      <c r="I22" s="26">
        <v>5</v>
      </c>
      <c r="J22" s="15">
        <v>0</v>
      </c>
      <c r="K22" s="15"/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6">
        <v>0</v>
      </c>
      <c r="U22" s="15">
        <v>0</v>
      </c>
      <c r="V22" s="15">
        <v>0</v>
      </c>
      <c r="W22" s="15">
        <v>0</v>
      </c>
      <c r="X22" s="16">
        <v>0</v>
      </c>
      <c r="Y22" s="16">
        <v>0</v>
      </c>
      <c r="Z22" s="16">
        <v>0</v>
      </c>
      <c r="AA22" s="55" t="s">
        <v>68</v>
      </c>
      <c r="AB22" s="16" t="s">
        <v>69</v>
      </c>
      <c r="AC22" s="16" t="s">
        <v>70</v>
      </c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</row>
    <row r="23" ht="20.1" customHeight="1" spans="2:223">
      <c r="B23" s="11">
        <v>10090102</v>
      </c>
      <c r="C23" s="11" t="s">
        <v>71</v>
      </c>
      <c r="D23" s="15">
        <v>1140003</v>
      </c>
      <c r="E23" s="15">
        <v>0</v>
      </c>
      <c r="F23" s="15">
        <v>1</v>
      </c>
      <c r="G23" s="15">
        <v>20</v>
      </c>
      <c r="H23" s="16">
        <v>0.2</v>
      </c>
      <c r="I23" s="26">
        <v>5</v>
      </c>
      <c r="J23" s="15">
        <v>0</v>
      </c>
      <c r="K23" s="15"/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6">
        <v>0</v>
      </c>
      <c r="U23" s="15">
        <v>0</v>
      </c>
      <c r="V23" s="15">
        <v>0</v>
      </c>
      <c r="W23" s="15">
        <v>0</v>
      </c>
      <c r="X23" s="16">
        <v>0</v>
      </c>
      <c r="Y23" s="16">
        <v>0</v>
      </c>
      <c r="Z23" s="16">
        <v>0</v>
      </c>
      <c r="AA23" s="55" t="s">
        <v>72</v>
      </c>
      <c r="AB23" s="16" t="s">
        <v>69</v>
      </c>
      <c r="AC23" s="16" t="s">
        <v>70</v>
      </c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</row>
    <row r="24" ht="20.1" customHeight="1" spans="2:223">
      <c r="B24" s="11">
        <v>10090201</v>
      </c>
      <c r="C24" s="11" t="s">
        <v>73</v>
      </c>
      <c r="D24" s="15">
        <v>1140003</v>
      </c>
      <c r="E24" s="15">
        <v>0</v>
      </c>
      <c r="F24" s="15">
        <v>1</v>
      </c>
      <c r="G24" s="15">
        <v>20</v>
      </c>
      <c r="H24" s="16">
        <v>0.2</v>
      </c>
      <c r="I24" s="26">
        <v>5</v>
      </c>
      <c r="J24" s="15">
        <v>0</v>
      </c>
      <c r="K24" s="15"/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6">
        <v>0</v>
      </c>
      <c r="U24" s="15">
        <v>0</v>
      </c>
      <c r="V24" s="15">
        <v>0</v>
      </c>
      <c r="W24" s="15">
        <v>0</v>
      </c>
      <c r="X24" s="16">
        <v>0</v>
      </c>
      <c r="Y24" s="16">
        <v>0</v>
      </c>
      <c r="Z24" s="16">
        <v>0</v>
      </c>
      <c r="AA24" s="55" t="s">
        <v>68</v>
      </c>
      <c r="AB24" s="16" t="s">
        <v>74</v>
      </c>
      <c r="AC24" s="16" t="s">
        <v>70</v>
      </c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</row>
    <row r="25" ht="20.1" customHeight="1" spans="2:223">
      <c r="B25" s="11">
        <v>10090202</v>
      </c>
      <c r="C25" s="11" t="s">
        <v>75</v>
      </c>
      <c r="D25" s="15">
        <v>1140003</v>
      </c>
      <c r="E25" s="15">
        <v>0</v>
      </c>
      <c r="F25" s="15">
        <v>1</v>
      </c>
      <c r="G25" s="15">
        <v>20</v>
      </c>
      <c r="H25" s="16">
        <v>0.2</v>
      </c>
      <c r="I25" s="26">
        <v>5</v>
      </c>
      <c r="J25" s="15">
        <v>0</v>
      </c>
      <c r="K25" s="15"/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6">
        <v>0</v>
      </c>
      <c r="U25" s="15">
        <v>0</v>
      </c>
      <c r="V25" s="15">
        <v>0</v>
      </c>
      <c r="W25" s="15">
        <v>0</v>
      </c>
      <c r="X25" s="16">
        <v>0</v>
      </c>
      <c r="Y25" s="16">
        <v>0</v>
      </c>
      <c r="Z25" s="16">
        <v>0</v>
      </c>
      <c r="AA25" s="55" t="s">
        <v>72</v>
      </c>
      <c r="AB25" s="16" t="s">
        <v>74</v>
      </c>
      <c r="AC25" s="16" t="s">
        <v>70</v>
      </c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</row>
    <row r="26" ht="20.1" customHeight="1" spans="2:223">
      <c r="B26" s="11">
        <v>10090301</v>
      </c>
      <c r="C26" s="11" t="s">
        <v>76</v>
      </c>
      <c r="D26" s="15">
        <v>1140003</v>
      </c>
      <c r="E26" s="15">
        <v>0</v>
      </c>
      <c r="F26" s="15">
        <v>1</v>
      </c>
      <c r="G26" s="15">
        <v>20</v>
      </c>
      <c r="H26" s="16">
        <v>0.2</v>
      </c>
      <c r="I26" s="26">
        <v>5</v>
      </c>
      <c r="J26" s="15">
        <v>0</v>
      </c>
      <c r="K26" s="15"/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6">
        <v>0</v>
      </c>
      <c r="U26" s="15">
        <v>0</v>
      </c>
      <c r="V26" s="15">
        <v>0</v>
      </c>
      <c r="W26" s="15">
        <v>0</v>
      </c>
      <c r="X26" s="16">
        <v>0</v>
      </c>
      <c r="Y26" s="16">
        <v>0</v>
      </c>
      <c r="Z26" s="16">
        <v>0</v>
      </c>
      <c r="AA26" s="55" t="s">
        <v>68</v>
      </c>
      <c r="AB26" s="16" t="s">
        <v>77</v>
      </c>
      <c r="AC26" s="16" t="s">
        <v>70</v>
      </c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</row>
    <row r="27" ht="20.1" customHeight="1" spans="2:223">
      <c r="B27" s="11">
        <v>10090302</v>
      </c>
      <c r="C27" s="11" t="s">
        <v>78</v>
      </c>
      <c r="D27" s="15">
        <v>1140003</v>
      </c>
      <c r="E27" s="15">
        <v>0</v>
      </c>
      <c r="F27" s="15">
        <v>1</v>
      </c>
      <c r="G27" s="15">
        <v>20</v>
      </c>
      <c r="H27" s="16">
        <v>0.2</v>
      </c>
      <c r="I27" s="26">
        <v>5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6">
        <v>0</v>
      </c>
      <c r="U27" s="15">
        <v>0</v>
      </c>
      <c r="V27" s="15">
        <v>0</v>
      </c>
      <c r="W27" s="15">
        <v>0</v>
      </c>
      <c r="X27" s="16">
        <v>0</v>
      </c>
      <c r="Y27" s="16">
        <v>0</v>
      </c>
      <c r="Z27" s="16">
        <v>0</v>
      </c>
      <c r="AA27" s="55" t="s">
        <v>72</v>
      </c>
      <c r="AB27" s="16" t="s">
        <v>77</v>
      </c>
      <c r="AC27" s="16" t="s">
        <v>70</v>
      </c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</row>
    <row r="28" s="2" customFormat="1" ht="20.1" customHeight="1" spans="2:223">
      <c r="B28" s="11">
        <v>14000001</v>
      </c>
      <c r="C28" s="17" t="s">
        <v>79</v>
      </c>
      <c r="D28" s="18">
        <v>1140001</v>
      </c>
      <c r="E28" s="18">
        <v>0</v>
      </c>
      <c r="F28" s="18">
        <v>1</v>
      </c>
      <c r="G28" s="18">
        <v>60</v>
      </c>
      <c r="H28" s="19">
        <v>0.2</v>
      </c>
      <c r="I28" s="27">
        <v>25</v>
      </c>
      <c r="J28" s="18">
        <v>0</v>
      </c>
      <c r="K28" s="18">
        <v>0</v>
      </c>
      <c r="L28" s="18">
        <v>520</v>
      </c>
      <c r="M28" s="18">
        <v>1050</v>
      </c>
      <c r="N28" s="18">
        <v>0</v>
      </c>
      <c r="O28" s="18">
        <v>0</v>
      </c>
      <c r="P28" s="18">
        <f t="shared" ref="P28:P33" si="0">ROUND(Q28/2,0)</f>
        <v>0</v>
      </c>
      <c r="Q28" s="18">
        <v>0</v>
      </c>
      <c r="R28" s="18">
        <f t="shared" ref="R28:R33" si="1">ROUND(S28/2,0)</f>
        <v>0</v>
      </c>
      <c r="S28" s="18">
        <v>0</v>
      </c>
      <c r="T28" s="19">
        <v>0</v>
      </c>
      <c r="U28" s="18">
        <v>0</v>
      </c>
      <c r="V28" s="18">
        <v>0</v>
      </c>
      <c r="W28" s="18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32">
        <v>100009</v>
      </c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</row>
    <row r="29" s="2" customFormat="1" ht="20.1" customHeight="1" spans="2:223">
      <c r="B29" s="11">
        <v>14000002</v>
      </c>
      <c r="C29" s="17" t="s">
        <v>80</v>
      </c>
      <c r="D29" s="18">
        <v>1140001</v>
      </c>
      <c r="E29" s="18">
        <v>0</v>
      </c>
      <c r="F29" s="18">
        <v>1</v>
      </c>
      <c r="G29" s="18">
        <v>60</v>
      </c>
      <c r="H29" s="19">
        <v>0.2</v>
      </c>
      <c r="I29" s="27">
        <v>25</v>
      </c>
      <c r="J29" s="18">
        <v>0</v>
      </c>
      <c r="K29" s="18">
        <v>0</v>
      </c>
      <c r="L29" s="18">
        <v>520</v>
      </c>
      <c r="M29" s="18">
        <v>1050</v>
      </c>
      <c r="N29" s="18">
        <v>0</v>
      </c>
      <c r="O29" s="18">
        <v>0</v>
      </c>
      <c r="P29" s="18">
        <f t="shared" si="0"/>
        <v>0</v>
      </c>
      <c r="Q29" s="18">
        <v>0</v>
      </c>
      <c r="R29" s="18">
        <f t="shared" si="1"/>
        <v>0</v>
      </c>
      <c r="S29" s="18">
        <v>0</v>
      </c>
      <c r="T29" s="19">
        <v>0</v>
      </c>
      <c r="U29" s="18">
        <v>0</v>
      </c>
      <c r="V29" s="18">
        <v>0</v>
      </c>
      <c r="W29" s="18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34">
        <v>100008</v>
      </c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</row>
    <row r="30" s="2" customFormat="1" ht="20.1" customHeight="1" spans="2:223">
      <c r="B30" s="11">
        <v>14000003</v>
      </c>
      <c r="C30" s="17" t="s">
        <v>81</v>
      </c>
      <c r="D30" s="18">
        <v>1140001</v>
      </c>
      <c r="E30" s="18">
        <v>0</v>
      </c>
      <c r="F30" s="18">
        <v>1</v>
      </c>
      <c r="G30" s="18">
        <v>60</v>
      </c>
      <c r="H30" s="19">
        <v>0.2</v>
      </c>
      <c r="I30" s="27">
        <v>25</v>
      </c>
      <c r="J30" s="18">
        <v>0</v>
      </c>
      <c r="K30" s="18">
        <v>0</v>
      </c>
      <c r="L30" s="18">
        <v>520</v>
      </c>
      <c r="M30" s="18">
        <v>1050</v>
      </c>
      <c r="N30" s="18">
        <v>0</v>
      </c>
      <c r="O30" s="18">
        <v>0</v>
      </c>
      <c r="P30" s="18">
        <f t="shared" si="0"/>
        <v>0</v>
      </c>
      <c r="Q30" s="18">
        <v>0</v>
      </c>
      <c r="R30" s="18">
        <f t="shared" si="1"/>
        <v>0</v>
      </c>
      <c r="S30" s="18">
        <v>0</v>
      </c>
      <c r="T30" s="19">
        <v>0</v>
      </c>
      <c r="U30" s="18">
        <v>0</v>
      </c>
      <c r="V30" s="18">
        <v>0</v>
      </c>
      <c r="W30" s="18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34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</row>
    <row r="31" s="2" customFormat="1" ht="20.1" customHeight="1" spans="2:223">
      <c r="B31" s="11">
        <v>14000004</v>
      </c>
      <c r="C31" s="17" t="s">
        <v>82</v>
      </c>
      <c r="D31" s="18">
        <v>1140001</v>
      </c>
      <c r="E31" s="18">
        <v>0</v>
      </c>
      <c r="F31" s="18">
        <v>1</v>
      </c>
      <c r="G31" s="18">
        <v>60</v>
      </c>
      <c r="H31" s="19">
        <v>0.2</v>
      </c>
      <c r="I31" s="27">
        <v>25</v>
      </c>
      <c r="J31" s="18">
        <v>0</v>
      </c>
      <c r="K31" s="18">
        <v>0</v>
      </c>
      <c r="L31" s="18">
        <v>520</v>
      </c>
      <c r="M31" s="18">
        <v>1050</v>
      </c>
      <c r="N31" s="18">
        <v>0</v>
      </c>
      <c r="O31" s="18">
        <v>0</v>
      </c>
      <c r="P31" s="18">
        <f t="shared" si="0"/>
        <v>0</v>
      </c>
      <c r="Q31" s="18">
        <v>0</v>
      </c>
      <c r="R31" s="18">
        <f t="shared" si="1"/>
        <v>0</v>
      </c>
      <c r="S31" s="18">
        <v>0</v>
      </c>
      <c r="T31" s="19">
        <v>0</v>
      </c>
      <c r="U31" s="18">
        <v>0</v>
      </c>
      <c r="V31" s="18">
        <v>0</v>
      </c>
      <c r="W31" s="18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34">
        <v>100010</v>
      </c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</row>
    <row r="32" s="2" customFormat="1" ht="20.1" customHeight="1" spans="2:223">
      <c r="B32" s="11">
        <v>14000005</v>
      </c>
      <c r="C32" s="17" t="s">
        <v>83</v>
      </c>
      <c r="D32" s="18">
        <v>1140001</v>
      </c>
      <c r="E32" s="18">
        <v>0</v>
      </c>
      <c r="F32" s="18">
        <v>1</v>
      </c>
      <c r="G32" s="18">
        <v>60</v>
      </c>
      <c r="H32" s="19">
        <v>0.2</v>
      </c>
      <c r="I32" s="27">
        <v>25</v>
      </c>
      <c r="J32" s="18">
        <v>0</v>
      </c>
      <c r="K32" s="18">
        <v>0</v>
      </c>
      <c r="L32" s="18">
        <v>520</v>
      </c>
      <c r="M32" s="18">
        <v>1050</v>
      </c>
      <c r="N32" s="18">
        <v>0</v>
      </c>
      <c r="O32" s="18">
        <v>0</v>
      </c>
      <c r="P32" s="18">
        <f t="shared" si="0"/>
        <v>0</v>
      </c>
      <c r="Q32" s="18">
        <v>0</v>
      </c>
      <c r="R32" s="18">
        <f t="shared" si="1"/>
        <v>0</v>
      </c>
      <c r="S32" s="18">
        <v>0</v>
      </c>
      <c r="T32" s="19">
        <v>0</v>
      </c>
      <c r="U32" s="18">
        <v>0</v>
      </c>
      <c r="V32" s="18">
        <v>0</v>
      </c>
      <c r="W32" s="18">
        <v>0</v>
      </c>
      <c r="X32" s="19">
        <v>0</v>
      </c>
      <c r="Y32" s="19">
        <v>0</v>
      </c>
      <c r="Z32" s="19">
        <v>0</v>
      </c>
      <c r="AA32" s="19">
        <v>200103</v>
      </c>
      <c r="AB32" s="19">
        <v>500</v>
      </c>
      <c r="AC32" s="19">
        <v>1</v>
      </c>
      <c r="AD32" s="32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</row>
    <row r="33" ht="20.1" customHeight="1" spans="2:223">
      <c r="B33" s="11">
        <v>14010001</v>
      </c>
      <c r="C33" s="11" t="s">
        <v>84</v>
      </c>
      <c r="D33" s="15">
        <v>1140003</v>
      </c>
      <c r="E33" s="15">
        <v>0</v>
      </c>
      <c r="F33" s="15">
        <v>1</v>
      </c>
      <c r="G33" s="15">
        <v>20</v>
      </c>
      <c r="H33" s="16">
        <v>0.2</v>
      </c>
      <c r="I33" s="26">
        <v>5</v>
      </c>
      <c r="J33" s="15">
        <v>0</v>
      </c>
      <c r="K33" s="15">
        <v>0</v>
      </c>
      <c r="L33" s="15">
        <f>ROUND(M33/2,0)</f>
        <v>5</v>
      </c>
      <c r="M33" s="15">
        <v>10</v>
      </c>
      <c r="N33" s="15">
        <v>0</v>
      </c>
      <c r="O33" s="15">
        <v>0</v>
      </c>
      <c r="P33" s="15">
        <f t="shared" si="0"/>
        <v>3</v>
      </c>
      <c r="Q33" s="15">
        <v>6</v>
      </c>
      <c r="R33" s="15">
        <f t="shared" si="1"/>
        <v>3</v>
      </c>
      <c r="S33" s="15">
        <v>6</v>
      </c>
      <c r="T33" s="16">
        <v>0</v>
      </c>
      <c r="U33" s="15">
        <v>0</v>
      </c>
      <c r="V33" s="15">
        <v>0</v>
      </c>
      <c r="W33" s="15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</row>
    <row r="34" ht="20.1" customHeight="1" spans="2:223">
      <c r="B34" s="11">
        <v>14010002</v>
      </c>
      <c r="C34" s="11" t="s">
        <v>85</v>
      </c>
      <c r="D34" s="15">
        <v>1140003</v>
      </c>
      <c r="E34" s="15">
        <v>0</v>
      </c>
      <c r="F34" s="15">
        <v>1</v>
      </c>
      <c r="G34" s="15">
        <v>20</v>
      </c>
      <c r="H34" s="16">
        <v>0.2</v>
      </c>
      <c r="I34" s="26">
        <v>5</v>
      </c>
      <c r="J34" s="15">
        <v>0</v>
      </c>
      <c r="K34" s="15">
        <v>0</v>
      </c>
      <c r="L34" s="15">
        <f t="shared" ref="L34:L101" si="2">ROUND(M34/2,0)</f>
        <v>9</v>
      </c>
      <c r="M34" s="15">
        <v>18</v>
      </c>
      <c r="N34" s="15">
        <v>0</v>
      </c>
      <c r="O34" s="15">
        <v>0</v>
      </c>
      <c r="P34" s="15">
        <f t="shared" ref="P34:P101" si="3">ROUND(Q34/2,0)</f>
        <v>5</v>
      </c>
      <c r="Q34" s="15">
        <v>10</v>
      </c>
      <c r="R34" s="15">
        <f t="shared" ref="R34:R101" si="4">ROUND(S34/2,0)</f>
        <v>5</v>
      </c>
      <c r="S34" s="15">
        <v>10</v>
      </c>
      <c r="T34" s="16">
        <v>0</v>
      </c>
      <c r="U34" s="15">
        <v>0</v>
      </c>
      <c r="V34" s="15">
        <v>0</v>
      </c>
      <c r="W34" s="15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</row>
    <row r="35" ht="20.1" customHeight="1" spans="2:223">
      <c r="B35" s="11">
        <v>14010003</v>
      </c>
      <c r="C35" s="11" t="s">
        <v>86</v>
      </c>
      <c r="D35" s="15">
        <v>1140003</v>
      </c>
      <c r="E35" s="15">
        <v>11011</v>
      </c>
      <c r="F35" s="15">
        <v>1</v>
      </c>
      <c r="G35" s="15">
        <v>20</v>
      </c>
      <c r="H35" s="16">
        <v>0.2</v>
      </c>
      <c r="I35" s="26">
        <v>5</v>
      </c>
      <c r="J35" s="15">
        <v>0</v>
      </c>
      <c r="K35" s="15">
        <v>0</v>
      </c>
      <c r="L35" s="15">
        <f t="shared" si="2"/>
        <v>10</v>
      </c>
      <c r="M35" s="15">
        <v>20</v>
      </c>
      <c r="N35" s="15">
        <v>0</v>
      </c>
      <c r="O35" s="15">
        <v>0</v>
      </c>
      <c r="P35" s="15">
        <f t="shared" si="3"/>
        <v>6</v>
      </c>
      <c r="Q35" s="15">
        <v>12</v>
      </c>
      <c r="R35" s="15">
        <f t="shared" si="4"/>
        <v>6</v>
      </c>
      <c r="S35" s="15">
        <v>12</v>
      </c>
      <c r="T35" s="16">
        <v>0</v>
      </c>
      <c r="U35" s="15">
        <v>0</v>
      </c>
      <c r="V35" s="15">
        <v>0</v>
      </c>
      <c r="W35" s="15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</row>
    <row r="36" ht="20.1" customHeight="1" spans="2:223">
      <c r="B36" s="11">
        <v>14010004</v>
      </c>
      <c r="C36" s="11" t="s">
        <v>87</v>
      </c>
      <c r="D36" s="15">
        <v>1140003</v>
      </c>
      <c r="E36" s="15">
        <v>11041</v>
      </c>
      <c r="F36" s="15">
        <v>1</v>
      </c>
      <c r="G36" s="15">
        <v>20</v>
      </c>
      <c r="H36" s="16">
        <v>0.2</v>
      </c>
      <c r="I36" s="26">
        <v>10</v>
      </c>
      <c r="J36" s="15">
        <v>0</v>
      </c>
      <c r="K36" s="15">
        <v>0</v>
      </c>
      <c r="L36" s="15">
        <f t="shared" si="2"/>
        <v>13</v>
      </c>
      <c r="M36" s="15">
        <v>25</v>
      </c>
      <c r="N36" s="15">
        <v>0</v>
      </c>
      <c r="O36" s="15">
        <v>0</v>
      </c>
      <c r="P36" s="15">
        <f t="shared" si="3"/>
        <v>8</v>
      </c>
      <c r="Q36" s="15">
        <v>15</v>
      </c>
      <c r="R36" s="15">
        <f t="shared" si="4"/>
        <v>8</v>
      </c>
      <c r="S36" s="15">
        <v>15</v>
      </c>
      <c r="T36" s="16">
        <v>0</v>
      </c>
      <c r="U36" s="15">
        <v>0</v>
      </c>
      <c r="V36" s="15">
        <v>0</v>
      </c>
      <c r="W36" s="15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</row>
    <row r="37" ht="20.1" customHeight="1" spans="2:223">
      <c r="B37" s="11">
        <v>14010005</v>
      </c>
      <c r="C37" s="11" t="s">
        <v>88</v>
      </c>
      <c r="D37" s="15">
        <v>1140003</v>
      </c>
      <c r="E37" s="15">
        <v>0</v>
      </c>
      <c r="F37" s="15">
        <v>1</v>
      </c>
      <c r="G37" s="15">
        <v>20</v>
      </c>
      <c r="H37" s="16">
        <v>0.2</v>
      </c>
      <c r="I37" s="26">
        <v>5</v>
      </c>
      <c r="J37" s="15">
        <v>0</v>
      </c>
      <c r="K37" s="15">
        <v>0</v>
      </c>
      <c r="L37" s="15">
        <f t="shared" si="2"/>
        <v>7</v>
      </c>
      <c r="M37" s="15">
        <v>14</v>
      </c>
      <c r="N37" s="15">
        <v>0</v>
      </c>
      <c r="O37" s="15">
        <v>0</v>
      </c>
      <c r="P37" s="15">
        <f t="shared" si="3"/>
        <v>3</v>
      </c>
      <c r="Q37" s="15">
        <v>5</v>
      </c>
      <c r="R37" s="15">
        <f t="shared" si="4"/>
        <v>3</v>
      </c>
      <c r="S37" s="15">
        <v>5</v>
      </c>
      <c r="T37" s="16">
        <v>0</v>
      </c>
      <c r="U37" s="15">
        <v>0</v>
      </c>
      <c r="V37" s="15">
        <v>0</v>
      </c>
      <c r="W37" s="15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</row>
    <row r="38" ht="20.1" customHeight="1" spans="2:223">
      <c r="B38" s="11">
        <v>14010006</v>
      </c>
      <c r="C38" s="11" t="s">
        <v>89</v>
      </c>
      <c r="D38" s="15">
        <v>1140003</v>
      </c>
      <c r="E38" s="15">
        <v>0</v>
      </c>
      <c r="F38" s="15">
        <v>1</v>
      </c>
      <c r="G38" s="15">
        <v>20</v>
      </c>
      <c r="H38" s="16">
        <v>0.2</v>
      </c>
      <c r="I38" s="26">
        <v>5</v>
      </c>
      <c r="J38" s="15">
        <v>0</v>
      </c>
      <c r="K38" s="15">
        <v>0</v>
      </c>
      <c r="L38" s="15">
        <f t="shared" si="2"/>
        <v>12</v>
      </c>
      <c r="M38" s="15">
        <v>24</v>
      </c>
      <c r="N38" s="15">
        <v>0</v>
      </c>
      <c r="O38" s="15">
        <v>0</v>
      </c>
      <c r="P38" s="15">
        <f t="shared" si="3"/>
        <v>4</v>
      </c>
      <c r="Q38" s="15">
        <v>8</v>
      </c>
      <c r="R38" s="15">
        <f t="shared" si="4"/>
        <v>4</v>
      </c>
      <c r="S38" s="15">
        <v>8</v>
      </c>
      <c r="T38" s="16">
        <v>0</v>
      </c>
      <c r="U38" s="15">
        <v>0</v>
      </c>
      <c r="V38" s="15">
        <v>0</v>
      </c>
      <c r="W38" s="15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</row>
    <row r="39" ht="20.1" customHeight="1" spans="2:223">
      <c r="B39" s="11">
        <v>14010007</v>
      </c>
      <c r="C39" s="11" t="s">
        <v>90</v>
      </c>
      <c r="D39" s="15">
        <v>1140003</v>
      </c>
      <c r="E39" s="15">
        <v>11021</v>
      </c>
      <c r="F39" s="15">
        <v>1</v>
      </c>
      <c r="G39" s="15">
        <v>20</v>
      </c>
      <c r="H39" s="16">
        <v>0.2</v>
      </c>
      <c r="I39" s="26">
        <v>5</v>
      </c>
      <c r="J39" s="15">
        <v>0</v>
      </c>
      <c r="K39" s="15">
        <v>0</v>
      </c>
      <c r="L39" s="15">
        <f t="shared" si="2"/>
        <v>14</v>
      </c>
      <c r="M39" s="15">
        <v>27</v>
      </c>
      <c r="N39" s="15">
        <v>0</v>
      </c>
      <c r="O39" s="15">
        <v>0</v>
      </c>
      <c r="P39" s="15">
        <f t="shared" si="3"/>
        <v>5</v>
      </c>
      <c r="Q39" s="15">
        <v>9</v>
      </c>
      <c r="R39" s="15">
        <f t="shared" si="4"/>
        <v>5</v>
      </c>
      <c r="S39" s="15">
        <v>9</v>
      </c>
      <c r="T39" s="16">
        <v>0</v>
      </c>
      <c r="U39" s="15">
        <v>0</v>
      </c>
      <c r="V39" s="15">
        <v>0</v>
      </c>
      <c r="W39" s="15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</row>
    <row r="40" ht="20.1" customHeight="1" spans="2:223">
      <c r="B40" s="11">
        <v>14010008</v>
      </c>
      <c r="C40" s="11" t="s">
        <v>91</v>
      </c>
      <c r="D40" s="15">
        <v>1140003</v>
      </c>
      <c r="E40" s="15">
        <v>11042</v>
      </c>
      <c r="F40" s="15">
        <v>1</v>
      </c>
      <c r="G40" s="15">
        <v>20</v>
      </c>
      <c r="H40" s="16">
        <v>0.2</v>
      </c>
      <c r="I40" s="26">
        <v>10</v>
      </c>
      <c r="J40" s="15">
        <v>0</v>
      </c>
      <c r="K40" s="15">
        <v>0</v>
      </c>
      <c r="L40" s="15">
        <f t="shared" si="2"/>
        <v>17</v>
      </c>
      <c r="M40" s="15">
        <v>34</v>
      </c>
      <c r="N40" s="15">
        <v>0</v>
      </c>
      <c r="O40" s="15">
        <v>0</v>
      </c>
      <c r="P40" s="15">
        <f t="shared" si="3"/>
        <v>6</v>
      </c>
      <c r="Q40" s="15">
        <v>11</v>
      </c>
      <c r="R40" s="15">
        <f t="shared" si="4"/>
        <v>6</v>
      </c>
      <c r="S40" s="15">
        <v>11</v>
      </c>
      <c r="T40" s="16">
        <v>0</v>
      </c>
      <c r="U40" s="15">
        <v>0</v>
      </c>
      <c r="V40" s="15">
        <v>0</v>
      </c>
      <c r="W40" s="15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</row>
    <row r="41" ht="20.1" customHeight="1" spans="2:223">
      <c r="B41" s="11">
        <v>14010009</v>
      </c>
      <c r="C41" s="11" t="s">
        <v>92</v>
      </c>
      <c r="D41" s="15">
        <v>1140003</v>
      </c>
      <c r="E41" s="15">
        <v>0</v>
      </c>
      <c r="F41" s="15">
        <v>1</v>
      </c>
      <c r="G41" s="15">
        <v>20</v>
      </c>
      <c r="H41" s="16">
        <v>0.2</v>
      </c>
      <c r="I41" s="26">
        <v>5</v>
      </c>
      <c r="J41" s="15">
        <v>0</v>
      </c>
      <c r="K41" s="15">
        <v>0</v>
      </c>
      <c r="L41" s="15">
        <f t="shared" si="2"/>
        <v>4</v>
      </c>
      <c r="M41" s="15">
        <v>8</v>
      </c>
      <c r="N41" s="15">
        <v>0</v>
      </c>
      <c r="O41" s="15">
        <v>0</v>
      </c>
      <c r="P41" s="15">
        <f t="shared" si="3"/>
        <v>4</v>
      </c>
      <c r="Q41" s="15">
        <v>8</v>
      </c>
      <c r="R41" s="15">
        <f t="shared" si="4"/>
        <v>4</v>
      </c>
      <c r="S41" s="15">
        <v>8</v>
      </c>
      <c r="T41" s="16">
        <v>0</v>
      </c>
      <c r="U41" s="15">
        <v>0</v>
      </c>
      <c r="V41" s="15">
        <v>0</v>
      </c>
      <c r="W41" s="15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</row>
    <row r="42" ht="20.1" customHeight="1" spans="2:223">
      <c r="B42" s="11">
        <v>14010010</v>
      </c>
      <c r="C42" s="11" t="s">
        <v>93</v>
      </c>
      <c r="D42" s="15">
        <v>1140003</v>
      </c>
      <c r="E42" s="15">
        <v>0</v>
      </c>
      <c r="F42" s="15">
        <v>1</v>
      </c>
      <c r="G42" s="15">
        <v>20</v>
      </c>
      <c r="H42" s="16">
        <v>0.2</v>
      </c>
      <c r="I42" s="26">
        <v>5</v>
      </c>
      <c r="J42" s="15">
        <v>0</v>
      </c>
      <c r="K42" s="15">
        <v>0</v>
      </c>
      <c r="L42" s="15">
        <f t="shared" si="2"/>
        <v>7</v>
      </c>
      <c r="M42" s="15">
        <v>14</v>
      </c>
      <c r="N42" s="15">
        <v>0</v>
      </c>
      <c r="O42" s="15">
        <v>0</v>
      </c>
      <c r="P42" s="15">
        <f t="shared" si="3"/>
        <v>7</v>
      </c>
      <c r="Q42" s="15">
        <v>13</v>
      </c>
      <c r="R42" s="15">
        <f t="shared" si="4"/>
        <v>7</v>
      </c>
      <c r="S42" s="15">
        <v>13</v>
      </c>
      <c r="T42" s="16">
        <v>0</v>
      </c>
      <c r="U42" s="15">
        <v>0</v>
      </c>
      <c r="V42" s="15">
        <v>0</v>
      </c>
      <c r="W42" s="15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</row>
    <row r="43" ht="20.1" customHeight="1" spans="2:223">
      <c r="B43" s="11">
        <v>14010011</v>
      </c>
      <c r="C43" s="11" t="s">
        <v>94</v>
      </c>
      <c r="D43" s="15">
        <v>1140003</v>
      </c>
      <c r="E43" s="15">
        <v>11031</v>
      </c>
      <c r="F43" s="15">
        <v>1</v>
      </c>
      <c r="G43" s="15">
        <v>20</v>
      </c>
      <c r="H43" s="16">
        <v>0.2</v>
      </c>
      <c r="I43" s="26">
        <v>5</v>
      </c>
      <c r="J43" s="15">
        <v>0</v>
      </c>
      <c r="K43" s="15">
        <v>0</v>
      </c>
      <c r="L43" s="15">
        <f t="shared" si="2"/>
        <v>8</v>
      </c>
      <c r="M43" s="15">
        <v>15</v>
      </c>
      <c r="N43" s="15">
        <v>0</v>
      </c>
      <c r="O43" s="15">
        <v>0</v>
      </c>
      <c r="P43" s="15">
        <f t="shared" si="3"/>
        <v>8</v>
      </c>
      <c r="Q43" s="15">
        <v>15</v>
      </c>
      <c r="R43" s="15">
        <f t="shared" si="4"/>
        <v>8</v>
      </c>
      <c r="S43" s="15">
        <v>15</v>
      </c>
      <c r="T43" s="16">
        <v>0</v>
      </c>
      <c r="U43" s="15">
        <v>0</v>
      </c>
      <c r="V43" s="15">
        <v>0</v>
      </c>
      <c r="W43" s="15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</row>
    <row r="44" ht="20.1" customHeight="1" spans="2:223">
      <c r="B44" s="11">
        <v>14010012</v>
      </c>
      <c r="C44" s="11" t="s">
        <v>95</v>
      </c>
      <c r="D44" s="15">
        <v>1140003</v>
      </c>
      <c r="E44" s="15">
        <v>11043</v>
      </c>
      <c r="F44" s="15">
        <v>1</v>
      </c>
      <c r="G44" s="15">
        <v>20</v>
      </c>
      <c r="H44" s="16">
        <v>0.2</v>
      </c>
      <c r="I44" s="26">
        <v>10</v>
      </c>
      <c r="J44" s="15">
        <v>0</v>
      </c>
      <c r="K44" s="15">
        <v>0</v>
      </c>
      <c r="L44" s="15">
        <f t="shared" si="2"/>
        <v>10</v>
      </c>
      <c r="M44" s="15">
        <v>19</v>
      </c>
      <c r="N44" s="15">
        <v>0</v>
      </c>
      <c r="O44" s="15">
        <v>0</v>
      </c>
      <c r="P44" s="15">
        <f t="shared" si="3"/>
        <v>10</v>
      </c>
      <c r="Q44" s="15">
        <v>19</v>
      </c>
      <c r="R44" s="15">
        <f t="shared" si="4"/>
        <v>10</v>
      </c>
      <c r="S44" s="15">
        <v>19</v>
      </c>
      <c r="T44" s="16">
        <v>0</v>
      </c>
      <c r="U44" s="15">
        <v>0</v>
      </c>
      <c r="V44" s="15">
        <v>0</v>
      </c>
      <c r="W44" s="15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</row>
    <row r="45" ht="20.1" customHeight="1" spans="2:223">
      <c r="B45" s="11">
        <v>14020001</v>
      </c>
      <c r="C45" s="11" t="s">
        <v>96</v>
      </c>
      <c r="D45" s="15">
        <v>1140003</v>
      </c>
      <c r="E45" s="15">
        <v>0</v>
      </c>
      <c r="F45" s="15">
        <v>1</v>
      </c>
      <c r="G45" s="15">
        <v>20</v>
      </c>
      <c r="H45" s="16">
        <v>0.2</v>
      </c>
      <c r="I45" s="26">
        <v>5</v>
      </c>
      <c r="J45" s="15">
        <v>0</v>
      </c>
      <c r="K45" s="15">
        <v>0</v>
      </c>
      <c r="L45" s="15">
        <f t="shared" si="2"/>
        <v>6</v>
      </c>
      <c r="M45" s="15">
        <v>12</v>
      </c>
      <c r="N45" s="15">
        <v>0</v>
      </c>
      <c r="O45" s="15">
        <v>0</v>
      </c>
      <c r="P45" s="15">
        <f t="shared" si="3"/>
        <v>0</v>
      </c>
      <c r="Q45" s="15">
        <v>0</v>
      </c>
      <c r="R45" s="15">
        <f t="shared" si="4"/>
        <v>10</v>
      </c>
      <c r="S45" s="15">
        <v>20</v>
      </c>
      <c r="T45" s="16">
        <v>0</v>
      </c>
      <c r="U45" s="15">
        <v>0</v>
      </c>
      <c r="V45" s="15">
        <v>0</v>
      </c>
      <c r="W45" s="15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</row>
    <row r="46" ht="20.1" customHeight="1" spans="2:223">
      <c r="B46" s="11">
        <v>14020002</v>
      </c>
      <c r="C46" s="11" t="s">
        <v>97</v>
      </c>
      <c r="D46" s="15">
        <v>1140003</v>
      </c>
      <c r="E46" s="15">
        <v>0</v>
      </c>
      <c r="F46" s="15">
        <v>1</v>
      </c>
      <c r="G46" s="15">
        <v>20</v>
      </c>
      <c r="H46" s="16">
        <v>0.2</v>
      </c>
      <c r="I46" s="26">
        <v>5</v>
      </c>
      <c r="J46" s="15">
        <v>0</v>
      </c>
      <c r="K46" s="15">
        <v>0</v>
      </c>
      <c r="L46" s="15">
        <f t="shared" si="2"/>
        <v>12</v>
      </c>
      <c r="M46" s="15">
        <v>24</v>
      </c>
      <c r="N46" s="15">
        <v>0</v>
      </c>
      <c r="O46" s="15">
        <v>0</v>
      </c>
      <c r="P46" s="15">
        <f t="shared" si="3"/>
        <v>0</v>
      </c>
      <c r="Q46" s="15">
        <v>0</v>
      </c>
      <c r="R46" s="15">
        <f t="shared" si="4"/>
        <v>15</v>
      </c>
      <c r="S46" s="15">
        <v>30</v>
      </c>
      <c r="T46" s="16">
        <v>0</v>
      </c>
      <c r="U46" s="15">
        <v>0</v>
      </c>
      <c r="V46" s="15">
        <v>0</v>
      </c>
      <c r="W46" s="15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</row>
    <row r="47" ht="20.1" customHeight="1" spans="2:223">
      <c r="B47" s="11">
        <v>14020003</v>
      </c>
      <c r="C47" s="11" t="s">
        <v>98</v>
      </c>
      <c r="D47" s="15">
        <v>1140003</v>
      </c>
      <c r="E47" s="15">
        <v>11011</v>
      </c>
      <c r="F47" s="15">
        <v>1</v>
      </c>
      <c r="G47" s="15">
        <v>20</v>
      </c>
      <c r="H47" s="16">
        <v>0.2</v>
      </c>
      <c r="I47" s="26">
        <v>5</v>
      </c>
      <c r="J47" s="15">
        <v>0</v>
      </c>
      <c r="K47" s="15">
        <v>0</v>
      </c>
      <c r="L47" s="15">
        <f t="shared" si="2"/>
        <v>14</v>
      </c>
      <c r="M47" s="15">
        <v>27</v>
      </c>
      <c r="N47" s="15">
        <v>0</v>
      </c>
      <c r="O47" s="15">
        <v>0</v>
      </c>
      <c r="P47" s="15">
        <f t="shared" si="3"/>
        <v>0</v>
      </c>
      <c r="Q47" s="15">
        <v>0</v>
      </c>
      <c r="R47" s="15">
        <f t="shared" si="4"/>
        <v>18</v>
      </c>
      <c r="S47" s="15">
        <v>35</v>
      </c>
      <c r="T47" s="16">
        <v>0</v>
      </c>
      <c r="U47" s="15">
        <v>0</v>
      </c>
      <c r="V47" s="15">
        <v>0</v>
      </c>
      <c r="W47" s="15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</row>
    <row r="48" ht="20.1" customHeight="1" spans="2:223">
      <c r="B48" s="11">
        <v>14020004</v>
      </c>
      <c r="C48" s="11" t="s">
        <v>99</v>
      </c>
      <c r="D48" s="15">
        <v>1140003</v>
      </c>
      <c r="E48" s="15">
        <v>11041</v>
      </c>
      <c r="F48" s="15">
        <v>1</v>
      </c>
      <c r="G48" s="15">
        <v>20</v>
      </c>
      <c r="H48" s="16">
        <v>0.2</v>
      </c>
      <c r="I48" s="26">
        <v>10</v>
      </c>
      <c r="J48" s="15">
        <v>0</v>
      </c>
      <c r="K48" s="15">
        <v>0</v>
      </c>
      <c r="L48" s="15">
        <f t="shared" si="2"/>
        <v>17</v>
      </c>
      <c r="M48" s="15">
        <v>33</v>
      </c>
      <c r="N48" s="15">
        <v>0</v>
      </c>
      <c r="O48" s="15">
        <v>0</v>
      </c>
      <c r="P48" s="15">
        <f t="shared" si="3"/>
        <v>0</v>
      </c>
      <c r="Q48" s="15">
        <v>0</v>
      </c>
      <c r="R48" s="15">
        <f t="shared" si="4"/>
        <v>23</v>
      </c>
      <c r="S48" s="15">
        <v>45</v>
      </c>
      <c r="T48" s="16">
        <v>0</v>
      </c>
      <c r="U48" s="15">
        <v>0</v>
      </c>
      <c r="V48" s="15">
        <v>0</v>
      </c>
      <c r="W48" s="15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</row>
    <row r="49" ht="20.1" customHeight="1" spans="2:223">
      <c r="B49" s="11">
        <v>14020005</v>
      </c>
      <c r="C49" s="11" t="s">
        <v>100</v>
      </c>
      <c r="D49" s="15">
        <v>1140003</v>
      </c>
      <c r="E49" s="15">
        <v>0</v>
      </c>
      <c r="F49" s="15">
        <v>1</v>
      </c>
      <c r="G49" s="15">
        <v>20</v>
      </c>
      <c r="H49" s="16">
        <v>0.2</v>
      </c>
      <c r="I49" s="26">
        <v>5</v>
      </c>
      <c r="J49" s="15">
        <v>0</v>
      </c>
      <c r="K49" s="15">
        <v>0</v>
      </c>
      <c r="L49" s="15">
        <f t="shared" si="2"/>
        <v>8</v>
      </c>
      <c r="M49" s="15">
        <v>16</v>
      </c>
      <c r="N49" s="15">
        <v>0</v>
      </c>
      <c r="O49" s="15">
        <v>0</v>
      </c>
      <c r="P49" s="15">
        <f t="shared" si="3"/>
        <v>0</v>
      </c>
      <c r="Q49" s="15">
        <v>0</v>
      </c>
      <c r="R49" s="15">
        <f t="shared" si="4"/>
        <v>8</v>
      </c>
      <c r="S49" s="15">
        <v>15</v>
      </c>
      <c r="T49" s="16">
        <v>0</v>
      </c>
      <c r="U49" s="15">
        <v>0</v>
      </c>
      <c r="V49" s="15">
        <v>0</v>
      </c>
      <c r="W49" s="15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</row>
    <row r="50" ht="20.1" customHeight="1" spans="2:223">
      <c r="B50" s="11">
        <v>14020006</v>
      </c>
      <c r="C50" s="11" t="s">
        <v>101</v>
      </c>
      <c r="D50" s="15">
        <v>1140003</v>
      </c>
      <c r="E50" s="15">
        <v>0</v>
      </c>
      <c r="F50" s="15">
        <v>1</v>
      </c>
      <c r="G50" s="15">
        <v>20</v>
      </c>
      <c r="H50" s="16">
        <v>0.2</v>
      </c>
      <c r="I50" s="26">
        <v>5</v>
      </c>
      <c r="J50" s="15">
        <v>0</v>
      </c>
      <c r="K50" s="15">
        <v>0</v>
      </c>
      <c r="L50" s="15">
        <f t="shared" si="2"/>
        <v>16</v>
      </c>
      <c r="M50" s="15">
        <v>32</v>
      </c>
      <c r="N50" s="15">
        <v>0</v>
      </c>
      <c r="O50" s="15">
        <v>0</v>
      </c>
      <c r="P50" s="15">
        <f t="shared" si="3"/>
        <v>0</v>
      </c>
      <c r="Q50" s="15">
        <v>0</v>
      </c>
      <c r="R50" s="15">
        <f t="shared" si="4"/>
        <v>12</v>
      </c>
      <c r="S50" s="15">
        <v>23</v>
      </c>
      <c r="T50" s="16">
        <v>0</v>
      </c>
      <c r="U50" s="15">
        <v>0</v>
      </c>
      <c r="V50" s="15">
        <v>0</v>
      </c>
      <c r="W50" s="15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</row>
    <row r="51" ht="20.1" customHeight="1" spans="2:223">
      <c r="B51" s="11">
        <v>14020007</v>
      </c>
      <c r="C51" s="11" t="s">
        <v>102</v>
      </c>
      <c r="D51" s="15">
        <v>1140003</v>
      </c>
      <c r="E51" s="15">
        <v>11021</v>
      </c>
      <c r="F51" s="15">
        <v>1</v>
      </c>
      <c r="G51" s="15">
        <v>20</v>
      </c>
      <c r="H51" s="16">
        <v>0.2</v>
      </c>
      <c r="I51" s="26">
        <v>5</v>
      </c>
      <c r="J51" s="15">
        <v>0</v>
      </c>
      <c r="K51" s="15">
        <v>0</v>
      </c>
      <c r="L51" s="15">
        <f t="shared" si="2"/>
        <v>18</v>
      </c>
      <c r="M51" s="15">
        <v>36</v>
      </c>
      <c r="N51" s="15">
        <v>0</v>
      </c>
      <c r="O51" s="15">
        <v>0</v>
      </c>
      <c r="P51" s="15">
        <f t="shared" si="3"/>
        <v>0</v>
      </c>
      <c r="Q51" s="15">
        <v>0</v>
      </c>
      <c r="R51" s="15">
        <f t="shared" si="4"/>
        <v>13</v>
      </c>
      <c r="S51" s="15">
        <v>26</v>
      </c>
      <c r="T51" s="16">
        <v>0</v>
      </c>
      <c r="U51" s="15">
        <v>0</v>
      </c>
      <c r="V51" s="15">
        <v>0</v>
      </c>
      <c r="W51" s="15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</row>
    <row r="52" ht="20.1" customHeight="1" spans="2:223">
      <c r="B52" s="11">
        <v>14020008</v>
      </c>
      <c r="C52" s="11" t="s">
        <v>103</v>
      </c>
      <c r="D52" s="15">
        <v>1140003</v>
      </c>
      <c r="E52" s="15">
        <v>11042</v>
      </c>
      <c r="F52" s="15">
        <v>1</v>
      </c>
      <c r="G52" s="15">
        <v>20</v>
      </c>
      <c r="H52" s="16">
        <v>0.2</v>
      </c>
      <c r="I52" s="26">
        <v>10</v>
      </c>
      <c r="J52" s="15">
        <v>0</v>
      </c>
      <c r="K52" s="15">
        <v>0</v>
      </c>
      <c r="L52" s="15">
        <f t="shared" si="2"/>
        <v>23</v>
      </c>
      <c r="M52" s="15">
        <v>45</v>
      </c>
      <c r="N52" s="15">
        <v>0</v>
      </c>
      <c r="O52" s="15">
        <v>0</v>
      </c>
      <c r="P52" s="15">
        <f t="shared" si="3"/>
        <v>0</v>
      </c>
      <c r="Q52" s="15">
        <v>0</v>
      </c>
      <c r="R52" s="15">
        <f t="shared" si="4"/>
        <v>17</v>
      </c>
      <c r="S52" s="15">
        <v>34</v>
      </c>
      <c r="T52" s="16">
        <v>0</v>
      </c>
      <c r="U52" s="15">
        <v>0</v>
      </c>
      <c r="V52" s="15">
        <v>0</v>
      </c>
      <c r="W52" s="15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</row>
    <row r="53" ht="20.1" customHeight="1" spans="2:223">
      <c r="B53" s="11">
        <v>14020009</v>
      </c>
      <c r="C53" s="11" t="s">
        <v>104</v>
      </c>
      <c r="D53" s="15">
        <v>1140003</v>
      </c>
      <c r="E53" s="15">
        <v>0</v>
      </c>
      <c r="F53" s="15">
        <v>1</v>
      </c>
      <c r="G53" s="15">
        <v>20</v>
      </c>
      <c r="H53" s="16">
        <v>0.2</v>
      </c>
      <c r="I53" s="26">
        <v>5</v>
      </c>
      <c r="J53" s="15">
        <v>0</v>
      </c>
      <c r="K53" s="15">
        <v>0</v>
      </c>
      <c r="L53" s="15">
        <f t="shared" si="2"/>
        <v>5</v>
      </c>
      <c r="M53" s="15">
        <v>9</v>
      </c>
      <c r="N53" s="15">
        <v>0</v>
      </c>
      <c r="O53" s="15">
        <v>0</v>
      </c>
      <c r="P53" s="15">
        <f t="shared" si="3"/>
        <v>0</v>
      </c>
      <c r="Q53" s="15">
        <v>0</v>
      </c>
      <c r="R53" s="15">
        <f t="shared" si="4"/>
        <v>13</v>
      </c>
      <c r="S53" s="15">
        <v>25</v>
      </c>
      <c r="T53" s="16">
        <v>0</v>
      </c>
      <c r="U53" s="15">
        <v>0</v>
      </c>
      <c r="V53" s="15">
        <v>0</v>
      </c>
      <c r="W53" s="15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</row>
    <row r="54" ht="20.1" customHeight="1" spans="2:223">
      <c r="B54" s="11">
        <v>14020010</v>
      </c>
      <c r="C54" s="11" t="s">
        <v>105</v>
      </c>
      <c r="D54" s="15">
        <v>1140003</v>
      </c>
      <c r="E54" s="15">
        <v>0</v>
      </c>
      <c r="F54" s="15">
        <v>1</v>
      </c>
      <c r="G54" s="15">
        <v>20</v>
      </c>
      <c r="H54" s="16">
        <v>0.2</v>
      </c>
      <c r="I54" s="26">
        <v>5</v>
      </c>
      <c r="J54" s="15">
        <v>0</v>
      </c>
      <c r="K54" s="15">
        <v>0</v>
      </c>
      <c r="L54" s="15">
        <f t="shared" si="2"/>
        <v>9</v>
      </c>
      <c r="M54" s="15">
        <v>18</v>
      </c>
      <c r="N54" s="15">
        <v>0</v>
      </c>
      <c r="O54" s="15">
        <v>0</v>
      </c>
      <c r="P54" s="15">
        <f t="shared" si="3"/>
        <v>0</v>
      </c>
      <c r="Q54" s="15">
        <v>0</v>
      </c>
      <c r="R54" s="15">
        <f t="shared" si="4"/>
        <v>19</v>
      </c>
      <c r="S54" s="15">
        <v>38</v>
      </c>
      <c r="T54" s="16">
        <v>0</v>
      </c>
      <c r="U54" s="15">
        <v>0</v>
      </c>
      <c r="V54" s="15">
        <v>0</v>
      </c>
      <c r="W54" s="15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</row>
    <row r="55" ht="20.1" customHeight="1" spans="2:223">
      <c r="B55" s="11">
        <v>14020011</v>
      </c>
      <c r="C55" s="11" t="s">
        <v>106</v>
      </c>
      <c r="D55" s="15">
        <v>1140003</v>
      </c>
      <c r="E55" s="15">
        <v>11031</v>
      </c>
      <c r="F55" s="15">
        <v>1</v>
      </c>
      <c r="G55" s="15">
        <v>20</v>
      </c>
      <c r="H55" s="16">
        <v>0.2</v>
      </c>
      <c r="I55" s="26">
        <v>5</v>
      </c>
      <c r="J55" s="15">
        <v>0</v>
      </c>
      <c r="K55" s="15">
        <v>0</v>
      </c>
      <c r="L55" s="15">
        <f t="shared" si="2"/>
        <v>10</v>
      </c>
      <c r="M55" s="15">
        <v>20</v>
      </c>
      <c r="N55" s="15">
        <v>0</v>
      </c>
      <c r="O55" s="15">
        <v>0</v>
      </c>
      <c r="P55" s="15">
        <f t="shared" si="3"/>
        <v>0</v>
      </c>
      <c r="Q55" s="15">
        <v>0</v>
      </c>
      <c r="R55" s="15">
        <f t="shared" si="4"/>
        <v>22</v>
      </c>
      <c r="S55" s="15">
        <v>44</v>
      </c>
      <c r="T55" s="16">
        <v>0</v>
      </c>
      <c r="U55" s="15">
        <v>0</v>
      </c>
      <c r="V55" s="15">
        <v>0</v>
      </c>
      <c r="W55" s="15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</row>
    <row r="56" ht="20.1" customHeight="1" spans="2:223">
      <c r="B56" s="11">
        <v>14020012</v>
      </c>
      <c r="C56" s="11" t="s">
        <v>107</v>
      </c>
      <c r="D56" s="15">
        <v>1140003</v>
      </c>
      <c r="E56" s="15">
        <v>11043</v>
      </c>
      <c r="F56" s="15">
        <v>1</v>
      </c>
      <c r="G56" s="15">
        <v>20</v>
      </c>
      <c r="H56" s="16">
        <v>0.2</v>
      </c>
      <c r="I56" s="26">
        <v>10</v>
      </c>
      <c r="J56" s="15">
        <v>0</v>
      </c>
      <c r="K56" s="15">
        <v>0</v>
      </c>
      <c r="L56" s="15">
        <f t="shared" si="2"/>
        <v>13</v>
      </c>
      <c r="M56" s="15">
        <v>25</v>
      </c>
      <c r="N56" s="15">
        <v>0</v>
      </c>
      <c r="O56" s="15">
        <v>0</v>
      </c>
      <c r="P56" s="15">
        <f t="shared" si="3"/>
        <v>0</v>
      </c>
      <c r="Q56" s="15">
        <v>0</v>
      </c>
      <c r="R56" s="15">
        <f t="shared" si="4"/>
        <v>28</v>
      </c>
      <c r="S56" s="15">
        <v>56</v>
      </c>
      <c r="T56" s="16">
        <v>0</v>
      </c>
      <c r="U56" s="15">
        <v>0</v>
      </c>
      <c r="V56" s="15">
        <v>0</v>
      </c>
      <c r="W56" s="15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</row>
    <row r="57" s="3" customFormat="1" ht="20.1" customHeight="1" spans="2:223">
      <c r="B57" s="20">
        <v>14020013</v>
      </c>
      <c r="C57" s="21" t="s">
        <v>108</v>
      </c>
      <c r="D57" s="22">
        <v>1140003</v>
      </c>
      <c r="E57" s="22">
        <v>0</v>
      </c>
      <c r="F57" s="22">
        <v>1</v>
      </c>
      <c r="G57" s="22">
        <v>20</v>
      </c>
      <c r="H57" s="23">
        <v>0.2</v>
      </c>
      <c r="I57" s="28">
        <v>10</v>
      </c>
      <c r="J57" s="22">
        <v>0</v>
      </c>
      <c r="K57" s="22">
        <v>0</v>
      </c>
      <c r="L57" s="22">
        <f t="shared" ref="L57" si="5">ROUND(M57/2,0)</f>
        <v>15</v>
      </c>
      <c r="M57" s="22">
        <v>30</v>
      </c>
      <c r="N57" s="22">
        <v>0</v>
      </c>
      <c r="O57" s="22">
        <v>0</v>
      </c>
      <c r="P57" s="22">
        <f t="shared" ref="P57" si="6">ROUND(Q57/2,0)</f>
        <v>0</v>
      </c>
      <c r="Q57" s="22">
        <v>0</v>
      </c>
      <c r="R57" s="22">
        <f t="shared" ref="R57" si="7">ROUND(S57/2,0)</f>
        <v>33</v>
      </c>
      <c r="S57" s="22">
        <v>65</v>
      </c>
      <c r="T57" s="23">
        <v>0</v>
      </c>
      <c r="U57" s="22">
        <v>0</v>
      </c>
      <c r="V57" s="22">
        <v>0</v>
      </c>
      <c r="W57" s="22">
        <v>0</v>
      </c>
      <c r="X57" s="23">
        <v>0</v>
      </c>
      <c r="Y57" s="23">
        <v>0</v>
      </c>
      <c r="Z57" s="23">
        <v>0</v>
      </c>
      <c r="AA57" s="23">
        <v>120101</v>
      </c>
      <c r="AB57" s="23">
        <v>1</v>
      </c>
      <c r="AC57" s="23">
        <v>1</v>
      </c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</row>
    <row r="58" ht="20.1" customHeight="1" spans="2:223">
      <c r="B58" s="11">
        <v>14030001</v>
      </c>
      <c r="C58" s="11" t="s">
        <v>109</v>
      </c>
      <c r="D58" s="15">
        <v>1140003</v>
      </c>
      <c r="E58" s="15">
        <v>0</v>
      </c>
      <c r="F58" s="15">
        <v>1</v>
      </c>
      <c r="G58" s="15">
        <v>20</v>
      </c>
      <c r="H58" s="16">
        <v>0.2</v>
      </c>
      <c r="I58" s="26">
        <v>5</v>
      </c>
      <c r="J58" s="15">
        <v>0</v>
      </c>
      <c r="K58" s="15">
        <v>150</v>
      </c>
      <c r="L58" s="15">
        <f t="shared" si="2"/>
        <v>3</v>
      </c>
      <c r="M58" s="15">
        <v>6</v>
      </c>
      <c r="N58" s="15">
        <v>0</v>
      </c>
      <c r="O58" s="15">
        <v>0</v>
      </c>
      <c r="P58" s="15">
        <f t="shared" si="3"/>
        <v>5</v>
      </c>
      <c r="Q58" s="15">
        <v>10</v>
      </c>
      <c r="R58" s="15">
        <f t="shared" si="4"/>
        <v>0</v>
      </c>
      <c r="S58" s="15">
        <v>0</v>
      </c>
      <c r="T58" s="16">
        <v>0</v>
      </c>
      <c r="U58" s="15">
        <v>0</v>
      </c>
      <c r="V58" s="15">
        <v>0</v>
      </c>
      <c r="W58" s="15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</row>
    <row r="59" ht="20.1" customHeight="1" spans="2:223">
      <c r="B59" s="11">
        <v>14030002</v>
      </c>
      <c r="C59" s="11" t="s">
        <v>110</v>
      </c>
      <c r="D59" s="15">
        <v>1140003</v>
      </c>
      <c r="E59" s="15">
        <v>0</v>
      </c>
      <c r="F59" s="15">
        <v>1</v>
      </c>
      <c r="G59" s="15">
        <v>20</v>
      </c>
      <c r="H59" s="16">
        <v>0.2</v>
      </c>
      <c r="I59" s="26">
        <v>5</v>
      </c>
      <c r="J59" s="15">
        <v>0</v>
      </c>
      <c r="K59" s="15">
        <v>375</v>
      </c>
      <c r="L59" s="15">
        <f t="shared" si="2"/>
        <v>5</v>
      </c>
      <c r="M59" s="15">
        <v>10</v>
      </c>
      <c r="N59" s="15">
        <v>0</v>
      </c>
      <c r="O59" s="15">
        <v>0</v>
      </c>
      <c r="P59" s="15">
        <f t="shared" si="3"/>
        <v>8</v>
      </c>
      <c r="Q59" s="15">
        <v>15</v>
      </c>
      <c r="R59" s="15">
        <f t="shared" si="4"/>
        <v>0</v>
      </c>
      <c r="S59" s="15">
        <v>0</v>
      </c>
      <c r="T59" s="16">
        <v>0</v>
      </c>
      <c r="U59" s="15">
        <v>0</v>
      </c>
      <c r="V59" s="15">
        <v>0</v>
      </c>
      <c r="W59" s="15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</row>
    <row r="60" ht="20.1" customHeight="1" spans="2:223">
      <c r="B60" s="11">
        <v>14030003</v>
      </c>
      <c r="C60" s="11" t="s">
        <v>111</v>
      </c>
      <c r="D60" s="15">
        <v>1140003</v>
      </c>
      <c r="E60" s="15">
        <v>11011</v>
      </c>
      <c r="F60" s="15">
        <v>1</v>
      </c>
      <c r="G60" s="15">
        <v>20</v>
      </c>
      <c r="H60" s="16">
        <v>0.2</v>
      </c>
      <c r="I60" s="26">
        <v>5</v>
      </c>
      <c r="J60" s="15">
        <v>0</v>
      </c>
      <c r="K60" s="15">
        <v>425</v>
      </c>
      <c r="L60" s="15">
        <f t="shared" si="2"/>
        <v>6</v>
      </c>
      <c r="M60" s="15">
        <v>12</v>
      </c>
      <c r="N60" s="15">
        <v>0</v>
      </c>
      <c r="O60" s="15">
        <v>0</v>
      </c>
      <c r="P60" s="15">
        <f t="shared" si="3"/>
        <v>8</v>
      </c>
      <c r="Q60" s="15">
        <v>15</v>
      </c>
      <c r="R60" s="15">
        <f t="shared" si="4"/>
        <v>0</v>
      </c>
      <c r="S60" s="15">
        <v>0</v>
      </c>
      <c r="T60" s="16">
        <v>0</v>
      </c>
      <c r="U60" s="15">
        <v>0</v>
      </c>
      <c r="V60" s="15">
        <v>0</v>
      </c>
      <c r="W60" s="15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</row>
    <row r="61" ht="20.1" customHeight="1" spans="2:223">
      <c r="B61" s="11">
        <v>14030004</v>
      </c>
      <c r="C61" s="11" t="s">
        <v>112</v>
      </c>
      <c r="D61" s="15">
        <v>1140003</v>
      </c>
      <c r="E61" s="15">
        <v>11041</v>
      </c>
      <c r="F61" s="15">
        <v>1</v>
      </c>
      <c r="G61" s="15">
        <v>20</v>
      </c>
      <c r="H61" s="16">
        <v>0.2</v>
      </c>
      <c r="I61" s="26">
        <v>10</v>
      </c>
      <c r="J61" s="15">
        <v>0</v>
      </c>
      <c r="K61" s="15">
        <v>525</v>
      </c>
      <c r="L61" s="15">
        <f t="shared" si="2"/>
        <v>9</v>
      </c>
      <c r="M61" s="15">
        <v>18</v>
      </c>
      <c r="N61" s="15">
        <v>0</v>
      </c>
      <c r="O61" s="15">
        <v>0</v>
      </c>
      <c r="P61" s="15">
        <f t="shared" si="3"/>
        <v>15</v>
      </c>
      <c r="Q61" s="15">
        <v>30</v>
      </c>
      <c r="R61" s="15">
        <f t="shared" si="4"/>
        <v>0</v>
      </c>
      <c r="S61" s="15">
        <v>0</v>
      </c>
      <c r="T61" s="16">
        <v>0</v>
      </c>
      <c r="U61" s="15">
        <v>0</v>
      </c>
      <c r="V61" s="15">
        <v>0</v>
      </c>
      <c r="W61" s="15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</row>
    <row r="62" ht="20.1" customHeight="1" spans="2:223">
      <c r="B62" s="11">
        <v>14030005</v>
      </c>
      <c r="C62" s="11" t="s">
        <v>113</v>
      </c>
      <c r="D62" s="15">
        <v>1140003</v>
      </c>
      <c r="E62" s="15">
        <v>0</v>
      </c>
      <c r="F62" s="15">
        <v>1</v>
      </c>
      <c r="G62" s="15">
        <v>20</v>
      </c>
      <c r="H62" s="16">
        <v>0.2</v>
      </c>
      <c r="I62" s="26">
        <v>5</v>
      </c>
      <c r="J62" s="15">
        <v>0</v>
      </c>
      <c r="K62" s="15">
        <v>80</v>
      </c>
      <c r="L62" s="15">
        <f t="shared" si="2"/>
        <v>4</v>
      </c>
      <c r="M62" s="15">
        <v>8</v>
      </c>
      <c r="N62" s="15">
        <v>0</v>
      </c>
      <c r="O62" s="15">
        <v>0</v>
      </c>
      <c r="P62" s="15">
        <f t="shared" si="3"/>
        <v>4</v>
      </c>
      <c r="Q62" s="15">
        <v>8</v>
      </c>
      <c r="R62" s="15">
        <f t="shared" si="4"/>
        <v>0</v>
      </c>
      <c r="S62" s="15">
        <v>0</v>
      </c>
      <c r="T62" s="16">
        <v>0</v>
      </c>
      <c r="U62" s="15">
        <v>0</v>
      </c>
      <c r="V62" s="15">
        <v>0</v>
      </c>
      <c r="W62" s="15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</row>
    <row r="63" ht="20.1" customHeight="1" spans="2:223">
      <c r="B63" s="11">
        <v>14030006</v>
      </c>
      <c r="C63" s="11" t="s">
        <v>114</v>
      </c>
      <c r="D63" s="15">
        <v>1140003</v>
      </c>
      <c r="E63" s="15">
        <v>0</v>
      </c>
      <c r="F63" s="15">
        <v>1</v>
      </c>
      <c r="G63" s="15">
        <v>20</v>
      </c>
      <c r="H63" s="16">
        <v>0.2</v>
      </c>
      <c r="I63" s="26">
        <v>5</v>
      </c>
      <c r="J63" s="15">
        <v>0</v>
      </c>
      <c r="K63" s="15">
        <v>190</v>
      </c>
      <c r="L63" s="15">
        <f t="shared" si="2"/>
        <v>7</v>
      </c>
      <c r="M63" s="15">
        <v>14</v>
      </c>
      <c r="N63" s="15">
        <v>0</v>
      </c>
      <c r="O63" s="15">
        <v>0</v>
      </c>
      <c r="P63" s="15">
        <f t="shared" si="3"/>
        <v>6</v>
      </c>
      <c r="Q63" s="15">
        <v>11</v>
      </c>
      <c r="R63" s="15">
        <f t="shared" si="4"/>
        <v>0</v>
      </c>
      <c r="S63" s="15">
        <v>0</v>
      </c>
      <c r="T63" s="16">
        <v>0</v>
      </c>
      <c r="U63" s="15">
        <v>0</v>
      </c>
      <c r="V63" s="15">
        <v>0</v>
      </c>
      <c r="W63" s="15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</row>
    <row r="64" ht="20.1" customHeight="1" spans="2:223">
      <c r="B64" s="11">
        <v>14030007</v>
      </c>
      <c r="C64" s="11" t="s">
        <v>115</v>
      </c>
      <c r="D64" s="15">
        <v>1140003</v>
      </c>
      <c r="E64" s="15">
        <v>11021</v>
      </c>
      <c r="F64" s="15">
        <v>1</v>
      </c>
      <c r="G64" s="15">
        <v>20</v>
      </c>
      <c r="H64" s="16">
        <v>0.2</v>
      </c>
      <c r="I64" s="26">
        <v>5</v>
      </c>
      <c r="J64" s="15">
        <v>0</v>
      </c>
      <c r="K64" s="15">
        <v>210</v>
      </c>
      <c r="L64" s="15">
        <f t="shared" si="2"/>
        <v>8</v>
      </c>
      <c r="M64" s="15">
        <v>16</v>
      </c>
      <c r="N64" s="15">
        <v>0</v>
      </c>
      <c r="O64" s="15">
        <v>0</v>
      </c>
      <c r="P64" s="15">
        <f t="shared" si="3"/>
        <v>6</v>
      </c>
      <c r="Q64" s="15">
        <v>11</v>
      </c>
      <c r="R64" s="15">
        <f t="shared" si="4"/>
        <v>0</v>
      </c>
      <c r="S64" s="15">
        <v>0</v>
      </c>
      <c r="T64" s="16">
        <v>0</v>
      </c>
      <c r="U64" s="15">
        <v>0</v>
      </c>
      <c r="V64" s="15">
        <v>0</v>
      </c>
      <c r="W64" s="15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</row>
    <row r="65" ht="20.1" customHeight="1" spans="2:223">
      <c r="B65" s="11">
        <v>14030008</v>
      </c>
      <c r="C65" s="11" t="s">
        <v>116</v>
      </c>
      <c r="D65" s="15">
        <v>1140003</v>
      </c>
      <c r="E65" s="15">
        <v>11042</v>
      </c>
      <c r="F65" s="15">
        <v>1</v>
      </c>
      <c r="G65" s="15">
        <v>20</v>
      </c>
      <c r="H65" s="16">
        <v>0.2</v>
      </c>
      <c r="I65" s="26">
        <v>10</v>
      </c>
      <c r="J65" s="15">
        <v>0</v>
      </c>
      <c r="K65" s="15">
        <v>260</v>
      </c>
      <c r="L65" s="15">
        <f t="shared" si="2"/>
        <v>12</v>
      </c>
      <c r="M65" s="15">
        <v>24</v>
      </c>
      <c r="N65" s="15">
        <v>0</v>
      </c>
      <c r="O65" s="15">
        <v>0</v>
      </c>
      <c r="P65" s="15">
        <f t="shared" si="3"/>
        <v>12</v>
      </c>
      <c r="Q65" s="15">
        <v>23</v>
      </c>
      <c r="R65" s="15">
        <f t="shared" si="4"/>
        <v>0</v>
      </c>
      <c r="S65" s="15">
        <v>0</v>
      </c>
      <c r="T65" s="16">
        <v>0</v>
      </c>
      <c r="U65" s="15">
        <v>0</v>
      </c>
      <c r="V65" s="15">
        <v>0</v>
      </c>
      <c r="W65" s="15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</row>
    <row r="66" ht="20.1" customHeight="1" spans="2:223">
      <c r="B66" s="11">
        <v>14030009</v>
      </c>
      <c r="C66" s="11" t="s">
        <v>117</v>
      </c>
      <c r="D66" s="15">
        <v>1140003</v>
      </c>
      <c r="E66" s="15">
        <v>0</v>
      </c>
      <c r="F66" s="15">
        <v>1</v>
      </c>
      <c r="G66" s="15">
        <v>20</v>
      </c>
      <c r="H66" s="16">
        <v>0.2</v>
      </c>
      <c r="I66" s="26">
        <v>5</v>
      </c>
      <c r="J66" s="15">
        <v>0</v>
      </c>
      <c r="K66" s="15">
        <v>230</v>
      </c>
      <c r="L66" s="15">
        <f t="shared" si="2"/>
        <v>3</v>
      </c>
      <c r="M66" s="15">
        <v>5</v>
      </c>
      <c r="N66" s="15">
        <v>0</v>
      </c>
      <c r="O66" s="15">
        <v>0</v>
      </c>
      <c r="P66" s="15">
        <f t="shared" si="3"/>
        <v>7</v>
      </c>
      <c r="Q66" s="15">
        <v>13</v>
      </c>
      <c r="R66" s="15">
        <f t="shared" si="4"/>
        <v>0</v>
      </c>
      <c r="S66" s="15">
        <v>0</v>
      </c>
      <c r="T66" s="16">
        <v>0</v>
      </c>
      <c r="U66" s="15">
        <v>0</v>
      </c>
      <c r="V66" s="15">
        <v>0</v>
      </c>
      <c r="W66" s="15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</row>
    <row r="67" ht="20.1" customHeight="1" spans="2:223">
      <c r="B67" s="11">
        <v>14030010</v>
      </c>
      <c r="C67" s="11" t="s">
        <v>118</v>
      </c>
      <c r="D67" s="15">
        <v>1140003</v>
      </c>
      <c r="E67" s="15">
        <v>0</v>
      </c>
      <c r="F67" s="15">
        <v>1</v>
      </c>
      <c r="G67" s="15">
        <v>20</v>
      </c>
      <c r="H67" s="16">
        <v>0.2</v>
      </c>
      <c r="I67" s="26">
        <v>5</v>
      </c>
      <c r="J67" s="15">
        <v>0</v>
      </c>
      <c r="K67" s="15">
        <v>560</v>
      </c>
      <c r="L67" s="15">
        <f t="shared" si="2"/>
        <v>4</v>
      </c>
      <c r="M67" s="15">
        <v>8</v>
      </c>
      <c r="N67" s="15">
        <v>0</v>
      </c>
      <c r="O67" s="15">
        <v>0</v>
      </c>
      <c r="P67" s="15">
        <f t="shared" si="3"/>
        <v>10</v>
      </c>
      <c r="Q67" s="15">
        <v>19</v>
      </c>
      <c r="R67" s="15">
        <f t="shared" si="4"/>
        <v>0</v>
      </c>
      <c r="S67" s="15">
        <v>0</v>
      </c>
      <c r="T67" s="16">
        <v>0</v>
      </c>
      <c r="U67" s="15">
        <v>0</v>
      </c>
      <c r="V67" s="15">
        <v>0</v>
      </c>
      <c r="W67" s="15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</row>
    <row r="68" ht="20.1" customHeight="1" spans="2:223">
      <c r="B68" s="11">
        <v>14030011</v>
      </c>
      <c r="C68" s="11" t="s">
        <v>119</v>
      </c>
      <c r="D68" s="15">
        <v>1140003</v>
      </c>
      <c r="E68" s="15">
        <v>11031</v>
      </c>
      <c r="F68" s="15">
        <v>1</v>
      </c>
      <c r="G68" s="15">
        <v>20</v>
      </c>
      <c r="H68" s="16">
        <v>0.2</v>
      </c>
      <c r="I68" s="26">
        <v>5</v>
      </c>
      <c r="J68" s="15">
        <v>0</v>
      </c>
      <c r="K68" s="15">
        <v>640</v>
      </c>
      <c r="L68" s="15">
        <f t="shared" si="2"/>
        <v>5</v>
      </c>
      <c r="M68" s="15">
        <v>9</v>
      </c>
      <c r="N68" s="15">
        <v>0</v>
      </c>
      <c r="O68" s="15">
        <v>0</v>
      </c>
      <c r="P68" s="15">
        <f t="shared" si="3"/>
        <v>10</v>
      </c>
      <c r="Q68" s="15">
        <v>19</v>
      </c>
      <c r="R68" s="15">
        <f t="shared" si="4"/>
        <v>0</v>
      </c>
      <c r="S68" s="15">
        <v>0</v>
      </c>
      <c r="T68" s="16">
        <v>0</v>
      </c>
      <c r="U68" s="15">
        <v>0</v>
      </c>
      <c r="V68" s="15">
        <v>0</v>
      </c>
      <c r="W68" s="15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</row>
    <row r="69" ht="20.1" customHeight="1" spans="2:223">
      <c r="B69" s="11">
        <v>14030012</v>
      </c>
      <c r="C69" s="11" t="s">
        <v>120</v>
      </c>
      <c r="D69" s="15">
        <v>1140003</v>
      </c>
      <c r="E69" s="15">
        <v>11043</v>
      </c>
      <c r="F69" s="15">
        <v>1</v>
      </c>
      <c r="G69" s="15">
        <v>20</v>
      </c>
      <c r="H69" s="16">
        <v>0.2</v>
      </c>
      <c r="I69" s="26">
        <v>10</v>
      </c>
      <c r="J69" s="15">
        <v>0</v>
      </c>
      <c r="K69" s="15">
        <v>790</v>
      </c>
      <c r="L69" s="15">
        <f t="shared" si="2"/>
        <v>7</v>
      </c>
      <c r="M69" s="15">
        <v>14</v>
      </c>
      <c r="N69" s="15">
        <v>0</v>
      </c>
      <c r="O69" s="15">
        <v>0</v>
      </c>
      <c r="P69" s="15">
        <f t="shared" si="3"/>
        <v>19</v>
      </c>
      <c r="Q69" s="15">
        <v>38</v>
      </c>
      <c r="R69" s="15">
        <f t="shared" si="4"/>
        <v>0</v>
      </c>
      <c r="S69" s="15">
        <v>0</v>
      </c>
      <c r="T69" s="16">
        <v>0</v>
      </c>
      <c r="U69" s="15">
        <v>0</v>
      </c>
      <c r="V69" s="15">
        <v>0</v>
      </c>
      <c r="W69" s="15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</row>
    <row r="70" s="3" customFormat="1" ht="20.1" customHeight="1" spans="2:223">
      <c r="B70" s="20">
        <v>14030013</v>
      </c>
      <c r="C70" s="21" t="s">
        <v>121</v>
      </c>
      <c r="D70" s="22">
        <v>1140003</v>
      </c>
      <c r="E70" s="22">
        <v>11043</v>
      </c>
      <c r="F70" s="22">
        <v>1</v>
      </c>
      <c r="G70" s="22">
        <v>20</v>
      </c>
      <c r="H70" s="23">
        <v>0.2</v>
      </c>
      <c r="I70" s="28">
        <v>10</v>
      </c>
      <c r="J70" s="22">
        <v>0</v>
      </c>
      <c r="K70" s="22">
        <v>790</v>
      </c>
      <c r="L70" s="22">
        <f t="shared" ref="L70" si="8">ROUND(M70/2,0)</f>
        <v>7</v>
      </c>
      <c r="M70" s="22">
        <v>14</v>
      </c>
      <c r="N70" s="22">
        <v>0</v>
      </c>
      <c r="O70" s="22">
        <v>0</v>
      </c>
      <c r="P70" s="22">
        <f t="shared" ref="P70" si="9">ROUND(Q70/2,0)</f>
        <v>19</v>
      </c>
      <c r="Q70" s="22">
        <v>38</v>
      </c>
      <c r="R70" s="22">
        <f t="shared" ref="R70" si="10">ROUND(S70/2,0)</f>
        <v>0</v>
      </c>
      <c r="S70" s="22">
        <v>0</v>
      </c>
      <c r="T70" s="23">
        <v>0</v>
      </c>
      <c r="U70" s="22">
        <v>0</v>
      </c>
      <c r="V70" s="22">
        <v>0</v>
      </c>
      <c r="W70" s="22">
        <v>0</v>
      </c>
      <c r="X70" s="23">
        <v>0</v>
      </c>
      <c r="Y70" s="23">
        <v>0</v>
      </c>
      <c r="Z70" s="23">
        <v>0</v>
      </c>
      <c r="AA70" s="23">
        <v>203601</v>
      </c>
      <c r="AB70" s="23">
        <v>500</v>
      </c>
      <c r="AC70" s="23">
        <v>1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</row>
    <row r="71" ht="20.1" customHeight="1" spans="2:223">
      <c r="B71" s="11">
        <v>14040001</v>
      </c>
      <c r="C71" s="11" t="s">
        <v>122</v>
      </c>
      <c r="D71" s="15">
        <v>1140003</v>
      </c>
      <c r="E71" s="15">
        <v>0</v>
      </c>
      <c r="F71" s="15">
        <v>1</v>
      </c>
      <c r="G71" s="15">
        <v>20</v>
      </c>
      <c r="H71" s="16">
        <v>0.2</v>
      </c>
      <c r="I71" s="26">
        <v>5</v>
      </c>
      <c r="J71" s="15">
        <v>0</v>
      </c>
      <c r="K71" s="15">
        <v>0</v>
      </c>
      <c r="L71" s="15">
        <f t="shared" si="2"/>
        <v>6</v>
      </c>
      <c r="M71" s="15">
        <v>12</v>
      </c>
      <c r="N71" s="15">
        <v>0</v>
      </c>
      <c r="O71" s="15">
        <v>0</v>
      </c>
      <c r="P71" s="15">
        <f t="shared" si="3"/>
        <v>0</v>
      </c>
      <c r="Q71" s="15">
        <v>0</v>
      </c>
      <c r="R71" s="15">
        <f t="shared" si="4"/>
        <v>6</v>
      </c>
      <c r="S71" s="15">
        <v>12</v>
      </c>
      <c r="T71" s="16">
        <v>0</v>
      </c>
      <c r="U71" s="15">
        <v>0</v>
      </c>
      <c r="V71" s="15">
        <v>0</v>
      </c>
      <c r="W71" s="15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</row>
    <row r="72" ht="20.1" customHeight="1" spans="2:223">
      <c r="B72" s="11">
        <v>14040002</v>
      </c>
      <c r="C72" s="11" t="s">
        <v>123</v>
      </c>
      <c r="D72" s="15">
        <v>1140003</v>
      </c>
      <c r="E72" s="15">
        <v>0</v>
      </c>
      <c r="F72" s="15">
        <v>1</v>
      </c>
      <c r="G72" s="15">
        <v>20</v>
      </c>
      <c r="H72" s="16">
        <v>0.2</v>
      </c>
      <c r="I72" s="26">
        <v>5</v>
      </c>
      <c r="J72" s="15">
        <v>0</v>
      </c>
      <c r="K72" s="15">
        <v>0</v>
      </c>
      <c r="L72" s="15">
        <f t="shared" si="2"/>
        <v>10</v>
      </c>
      <c r="M72" s="15">
        <v>20</v>
      </c>
      <c r="N72" s="15">
        <v>0</v>
      </c>
      <c r="O72" s="15">
        <v>0</v>
      </c>
      <c r="P72" s="15">
        <f t="shared" si="3"/>
        <v>0</v>
      </c>
      <c r="Q72" s="15">
        <v>0</v>
      </c>
      <c r="R72" s="15">
        <f t="shared" si="4"/>
        <v>10</v>
      </c>
      <c r="S72" s="15">
        <v>20</v>
      </c>
      <c r="T72" s="16">
        <v>0</v>
      </c>
      <c r="U72" s="15">
        <v>0</v>
      </c>
      <c r="V72" s="15">
        <v>0</v>
      </c>
      <c r="W72" s="15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</row>
    <row r="73" ht="20.1" customHeight="1" spans="2:223">
      <c r="B73" s="11">
        <v>14040003</v>
      </c>
      <c r="C73" s="11" t="s">
        <v>124</v>
      </c>
      <c r="D73" s="15">
        <v>1140003</v>
      </c>
      <c r="E73" s="15">
        <v>11011</v>
      </c>
      <c r="F73" s="15">
        <v>1</v>
      </c>
      <c r="G73" s="15">
        <v>20</v>
      </c>
      <c r="H73" s="16">
        <v>0.2</v>
      </c>
      <c r="I73" s="26">
        <v>5</v>
      </c>
      <c r="J73" s="15">
        <v>0</v>
      </c>
      <c r="K73" s="15">
        <v>0</v>
      </c>
      <c r="L73" s="15">
        <f t="shared" si="2"/>
        <v>11</v>
      </c>
      <c r="M73" s="15">
        <v>22</v>
      </c>
      <c r="N73" s="15">
        <v>0</v>
      </c>
      <c r="O73" s="15">
        <v>0</v>
      </c>
      <c r="P73" s="15">
        <f t="shared" si="3"/>
        <v>0</v>
      </c>
      <c r="Q73" s="15">
        <v>0</v>
      </c>
      <c r="R73" s="15">
        <f t="shared" si="4"/>
        <v>12</v>
      </c>
      <c r="S73" s="15">
        <v>23</v>
      </c>
      <c r="T73" s="16">
        <v>0</v>
      </c>
      <c r="U73" s="15">
        <v>0</v>
      </c>
      <c r="V73" s="15">
        <v>0</v>
      </c>
      <c r="W73" s="15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</row>
    <row r="74" ht="20.1" customHeight="1" spans="2:223">
      <c r="B74" s="11">
        <v>14040004</v>
      </c>
      <c r="C74" s="11" t="s">
        <v>125</v>
      </c>
      <c r="D74" s="15">
        <v>1140003</v>
      </c>
      <c r="E74" s="15">
        <v>11041</v>
      </c>
      <c r="F74" s="15">
        <v>1</v>
      </c>
      <c r="G74" s="15">
        <v>20</v>
      </c>
      <c r="H74" s="16">
        <v>0.2</v>
      </c>
      <c r="I74" s="26">
        <v>10</v>
      </c>
      <c r="J74" s="15">
        <v>0</v>
      </c>
      <c r="K74" s="15">
        <v>0</v>
      </c>
      <c r="L74" s="15">
        <f t="shared" si="2"/>
        <v>14</v>
      </c>
      <c r="M74" s="15">
        <v>28</v>
      </c>
      <c r="N74" s="15">
        <v>0</v>
      </c>
      <c r="O74" s="15">
        <v>0</v>
      </c>
      <c r="P74" s="15">
        <f t="shared" si="3"/>
        <v>0</v>
      </c>
      <c r="Q74" s="15">
        <v>0</v>
      </c>
      <c r="R74" s="15">
        <f t="shared" si="4"/>
        <v>15</v>
      </c>
      <c r="S74" s="15">
        <v>30</v>
      </c>
      <c r="T74" s="16">
        <v>0</v>
      </c>
      <c r="U74" s="15">
        <v>0</v>
      </c>
      <c r="V74" s="15">
        <v>0</v>
      </c>
      <c r="W74" s="15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</row>
    <row r="75" ht="20.1" customHeight="1" spans="2:223">
      <c r="B75" s="11">
        <v>14040005</v>
      </c>
      <c r="C75" s="11" t="s">
        <v>126</v>
      </c>
      <c r="D75" s="15">
        <v>1140003</v>
      </c>
      <c r="E75" s="15">
        <v>0</v>
      </c>
      <c r="F75" s="15">
        <v>1</v>
      </c>
      <c r="G75" s="15">
        <v>20</v>
      </c>
      <c r="H75" s="16">
        <v>0.2</v>
      </c>
      <c r="I75" s="26">
        <v>5</v>
      </c>
      <c r="J75" s="15">
        <v>0</v>
      </c>
      <c r="K75" s="15">
        <v>0</v>
      </c>
      <c r="L75" s="15">
        <f t="shared" si="2"/>
        <v>8</v>
      </c>
      <c r="M75" s="15">
        <v>16</v>
      </c>
      <c r="N75" s="15">
        <v>0</v>
      </c>
      <c r="O75" s="15">
        <v>0</v>
      </c>
      <c r="P75" s="15">
        <f t="shared" si="3"/>
        <v>0</v>
      </c>
      <c r="Q75" s="15">
        <v>0</v>
      </c>
      <c r="R75" s="15">
        <f t="shared" si="4"/>
        <v>5</v>
      </c>
      <c r="S75" s="15">
        <v>9</v>
      </c>
      <c r="T75" s="16">
        <v>0</v>
      </c>
      <c r="U75" s="15">
        <v>0</v>
      </c>
      <c r="V75" s="15">
        <v>0</v>
      </c>
      <c r="W75" s="15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</row>
    <row r="76" ht="20.1" customHeight="1" spans="2:223">
      <c r="B76" s="11">
        <v>14040006</v>
      </c>
      <c r="C76" s="11" t="s">
        <v>127</v>
      </c>
      <c r="D76" s="15">
        <v>1140003</v>
      </c>
      <c r="E76" s="15">
        <v>0</v>
      </c>
      <c r="F76" s="15">
        <v>1</v>
      </c>
      <c r="G76" s="15">
        <v>20</v>
      </c>
      <c r="H76" s="16">
        <v>0.2</v>
      </c>
      <c r="I76" s="26">
        <v>5</v>
      </c>
      <c r="J76" s="15">
        <v>0</v>
      </c>
      <c r="K76" s="15">
        <v>0</v>
      </c>
      <c r="L76" s="15">
        <f t="shared" si="2"/>
        <v>14</v>
      </c>
      <c r="M76" s="15">
        <v>27</v>
      </c>
      <c r="N76" s="15">
        <v>0</v>
      </c>
      <c r="O76" s="15">
        <v>0</v>
      </c>
      <c r="P76" s="15">
        <f t="shared" si="3"/>
        <v>0</v>
      </c>
      <c r="Q76" s="15">
        <v>0</v>
      </c>
      <c r="R76" s="15">
        <f t="shared" si="4"/>
        <v>8</v>
      </c>
      <c r="S76" s="15">
        <v>15</v>
      </c>
      <c r="T76" s="16">
        <v>0</v>
      </c>
      <c r="U76" s="15">
        <v>0</v>
      </c>
      <c r="V76" s="15">
        <v>0</v>
      </c>
      <c r="W76" s="15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</row>
    <row r="77" ht="20.1" customHeight="1" spans="2:223">
      <c r="B77" s="11">
        <v>14040007</v>
      </c>
      <c r="C77" s="11" t="s">
        <v>128</v>
      </c>
      <c r="D77" s="15">
        <v>1140003</v>
      </c>
      <c r="E77" s="15">
        <v>11021</v>
      </c>
      <c r="F77" s="15">
        <v>1</v>
      </c>
      <c r="G77" s="15">
        <v>20</v>
      </c>
      <c r="H77" s="16">
        <v>0.2</v>
      </c>
      <c r="I77" s="26">
        <v>5</v>
      </c>
      <c r="J77" s="15">
        <v>0</v>
      </c>
      <c r="K77" s="15">
        <v>0</v>
      </c>
      <c r="L77" s="15">
        <f t="shared" si="2"/>
        <v>15</v>
      </c>
      <c r="M77" s="15">
        <v>30</v>
      </c>
      <c r="N77" s="15">
        <v>0</v>
      </c>
      <c r="O77" s="15">
        <v>0</v>
      </c>
      <c r="P77" s="15">
        <f t="shared" si="3"/>
        <v>0</v>
      </c>
      <c r="Q77" s="15">
        <v>0</v>
      </c>
      <c r="R77" s="15">
        <f t="shared" si="4"/>
        <v>9</v>
      </c>
      <c r="S77" s="15">
        <v>17</v>
      </c>
      <c r="T77" s="16">
        <v>0</v>
      </c>
      <c r="U77" s="15">
        <v>0</v>
      </c>
      <c r="V77" s="15">
        <v>0</v>
      </c>
      <c r="W77" s="15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</row>
    <row r="78" ht="20.1" customHeight="1" spans="2:223">
      <c r="B78" s="11">
        <v>14040008</v>
      </c>
      <c r="C78" s="11" t="s">
        <v>129</v>
      </c>
      <c r="D78" s="15">
        <v>1140003</v>
      </c>
      <c r="E78" s="15">
        <v>11042</v>
      </c>
      <c r="F78" s="15">
        <v>1</v>
      </c>
      <c r="G78" s="15">
        <v>20</v>
      </c>
      <c r="H78" s="16">
        <v>0.2</v>
      </c>
      <c r="I78" s="26">
        <v>10</v>
      </c>
      <c r="J78" s="15">
        <v>0</v>
      </c>
      <c r="K78" s="15">
        <v>0</v>
      </c>
      <c r="L78" s="15">
        <f t="shared" si="2"/>
        <v>19</v>
      </c>
      <c r="M78" s="15">
        <v>38</v>
      </c>
      <c r="N78" s="15">
        <v>0</v>
      </c>
      <c r="O78" s="15">
        <v>0</v>
      </c>
      <c r="P78" s="15">
        <f t="shared" si="3"/>
        <v>0</v>
      </c>
      <c r="Q78" s="15">
        <v>0</v>
      </c>
      <c r="R78" s="15">
        <f t="shared" si="4"/>
        <v>12</v>
      </c>
      <c r="S78" s="15">
        <v>23</v>
      </c>
      <c r="T78" s="16">
        <v>0</v>
      </c>
      <c r="U78" s="15">
        <v>0</v>
      </c>
      <c r="V78" s="15">
        <v>0</v>
      </c>
      <c r="W78" s="15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</row>
    <row r="79" ht="20.1" customHeight="1" spans="2:223">
      <c r="B79" s="11">
        <v>14040009</v>
      </c>
      <c r="C79" s="11" t="s">
        <v>130</v>
      </c>
      <c r="D79" s="15">
        <v>1140003</v>
      </c>
      <c r="E79" s="15">
        <v>0</v>
      </c>
      <c r="F79" s="15">
        <v>1</v>
      </c>
      <c r="G79" s="15">
        <v>20</v>
      </c>
      <c r="H79" s="16">
        <v>0.2</v>
      </c>
      <c r="I79" s="26">
        <v>5</v>
      </c>
      <c r="J79" s="15">
        <v>0</v>
      </c>
      <c r="K79" s="15">
        <v>0</v>
      </c>
      <c r="L79" s="15">
        <f t="shared" si="2"/>
        <v>5</v>
      </c>
      <c r="M79" s="15">
        <v>9</v>
      </c>
      <c r="N79" s="15">
        <v>0</v>
      </c>
      <c r="O79" s="15">
        <v>0</v>
      </c>
      <c r="P79" s="15">
        <f t="shared" si="3"/>
        <v>0</v>
      </c>
      <c r="Q79" s="15">
        <v>0</v>
      </c>
      <c r="R79" s="15">
        <f t="shared" si="4"/>
        <v>8</v>
      </c>
      <c r="S79" s="15">
        <v>15</v>
      </c>
      <c r="T79" s="16">
        <v>0</v>
      </c>
      <c r="U79" s="15">
        <v>0</v>
      </c>
      <c r="V79" s="15">
        <v>0</v>
      </c>
      <c r="W79" s="15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</row>
    <row r="80" ht="20.1" customHeight="1" spans="2:223">
      <c r="B80" s="11">
        <v>14040010</v>
      </c>
      <c r="C80" s="11" t="s">
        <v>131</v>
      </c>
      <c r="D80" s="15">
        <v>1140003</v>
      </c>
      <c r="E80" s="15">
        <v>0</v>
      </c>
      <c r="F80" s="15">
        <v>1</v>
      </c>
      <c r="G80" s="15">
        <v>20</v>
      </c>
      <c r="H80" s="16">
        <v>0.2</v>
      </c>
      <c r="I80" s="26">
        <v>5</v>
      </c>
      <c r="J80" s="15">
        <v>0</v>
      </c>
      <c r="K80" s="15">
        <v>0</v>
      </c>
      <c r="L80" s="15">
        <f t="shared" si="2"/>
        <v>8</v>
      </c>
      <c r="M80" s="15">
        <v>15</v>
      </c>
      <c r="N80" s="15">
        <v>0</v>
      </c>
      <c r="O80" s="15">
        <v>0</v>
      </c>
      <c r="P80" s="15">
        <f t="shared" si="3"/>
        <v>0</v>
      </c>
      <c r="Q80" s="15">
        <v>0</v>
      </c>
      <c r="R80" s="15">
        <f t="shared" si="4"/>
        <v>13</v>
      </c>
      <c r="S80" s="15">
        <v>25</v>
      </c>
      <c r="T80" s="16">
        <v>0</v>
      </c>
      <c r="U80" s="15">
        <v>0</v>
      </c>
      <c r="V80" s="15">
        <v>0</v>
      </c>
      <c r="W80" s="15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</row>
    <row r="81" ht="20.1" customHeight="1" spans="2:223">
      <c r="B81" s="11">
        <v>14040011</v>
      </c>
      <c r="C81" s="11" t="s">
        <v>132</v>
      </c>
      <c r="D81" s="15">
        <v>1140003</v>
      </c>
      <c r="E81" s="15">
        <v>11031</v>
      </c>
      <c r="F81" s="15">
        <v>1</v>
      </c>
      <c r="G81" s="15">
        <v>20</v>
      </c>
      <c r="H81" s="16">
        <v>0.2</v>
      </c>
      <c r="I81" s="26">
        <v>5</v>
      </c>
      <c r="J81" s="15">
        <v>0</v>
      </c>
      <c r="K81" s="15">
        <v>0</v>
      </c>
      <c r="L81" s="15">
        <f t="shared" si="2"/>
        <v>9</v>
      </c>
      <c r="M81" s="15">
        <v>17</v>
      </c>
      <c r="N81" s="15">
        <v>0</v>
      </c>
      <c r="O81" s="15">
        <v>0</v>
      </c>
      <c r="P81" s="15">
        <f t="shared" si="3"/>
        <v>0</v>
      </c>
      <c r="Q81" s="15">
        <v>0</v>
      </c>
      <c r="R81" s="15">
        <f t="shared" si="4"/>
        <v>15</v>
      </c>
      <c r="S81" s="15">
        <v>29</v>
      </c>
      <c r="T81" s="16">
        <v>0</v>
      </c>
      <c r="U81" s="15">
        <v>0</v>
      </c>
      <c r="V81" s="15">
        <v>0</v>
      </c>
      <c r="W81" s="15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</row>
    <row r="82" ht="20.1" customHeight="1" spans="2:223">
      <c r="B82" s="11">
        <v>14040012</v>
      </c>
      <c r="C82" s="11" t="s">
        <v>133</v>
      </c>
      <c r="D82" s="15">
        <v>1140003</v>
      </c>
      <c r="E82" s="15">
        <v>11043</v>
      </c>
      <c r="F82" s="15">
        <v>1</v>
      </c>
      <c r="G82" s="15">
        <v>20</v>
      </c>
      <c r="H82" s="16">
        <v>0.2</v>
      </c>
      <c r="I82" s="26">
        <v>10</v>
      </c>
      <c r="J82" s="15">
        <v>0</v>
      </c>
      <c r="K82" s="15">
        <v>0</v>
      </c>
      <c r="L82" s="15">
        <f t="shared" si="2"/>
        <v>11</v>
      </c>
      <c r="M82" s="15">
        <v>21</v>
      </c>
      <c r="N82" s="15">
        <v>0</v>
      </c>
      <c r="O82" s="15">
        <v>0</v>
      </c>
      <c r="P82" s="15">
        <f t="shared" si="3"/>
        <v>0</v>
      </c>
      <c r="Q82" s="15">
        <v>0</v>
      </c>
      <c r="R82" s="15">
        <f t="shared" si="4"/>
        <v>19</v>
      </c>
      <c r="S82" s="15">
        <v>38</v>
      </c>
      <c r="T82" s="16">
        <v>0</v>
      </c>
      <c r="U82" s="15">
        <v>0</v>
      </c>
      <c r="V82" s="15">
        <v>0</v>
      </c>
      <c r="W82" s="15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</row>
    <row r="83" s="4" customFormat="1" ht="20.1" customHeight="1" spans="2:223">
      <c r="B83" s="36">
        <v>14050001</v>
      </c>
      <c r="C83" s="36" t="s">
        <v>134</v>
      </c>
      <c r="D83" s="37">
        <v>1140003</v>
      </c>
      <c r="E83" s="37">
        <v>0</v>
      </c>
      <c r="F83" s="37">
        <v>1</v>
      </c>
      <c r="G83" s="37">
        <v>20</v>
      </c>
      <c r="H83" s="38">
        <v>0.2</v>
      </c>
      <c r="I83" s="41">
        <v>5</v>
      </c>
      <c r="J83" s="37">
        <v>0</v>
      </c>
      <c r="K83" s="37">
        <v>550</v>
      </c>
      <c r="L83" s="37">
        <f t="shared" si="2"/>
        <v>8</v>
      </c>
      <c r="M83" s="37">
        <v>15</v>
      </c>
      <c r="N83" s="37">
        <v>0</v>
      </c>
      <c r="O83" s="37">
        <v>0</v>
      </c>
      <c r="P83" s="37">
        <f t="shared" si="3"/>
        <v>3</v>
      </c>
      <c r="Q83" s="37">
        <v>5</v>
      </c>
      <c r="R83" s="37">
        <f t="shared" si="4"/>
        <v>3</v>
      </c>
      <c r="S83" s="37">
        <v>5</v>
      </c>
      <c r="T83" s="38">
        <v>0</v>
      </c>
      <c r="U83" s="37">
        <v>0</v>
      </c>
      <c r="V83" s="37">
        <v>0</v>
      </c>
      <c r="W83" s="37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  <c r="FK83" s="42"/>
      <c r="FL83" s="42"/>
      <c r="FM83" s="42"/>
      <c r="FN83" s="42"/>
      <c r="FO83" s="42"/>
      <c r="FP83" s="42"/>
      <c r="FQ83" s="42"/>
      <c r="FR83" s="42"/>
      <c r="FS83" s="42"/>
      <c r="FT83" s="42"/>
      <c r="FU83" s="42"/>
      <c r="FV83" s="42"/>
      <c r="FW83" s="42"/>
      <c r="FX83" s="42"/>
      <c r="FY83" s="42"/>
      <c r="FZ83" s="42"/>
      <c r="GA83" s="42"/>
      <c r="GB83" s="42"/>
      <c r="GC83" s="42"/>
      <c r="GD83" s="42"/>
      <c r="GE83" s="42"/>
      <c r="GF83" s="42"/>
      <c r="GG83" s="42"/>
      <c r="GH83" s="42"/>
      <c r="GI83" s="42"/>
      <c r="GJ83" s="42"/>
      <c r="GK83" s="42"/>
      <c r="GL83" s="42"/>
      <c r="GM83" s="42"/>
      <c r="GN83" s="42"/>
      <c r="GO83" s="42"/>
      <c r="GP83" s="42"/>
      <c r="GQ83" s="42"/>
      <c r="GR83" s="42"/>
      <c r="GS83" s="42"/>
      <c r="GT83" s="42"/>
      <c r="GU83" s="42"/>
      <c r="GV83" s="42"/>
      <c r="GW83" s="42"/>
      <c r="GX83" s="42"/>
      <c r="GY83" s="42"/>
      <c r="GZ83" s="42"/>
      <c r="HA83" s="42"/>
      <c r="HB83" s="42"/>
      <c r="HC83" s="42"/>
      <c r="HD83" s="42"/>
      <c r="HE83" s="42"/>
      <c r="HF83" s="42"/>
      <c r="HG83" s="42"/>
      <c r="HH83" s="42"/>
      <c r="HI83" s="42"/>
      <c r="HJ83" s="42"/>
      <c r="HK83" s="42"/>
      <c r="HL83" s="42"/>
      <c r="HM83" s="42"/>
      <c r="HN83" s="42"/>
      <c r="HO83" s="42"/>
    </row>
    <row r="84" s="4" customFormat="1" ht="20.1" customHeight="1" spans="2:223">
      <c r="B84" s="36">
        <v>14050002</v>
      </c>
      <c r="C84" s="36" t="s">
        <v>135</v>
      </c>
      <c r="D84" s="37">
        <v>1140003</v>
      </c>
      <c r="E84" s="37">
        <v>0</v>
      </c>
      <c r="F84" s="37">
        <v>1</v>
      </c>
      <c r="G84" s="37">
        <v>20</v>
      </c>
      <c r="H84" s="38">
        <v>0.2</v>
      </c>
      <c r="I84" s="41">
        <v>5</v>
      </c>
      <c r="J84" s="37">
        <v>0</v>
      </c>
      <c r="K84" s="37">
        <v>920</v>
      </c>
      <c r="L84" s="37">
        <f t="shared" si="2"/>
        <v>14</v>
      </c>
      <c r="M84" s="37">
        <v>28</v>
      </c>
      <c r="N84" s="37">
        <v>0</v>
      </c>
      <c r="O84" s="37">
        <v>0</v>
      </c>
      <c r="P84" s="37">
        <f t="shared" si="3"/>
        <v>4</v>
      </c>
      <c r="Q84" s="37">
        <v>8</v>
      </c>
      <c r="R84" s="37">
        <f t="shared" si="4"/>
        <v>4</v>
      </c>
      <c r="S84" s="37">
        <v>8</v>
      </c>
      <c r="T84" s="38">
        <v>0</v>
      </c>
      <c r="U84" s="37">
        <v>0</v>
      </c>
      <c r="V84" s="37">
        <v>0</v>
      </c>
      <c r="W84" s="37">
        <v>0</v>
      </c>
      <c r="X84" s="38">
        <v>0</v>
      </c>
      <c r="Y84" s="38">
        <v>0</v>
      </c>
      <c r="Z84" s="38">
        <v>0</v>
      </c>
      <c r="AA84" s="38">
        <v>0</v>
      </c>
      <c r="AB84" s="38">
        <v>0</v>
      </c>
      <c r="AC84" s="38">
        <v>0</v>
      </c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  <c r="FK84" s="42"/>
      <c r="FL84" s="42"/>
      <c r="FM84" s="42"/>
      <c r="FN84" s="42"/>
      <c r="FO84" s="42"/>
      <c r="FP84" s="42"/>
      <c r="FQ84" s="42"/>
      <c r="FR84" s="42"/>
      <c r="FS84" s="42"/>
      <c r="FT84" s="42"/>
      <c r="FU84" s="42"/>
      <c r="FV84" s="42"/>
      <c r="FW84" s="42"/>
      <c r="FX84" s="42"/>
      <c r="FY84" s="42"/>
      <c r="FZ84" s="42"/>
      <c r="GA84" s="42"/>
      <c r="GB84" s="42"/>
      <c r="GC84" s="42"/>
      <c r="GD84" s="42"/>
      <c r="GE84" s="42"/>
      <c r="GF84" s="42"/>
      <c r="GG84" s="42"/>
      <c r="GH84" s="42"/>
      <c r="GI84" s="42"/>
      <c r="GJ84" s="42"/>
      <c r="GK84" s="42"/>
      <c r="GL84" s="42"/>
      <c r="GM84" s="42"/>
      <c r="GN84" s="42"/>
      <c r="GO84" s="42"/>
      <c r="GP84" s="42"/>
      <c r="GQ84" s="42"/>
      <c r="GR84" s="42"/>
      <c r="GS84" s="42"/>
      <c r="GT84" s="42"/>
      <c r="GU84" s="42"/>
      <c r="GV84" s="42"/>
      <c r="GW84" s="42"/>
      <c r="GX84" s="42"/>
      <c r="GY84" s="42"/>
      <c r="GZ84" s="42"/>
      <c r="HA84" s="42"/>
      <c r="HB84" s="42"/>
      <c r="HC84" s="42"/>
      <c r="HD84" s="42"/>
      <c r="HE84" s="42"/>
      <c r="HF84" s="42"/>
      <c r="HG84" s="42"/>
      <c r="HH84" s="42"/>
      <c r="HI84" s="42"/>
      <c r="HJ84" s="42"/>
      <c r="HK84" s="42"/>
      <c r="HL84" s="42"/>
      <c r="HM84" s="42"/>
      <c r="HN84" s="42"/>
      <c r="HO84" s="42"/>
    </row>
    <row r="85" s="4" customFormat="1" ht="20.1" customHeight="1" spans="2:223">
      <c r="B85" s="36">
        <v>14050003</v>
      </c>
      <c r="C85" s="36" t="s">
        <v>136</v>
      </c>
      <c r="D85" s="37">
        <v>1140003</v>
      </c>
      <c r="E85" s="37">
        <v>11012</v>
      </c>
      <c r="F85" s="37">
        <v>1</v>
      </c>
      <c r="G85" s="37">
        <v>20</v>
      </c>
      <c r="H85" s="38">
        <v>0.2</v>
      </c>
      <c r="I85" s="41">
        <v>5</v>
      </c>
      <c r="J85" s="37">
        <v>0</v>
      </c>
      <c r="K85" s="37">
        <v>1050</v>
      </c>
      <c r="L85" s="37">
        <f t="shared" si="2"/>
        <v>16</v>
      </c>
      <c r="M85" s="37">
        <v>32</v>
      </c>
      <c r="N85" s="37">
        <v>0</v>
      </c>
      <c r="O85" s="37">
        <v>0</v>
      </c>
      <c r="P85" s="37">
        <f t="shared" si="3"/>
        <v>5</v>
      </c>
      <c r="Q85" s="37">
        <v>10</v>
      </c>
      <c r="R85" s="37">
        <f t="shared" si="4"/>
        <v>5</v>
      </c>
      <c r="S85" s="37">
        <v>10</v>
      </c>
      <c r="T85" s="38">
        <v>0</v>
      </c>
      <c r="U85" s="37">
        <v>0</v>
      </c>
      <c r="V85" s="37">
        <v>0</v>
      </c>
      <c r="W85" s="37">
        <v>0</v>
      </c>
      <c r="X85" s="38">
        <v>0</v>
      </c>
      <c r="Y85" s="38">
        <v>0</v>
      </c>
      <c r="Z85" s="38">
        <v>0</v>
      </c>
      <c r="AA85" s="38">
        <v>0</v>
      </c>
      <c r="AB85" s="38">
        <v>0</v>
      </c>
      <c r="AC85" s="38">
        <v>0</v>
      </c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</row>
    <row r="86" s="4" customFormat="1" ht="20.1" customHeight="1" spans="2:223">
      <c r="B86" s="36">
        <v>14050004</v>
      </c>
      <c r="C86" s="36" t="s">
        <v>137</v>
      </c>
      <c r="D86" s="37">
        <v>1140003</v>
      </c>
      <c r="E86" s="37">
        <v>11041</v>
      </c>
      <c r="F86" s="37">
        <v>1</v>
      </c>
      <c r="G86" s="37">
        <v>20</v>
      </c>
      <c r="H86" s="38">
        <v>0.2</v>
      </c>
      <c r="I86" s="41">
        <v>10</v>
      </c>
      <c r="J86" s="37">
        <v>0</v>
      </c>
      <c r="K86" s="37">
        <v>1315</v>
      </c>
      <c r="L86" s="37">
        <f t="shared" si="2"/>
        <v>19</v>
      </c>
      <c r="M86" s="37">
        <v>38</v>
      </c>
      <c r="N86" s="37">
        <v>0</v>
      </c>
      <c r="O86" s="37">
        <v>0</v>
      </c>
      <c r="P86" s="37">
        <f t="shared" si="3"/>
        <v>8</v>
      </c>
      <c r="Q86" s="37">
        <v>15</v>
      </c>
      <c r="R86" s="37">
        <f t="shared" si="4"/>
        <v>8</v>
      </c>
      <c r="S86" s="37">
        <v>15</v>
      </c>
      <c r="T86" s="38">
        <v>0</v>
      </c>
      <c r="U86" s="37">
        <v>0</v>
      </c>
      <c r="V86" s="37">
        <v>0</v>
      </c>
      <c r="W86" s="37">
        <v>0</v>
      </c>
      <c r="X86" s="38">
        <v>0</v>
      </c>
      <c r="Y86" s="38">
        <v>0</v>
      </c>
      <c r="Z86" s="38">
        <v>0</v>
      </c>
      <c r="AA86" s="38">
        <v>0</v>
      </c>
      <c r="AB86" s="38">
        <v>0</v>
      </c>
      <c r="AC86" s="38">
        <v>0</v>
      </c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  <c r="FK86" s="42"/>
      <c r="FL86" s="42"/>
      <c r="FM86" s="42"/>
      <c r="FN86" s="42"/>
      <c r="FO86" s="42"/>
      <c r="FP86" s="42"/>
      <c r="FQ86" s="42"/>
      <c r="FR86" s="42"/>
      <c r="FS86" s="42"/>
      <c r="FT86" s="42"/>
      <c r="FU86" s="42"/>
      <c r="FV86" s="42"/>
      <c r="FW86" s="42"/>
      <c r="FX86" s="42"/>
      <c r="FY86" s="42"/>
      <c r="FZ86" s="42"/>
      <c r="GA86" s="42"/>
      <c r="GB86" s="42"/>
      <c r="GC86" s="42"/>
      <c r="GD86" s="42"/>
      <c r="GE86" s="42"/>
      <c r="GF86" s="42"/>
      <c r="GG86" s="42"/>
      <c r="GH86" s="42"/>
      <c r="GI86" s="42"/>
      <c r="GJ86" s="42"/>
      <c r="GK86" s="42"/>
      <c r="GL86" s="42"/>
      <c r="GM86" s="42"/>
      <c r="GN86" s="42"/>
      <c r="GO86" s="42"/>
      <c r="GP86" s="42"/>
      <c r="GQ86" s="42"/>
      <c r="GR86" s="42"/>
      <c r="GS86" s="42"/>
      <c r="GT86" s="42"/>
      <c r="GU86" s="42"/>
      <c r="GV86" s="42"/>
      <c r="GW86" s="42"/>
      <c r="GX86" s="42"/>
      <c r="GY86" s="42"/>
      <c r="GZ86" s="42"/>
      <c r="HA86" s="42"/>
      <c r="HB86" s="42"/>
      <c r="HC86" s="42"/>
      <c r="HD86" s="42"/>
      <c r="HE86" s="42"/>
      <c r="HF86" s="42"/>
      <c r="HG86" s="42"/>
      <c r="HH86" s="42"/>
      <c r="HI86" s="42"/>
      <c r="HJ86" s="42"/>
      <c r="HK86" s="42"/>
      <c r="HL86" s="42"/>
      <c r="HM86" s="42"/>
      <c r="HN86" s="42"/>
      <c r="HO86" s="42"/>
    </row>
    <row r="87" s="4" customFormat="1" ht="20.1" customHeight="1" spans="2:223">
      <c r="B87" s="36">
        <v>14050005</v>
      </c>
      <c r="C87" s="36" t="s">
        <v>138</v>
      </c>
      <c r="D87" s="37">
        <v>1140003</v>
      </c>
      <c r="E87" s="37">
        <v>0</v>
      </c>
      <c r="F87" s="37">
        <v>1</v>
      </c>
      <c r="G87" s="37">
        <v>20</v>
      </c>
      <c r="H87" s="38">
        <v>0.2</v>
      </c>
      <c r="I87" s="41">
        <v>5</v>
      </c>
      <c r="J87" s="37">
        <v>0</v>
      </c>
      <c r="K87" s="37">
        <v>280</v>
      </c>
      <c r="L87" s="37">
        <f t="shared" si="2"/>
        <v>10</v>
      </c>
      <c r="M87" s="37">
        <v>20</v>
      </c>
      <c r="N87" s="37">
        <v>0</v>
      </c>
      <c r="O87" s="37">
        <v>0</v>
      </c>
      <c r="P87" s="37">
        <f t="shared" si="3"/>
        <v>2</v>
      </c>
      <c r="Q87" s="37">
        <v>4</v>
      </c>
      <c r="R87" s="37">
        <f t="shared" si="4"/>
        <v>2</v>
      </c>
      <c r="S87" s="37">
        <v>4</v>
      </c>
      <c r="T87" s="38">
        <v>0</v>
      </c>
      <c r="U87" s="37">
        <v>0</v>
      </c>
      <c r="V87" s="37">
        <v>0</v>
      </c>
      <c r="W87" s="37">
        <v>0</v>
      </c>
      <c r="X87" s="38">
        <v>0</v>
      </c>
      <c r="Y87" s="38">
        <v>0</v>
      </c>
      <c r="Z87" s="38">
        <v>0</v>
      </c>
      <c r="AA87" s="38">
        <v>0</v>
      </c>
      <c r="AB87" s="38">
        <v>0</v>
      </c>
      <c r="AC87" s="38">
        <v>0</v>
      </c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  <c r="FK87" s="42"/>
      <c r="FL87" s="42"/>
      <c r="FM87" s="42"/>
      <c r="FN87" s="42"/>
      <c r="FO87" s="42"/>
      <c r="FP87" s="42"/>
      <c r="FQ87" s="42"/>
      <c r="FR87" s="42"/>
      <c r="FS87" s="42"/>
      <c r="FT87" s="42"/>
      <c r="FU87" s="42"/>
      <c r="FV87" s="42"/>
      <c r="FW87" s="42"/>
      <c r="FX87" s="42"/>
      <c r="FY87" s="42"/>
      <c r="FZ87" s="42"/>
      <c r="GA87" s="42"/>
      <c r="GB87" s="42"/>
      <c r="GC87" s="42"/>
      <c r="GD87" s="42"/>
      <c r="GE87" s="42"/>
      <c r="GF87" s="42"/>
      <c r="GG87" s="42"/>
      <c r="GH87" s="42"/>
      <c r="GI87" s="42"/>
      <c r="GJ87" s="42"/>
      <c r="GK87" s="42"/>
      <c r="GL87" s="42"/>
      <c r="GM87" s="42"/>
      <c r="GN87" s="42"/>
      <c r="GO87" s="42"/>
      <c r="GP87" s="42"/>
      <c r="GQ87" s="42"/>
      <c r="GR87" s="42"/>
      <c r="GS87" s="42"/>
      <c r="GT87" s="42"/>
      <c r="GU87" s="42"/>
      <c r="GV87" s="42"/>
      <c r="GW87" s="42"/>
      <c r="GX87" s="42"/>
      <c r="GY87" s="42"/>
      <c r="GZ87" s="42"/>
      <c r="HA87" s="42"/>
      <c r="HB87" s="42"/>
      <c r="HC87" s="42"/>
      <c r="HD87" s="42"/>
      <c r="HE87" s="42"/>
      <c r="HF87" s="42"/>
      <c r="HG87" s="42"/>
      <c r="HH87" s="42"/>
      <c r="HI87" s="42"/>
      <c r="HJ87" s="42"/>
      <c r="HK87" s="42"/>
      <c r="HL87" s="42"/>
      <c r="HM87" s="42"/>
      <c r="HN87" s="42"/>
      <c r="HO87" s="42"/>
    </row>
    <row r="88" s="4" customFormat="1" ht="20.1" customHeight="1" spans="2:223">
      <c r="B88" s="36">
        <v>14050006</v>
      </c>
      <c r="C88" s="36" t="s">
        <v>139</v>
      </c>
      <c r="D88" s="37">
        <v>1140003</v>
      </c>
      <c r="E88" s="37">
        <v>0</v>
      </c>
      <c r="F88" s="37">
        <v>1</v>
      </c>
      <c r="G88" s="37">
        <v>20</v>
      </c>
      <c r="H88" s="38">
        <v>0.2</v>
      </c>
      <c r="I88" s="41">
        <v>5</v>
      </c>
      <c r="J88" s="37">
        <v>0</v>
      </c>
      <c r="K88" s="37">
        <v>460</v>
      </c>
      <c r="L88" s="37">
        <f t="shared" si="2"/>
        <v>19</v>
      </c>
      <c r="M88" s="37">
        <v>38</v>
      </c>
      <c r="N88" s="37">
        <v>0</v>
      </c>
      <c r="O88" s="37">
        <v>0</v>
      </c>
      <c r="P88" s="37">
        <f t="shared" si="3"/>
        <v>3</v>
      </c>
      <c r="Q88" s="37">
        <v>6</v>
      </c>
      <c r="R88" s="37">
        <f t="shared" si="4"/>
        <v>3</v>
      </c>
      <c r="S88" s="37">
        <v>6</v>
      </c>
      <c r="T88" s="38">
        <v>0</v>
      </c>
      <c r="U88" s="37">
        <v>0</v>
      </c>
      <c r="V88" s="37">
        <v>0</v>
      </c>
      <c r="W88" s="37">
        <v>0</v>
      </c>
      <c r="X88" s="38">
        <v>0</v>
      </c>
      <c r="Y88" s="38">
        <v>0</v>
      </c>
      <c r="Z88" s="38">
        <v>0</v>
      </c>
      <c r="AA88" s="38">
        <v>0</v>
      </c>
      <c r="AB88" s="38">
        <v>0</v>
      </c>
      <c r="AC88" s="38">
        <v>0</v>
      </c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  <c r="GO88" s="42"/>
      <c r="GP88" s="42"/>
      <c r="GQ88" s="42"/>
      <c r="GR88" s="42"/>
      <c r="GS88" s="42"/>
      <c r="GT88" s="42"/>
      <c r="GU88" s="42"/>
      <c r="GV88" s="42"/>
      <c r="GW88" s="42"/>
      <c r="GX88" s="42"/>
      <c r="GY88" s="42"/>
      <c r="GZ88" s="42"/>
      <c r="HA88" s="42"/>
      <c r="HB88" s="42"/>
      <c r="HC88" s="42"/>
      <c r="HD88" s="42"/>
      <c r="HE88" s="42"/>
      <c r="HF88" s="42"/>
      <c r="HG88" s="42"/>
      <c r="HH88" s="42"/>
      <c r="HI88" s="42"/>
      <c r="HJ88" s="42"/>
      <c r="HK88" s="42"/>
      <c r="HL88" s="42"/>
      <c r="HM88" s="42"/>
      <c r="HN88" s="42"/>
      <c r="HO88" s="42"/>
    </row>
    <row r="89" s="4" customFormat="1" ht="20.1" customHeight="1" spans="2:223">
      <c r="B89" s="36">
        <v>14050007</v>
      </c>
      <c r="C89" s="36" t="s">
        <v>140</v>
      </c>
      <c r="D89" s="37">
        <v>1140003</v>
      </c>
      <c r="E89" s="37">
        <v>11022</v>
      </c>
      <c r="F89" s="37">
        <v>1</v>
      </c>
      <c r="G89" s="37">
        <v>20</v>
      </c>
      <c r="H89" s="38">
        <v>0.2</v>
      </c>
      <c r="I89" s="41">
        <v>5</v>
      </c>
      <c r="J89" s="37">
        <v>0</v>
      </c>
      <c r="K89" s="37">
        <v>530</v>
      </c>
      <c r="L89" s="37">
        <f t="shared" si="2"/>
        <v>22</v>
      </c>
      <c r="M89" s="37">
        <v>43</v>
      </c>
      <c r="N89" s="37">
        <v>0</v>
      </c>
      <c r="O89" s="37">
        <v>0</v>
      </c>
      <c r="P89" s="37">
        <f t="shared" si="3"/>
        <v>4</v>
      </c>
      <c r="Q89" s="37">
        <v>8</v>
      </c>
      <c r="R89" s="37">
        <f t="shared" si="4"/>
        <v>4</v>
      </c>
      <c r="S89" s="37">
        <v>8</v>
      </c>
      <c r="T89" s="38">
        <v>0</v>
      </c>
      <c r="U89" s="37">
        <v>0</v>
      </c>
      <c r="V89" s="37">
        <v>0</v>
      </c>
      <c r="W89" s="37">
        <v>0</v>
      </c>
      <c r="X89" s="38">
        <v>0</v>
      </c>
      <c r="Y89" s="38">
        <v>0</v>
      </c>
      <c r="Z89" s="38">
        <v>0</v>
      </c>
      <c r="AA89" s="38">
        <v>0</v>
      </c>
      <c r="AB89" s="38">
        <v>0</v>
      </c>
      <c r="AC89" s="38">
        <v>0</v>
      </c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  <c r="FK89" s="42"/>
      <c r="FL89" s="42"/>
      <c r="FM89" s="42"/>
      <c r="FN89" s="42"/>
      <c r="FO89" s="42"/>
      <c r="FP89" s="42"/>
      <c r="FQ89" s="42"/>
      <c r="FR89" s="42"/>
      <c r="FS89" s="42"/>
      <c r="FT89" s="42"/>
      <c r="FU89" s="42"/>
      <c r="FV89" s="42"/>
      <c r="FW89" s="42"/>
      <c r="FX89" s="42"/>
      <c r="FY89" s="42"/>
      <c r="FZ89" s="42"/>
      <c r="GA89" s="42"/>
      <c r="GB89" s="42"/>
      <c r="GC89" s="42"/>
      <c r="GD89" s="42"/>
      <c r="GE89" s="42"/>
      <c r="GF89" s="42"/>
      <c r="GG89" s="42"/>
      <c r="GH89" s="42"/>
      <c r="GI89" s="42"/>
      <c r="GJ89" s="42"/>
      <c r="GK89" s="42"/>
      <c r="GL89" s="42"/>
      <c r="GM89" s="42"/>
      <c r="GN89" s="42"/>
      <c r="GO89" s="42"/>
      <c r="GP89" s="42"/>
      <c r="GQ89" s="42"/>
      <c r="GR89" s="42"/>
      <c r="GS89" s="42"/>
      <c r="GT89" s="42"/>
      <c r="GU89" s="42"/>
      <c r="GV89" s="42"/>
      <c r="GW89" s="42"/>
      <c r="GX89" s="42"/>
      <c r="GY89" s="42"/>
      <c r="GZ89" s="42"/>
      <c r="HA89" s="42"/>
      <c r="HB89" s="42"/>
      <c r="HC89" s="42"/>
      <c r="HD89" s="42"/>
      <c r="HE89" s="42"/>
      <c r="HF89" s="42"/>
      <c r="HG89" s="42"/>
      <c r="HH89" s="42"/>
      <c r="HI89" s="42"/>
      <c r="HJ89" s="42"/>
      <c r="HK89" s="42"/>
      <c r="HL89" s="42"/>
      <c r="HM89" s="42"/>
      <c r="HN89" s="42"/>
      <c r="HO89" s="42"/>
    </row>
    <row r="90" s="4" customFormat="1" ht="20.1" customHeight="1" spans="2:223">
      <c r="B90" s="36">
        <v>14050008</v>
      </c>
      <c r="C90" s="36" t="s">
        <v>141</v>
      </c>
      <c r="D90" s="37">
        <v>1140003</v>
      </c>
      <c r="E90" s="37">
        <v>11042</v>
      </c>
      <c r="F90" s="37">
        <v>1</v>
      </c>
      <c r="G90" s="37">
        <v>20</v>
      </c>
      <c r="H90" s="38">
        <v>0.2</v>
      </c>
      <c r="I90" s="41">
        <v>10</v>
      </c>
      <c r="J90" s="37">
        <v>0</v>
      </c>
      <c r="K90" s="37">
        <v>660</v>
      </c>
      <c r="L90" s="37">
        <f t="shared" si="2"/>
        <v>26</v>
      </c>
      <c r="M90" s="37">
        <v>51</v>
      </c>
      <c r="N90" s="37">
        <v>0</v>
      </c>
      <c r="O90" s="37">
        <v>0</v>
      </c>
      <c r="P90" s="37">
        <f t="shared" si="3"/>
        <v>6</v>
      </c>
      <c r="Q90" s="37">
        <v>11</v>
      </c>
      <c r="R90" s="37">
        <f t="shared" si="4"/>
        <v>6</v>
      </c>
      <c r="S90" s="37">
        <v>11</v>
      </c>
      <c r="T90" s="38">
        <v>0</v>
      </c>
      <c r="U90" s="37">
        <v>0</v>
      </c>
      <c r="V90" s="37">
        <v>0</v>
      </c>
      <c r="W90" s="37">
        <v>0</v>
      </c>
      <c r="X90" s="38">
        <v>0</v>
      </c>
      <c r="Y90" s="38">
        <v>0</v>
      </c>
      <c r="Z90" s="38">
        <v>0</v>
      </c>
      <c r="AA90" s="38">
        <v>0</v>
      </c>
      <c r="AB90" s="38">
        <v>0</v>
      </c>
      <c r="AC90" s="38">
        <v>0</v>
      </c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  <c r="FK90" s="42"/>
      <c r="FL90" s="42"/>
      <c r="FM90" s="42"/>
      <c r="FN90" s="42"/>
      <c r="FO90" s="42"/>
      <c r="FP90" s="42"/>
      <c r="FQ90" s="42"/>
      <c r="FR90" s="42"/>
      <c r="FS90" s="42"/>
      <c r="FT90" s="42"/>
      <c r="FU90" s="42"/>
      <c r="FV90" s="42"/>
      <c r="FW90" s="42"/>
      <c r="FX90" s="42"/>
      <c r="FY90" s="42"/>
      <c r="FZ90" s="42"/>
      <c r="GA90" s="42"/>
      <c r="GB90" s="42"/>
      <c r="GC90" s="42"/>
      <c r="GD90" s="42"/>
      <c r="GE90" s="42"/>
      <c r="GF90" s="42"/>
      <c r="GG90" s="42"/>
      <c r="GH90" s="42"/>
      <c r="GI90" s="42"/>
      <c r="GJ90" s="42"/>
      <c r="GK90" s="42"/>
      <c r="GL90" s="42"/>
      <c r="GM90" s="42"/>
      <c r="GN90" s="42"/>
      <c r="GO90" s="42"/>
      <c r="GP90" s="42"/>
      <c r="GQ90" s="42"/>
      <c r="GR90" s="42"/>
      <c r="GS90" s="42"/>
      <c r="GT90" s="42"/>
      <c r="GU90" s="42"/>
      <c r="GV90" s="42"/>
      <c r="GW90" s="42"/>
      <c r="GX90" s="42"/>
      <c r="GY90" s="42"/>
      <c r="GZ90" s="42"/>
      <c r="HA90" s="42"/>
      <c r="HB90" s="42"/>
      <c r="HC90" s="42"/>
      <c r="HD90" s="42"/>
      <c r="HE90" s="42"/>
      <c r="HF90" s="42"/>
      <c r="HG90" s="42"/>
      <c r="HH90" s="42"/>
      <c r="HI90" s="42"/>
      <c r="HJ90" s="42"/>
      <c r="HK90" s="42"/>
      <c r="HL90" s="42"/>
      <c r="HM90" s="42"/>
      <c r="HN90" s="42"/>
      <c r="HO90" s="42"/>
    </row>
    <row r="91" s="4" customFormat="1" ht="20.1" customHeight="1" spans="2:223">
      <c r="B91" s="36">
        <v>14050009</v>
      </c>
      <c r="C91" s="36" t="s">
        <v>142</v>
      </c>
      <c r="D91" s="37">
        <v>1140003</v>
      </c>
      <c r="E91" s="37">
        <v>0</v>
      </c>
      <c r="F91" s="37">
        <v>1</v>
      </c>
      <c r="G91" s="37">
        <v>20</v>
      </c>
      <c r="H91" s="38">
        <v>0.2</v>
      </c>
      <c r="I91" s="41">
        <v>5</v>
      </c>
      <c r="J91" s="37">
        <v>0</v>
      </c>
      <c r="K91" s="37">
        <v>830</v>
      </c>
      <c r="L91" s="37">
        <f t="shared" si="2"/>
        <v>6</v>
      </c>
      <c r="M91" s="37">
        <v>11</v>
      </c>
      <c r="N91" s="37">
        <v>0</v>
      </c>
      <c r="O91" s="37">
        <v>0</v>
      </c>
      <c r="P91" s="37">
        <f t="shared" si="3"/>
        <v>3</v>
      </c>
      <c r="Q91" s="37">
        <v>6</v>
      </c>
      <c r="R91" s="37">
        <f t="shared" si="4"/>
        <v>3</v>
      </c>
      <c r="S91" s="37">
        <v>6</v>
      </c>
      <c r="T91" s="38">
        <v>0</v>
      </c>
      <c r="U91" s="37">
        <v>0</v>
      </c>
      <c r="V91" s="37">
        <v>0</v>
      </c>
      <c r="W91" s="37">
        <v>0</v>
      </c>
      <c r="X91" s="38">
        <v>0</v>
      </c>
      <c r="Y91" s="38">
        <v>0</v>
      </c>
      <c r="Z91" s="38">
        <v>0</v>
      </c>
      <c r="AA91" s="38">
        <v>0</v>
      </c>
      <c r="AB91" s="38">
        <v>0</v>
      </c>
      <c r="AC91" s="38">
        <v>0</v>
      </c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  <c r="FK91" s="42"/>
      <c r="FL91" s="42"/>
      <c r="FM91" s="42"/>
      <c r="FN91" s="42"/>
      <c r="FO91" s="42"/>
      <c r="FP91" s="42"/>
      <c r="FQ91" s="42"/>
      <c r="FR91" s="42"/>
      <c r="FS91" s="42"/>
      <c r="FT91" s="42"/>
      <c r="FU91" s="42"/>
      <c r="FV91" s="42"/>
      <c r="FW91" s="42"/>
      <c r="FX91" s="42"/>
      <c r="FY91" s="42"/>
      <c r="FZ91" s="42"/>
      <c r="GA91" s="42"/>
      <c r="GB91" s="42"/>
      <c r="GC91" s="42"/>
      <c r="GD91" s="42"/>
      <c r="GE91" s="42"/>
      <c r="GF91" s="42"/>
      <c r="GG91" s="42"/>
      <c r="GH91" s="42"/>
      <c r="GI91" s="42"/>
      <c r="GJ91" s="42"/>
      <c r="GK91" s="42"/>
      <c r="GL91" s="42"/>
      <c r="GM91" s="42"/>
      <c r="GN91" s="42"/>
      <c r="GO91" s="42"/>
      <c r="GP91" s="42"/>
      <c r="GQ91" s="42"/>
      <c r="GR91" s="42"/>
      <c r="GS91" s="42"/>
      <c r="GT91" s="42"/>
      <c r="GU91" s="42"/>
      <c r="GV91" s="42"/>
      <c r="GW91" s="42"/>
      <c r="GX91" s="42"/>
      <c r="GY91" s="42"/>
      <c r="GZ91" s="42"/>
      <c r="HA91" s="42"/>
      <c r="HB91" s="42"/>
      <c r="HC91" s="42"/>
      <c r="HD91" s="42"/>
      <c r="HE91" s="42"/>
      <c r="HF91" s="42"/>
      <c r="HG91" s="42"/>
      <c r="HH91" s="42"/>
      <c r="HI91" s="42"/>
      <c r="HJ91" s="42"/>
      <c r="HK91" s="42"/>
      <c r="HL91" s="42"/>
      <c r="HM91" s="42"/>
      <c r="HN91" s="42"/>
      <c r="HO91" s="42"/>
    </row>
    <row r="92" s="4" customFormat="1" ht="20.1" customHeight="1" spans="2:223">
      <c r="B92" s="36">
        <v>14050010</v>
      </c>
      <c r="C92" s="36" t="s">
        <v>143</v>
      </c>
      <c r="D92" s="37">
        <v>1140003</v>
      </c>
      <c r="E92" s="37">
        <v>0</v>
      </c>
      <c r="F92" s="37">
        <v>1</v>
      </c>
      <c r="G92" s="37">
        <v>20</v>
      </c>
      <c r="H92" s="38">
        <v>0.2</v>
      </c>
      <c r="I92" s="41">
        <v>5</v>
      </c>
      <c r="J92" s="37">
        <v>0</v>
      </c>
      <c r="K92" s="37">
        <v>1380</v>
      </c>
      <c r="L92" s="37">
        <f t="shared" si="2"/>
        <v>11</v>
      </c>
      <c r="M92" s="37">
        <v>21</v>
      </c>
      <c r="N92" s="37">
        <v>0</v>
      </c>
      <c r="O92" s="37">
        <v>0</v>
      </c>
      <c r="P92" s="37">
        <f t="shared" si="3"/>
        <v>5</v>
      </c>
      <c r="Q92" s="37">
        <v>10</v>
      </c>
      <c r="R92" s="37">
        <f t="shared" si="4"/>
        <v>5</v>
      </c>
      <c r="S92" s="37">
        <v>10</v>
      </c>
      <c r="T92" s="38">
        <v>0</v>
      </c>
      <c r="U92" s="37">
        <v>0</v>
      </c>
      <c r="V92" s="37">
        <v>0</v>
      </c>
      <c r="W92" s="37">
        <v>0</v>
      </c>
      <c r="X92" s="38">
        <v>0</v>
      </c>
      <c r="Y92" s="38">
        <v>0</v>
      </c>
      <c r="Z92" s="38">
        <v>0</v>
      </c>
      <c r="AA92" s="38">
        <v>0</v>
      </c>
      <c r="AB92" s="38">
        <v>0</v>
      </c>
      <c r="AC92" s="38">
        <v>0</v>
      </c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  <c r="FK92" s="42"/>
      <c r="FL92" s="42"/>
      <c r="FM92" s="42"/>
      <c r="FN92" s="42"/>
      <c r="FO92" s="42"/>
      <c r="FP92" s="42"/>
      <c r="FQ92" s="42"/>
      <c r="FR92" s="42"/>
      <c r="FS92" s="42"/>
      <c r="FT92" s="42"/>
      <c r="FU92" s="42"/>
      <c r="FV92" s="42"/>
      <c r="FW92" s="42"/>
      <c r="FX92" s="42"/>
      <c r="FY92" s="42"/>
      <c r="FZ92" s="42"/>
      <c r="GA92" s="42"/>
      <c r="GB92" s="42"/>
      <c r="GC92" s="42"/>
      <c r="GD92" s="42"/>
      <c r="GE92" s="42"/>
      <c r="GF92" s="42"/>
      <c r="GG92" s="42"/>
      <c r="GH92" s="42"/>
      <c r="GI92" s="42"/>
      <c r="GJ92" s="42"/>
      <c r="GK92" s="42"/>
      <c r="GL92" s="42"/>
      <c r="GM92" s="42"/>
      <c r="GN92" s="42"/>
      <c r="GO92" s="42"/>
      <c r="GP92" s="42"/>
      <c r="GQ92" s="42"/>
      <c r="GR92" s="42"/>
      <c r="GS92" s="42"/>
      <c r="GT92" s="42"/>
      <c r="GU92" s="42"/>
      <c r="GV92" s="42"/>
      <c r="GW92" s="42"/>
      <c r="GX92" s="42"/>
      <c r="GY92" s="42"/>
      <c r="GZ92" s="42"/>
      <c r="HA92" s="42"/>
      <c r="HB92" s="42"/>
      <c r="HC92" s="42"/>
      <c r="HD92" s="42"/>
      <c r="HE92" s="42"/>
      <c r="HF92" s="42"/>
      <c r="HG92" s="42"/>
      <c r="HH92" s="42"/>
      <c r="HI92" s="42"/>
      <c r="HJ92" s="42"/>
      <c r="HK92" s="42"/>
      <c r="HL92" s="42"/>
      <c r="HM92" s="42"/>
      <c r="HN92" s="42"/>
      <c r="HO92" s="42"/>
    </row>
    <row r="93" s="4" customFormat="1" ht="20.1" customHeight="1" spans="2:223">
      <c r="B93" s="36">
        <v>14050011</v>
      </c>
      <c r="C93" s="36" t="s">
        <v>144</v>
      </c>
      <c r="D93" s="37">
        <v>1140003</v>
      </c>
      <c r="E93" s="37">
        <v>11032</v>
      </c>
      <c r="F93" s="37">
        <v>1</v>
      </c>
      <c r="G93" s="37">
        <v>20</v>
      </c>
      <c r="H93" s="38">
        <v>0.2</v>
      </c>
      <c r="I93" s="41">
        <v>5</v>
      </c>
      <c r="J93" s="37">
        <v>0</v>
      </c>
      <c r="K93" s="37">
        <v>1580</v>
      </c>
      <c r="L93" s="37">
        <f t="shared" si="2"/>
        <v>12</v>
      </c>
      <c r="M93" s="37">
        <v>24</v>
      </c>
      <c r="N93" s="37">
        <v>0</v>
      </c>
      <c r="O93" s="37">
        <v>0</v>
      </c>
      <c r="P93" s="37">
        <f t="shared" si="3"/>
        <v>7</v>
      </c>
      <c r="Q93" s="37">
        <v>13</v>
      </c>
      <c r="R93" s="37">
        <f t="shared" si="4"/>
        <v>7</v>
      </c>
      <c r="S93" s="37">
        <v>13</v>
      </c>
      <c r="T93" s="38">
        <v>0</v>
      </c>
      <c r="U93" s="37">
        <v>0</v>
      </c>
      <c r="V93" s="37">
        <v>0</v>
      </c>
      <c r="W93" s="37">
        <v>0</v>
      </c>
      <c r="X93" s="38">
        <v>0</v>
      </c>
      <c r="Y93" s="38">
        <v>0</v>
      </c>
      <c r="Z93" s="38">
        <v>0</v>
      </c>
      <c r="AA93" s="38">
        <v>0</v>
      </c>
      <c r="AB93" s="38">
        <v>0</v>
      </c>
      <c r="AC93" s="38">
        <v>0</v>
      </c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  <c r="FK93" s="42"/>
      <c r="FL93" s="42"/>
      <c r="FM93" s="42"/>
      <c r="FN93" s="42"/>
      <c r="FO93" s="42"/>
      <c r="FP93" s="42"/>
      <c r="FQ93" s="42"/>
      <c r="FR93" s="42"/>
      <c r="FS93" s="42"/>
      <c r="FT93" s="42"/>
      <c r="FU93" s="42"/>
      <c r="FV93" s="42"/>
      <c r="FW93" s="42"/>
      <c r="FX93" s="42"/>
      <c r="FY93" s="42"/>
      <c r="FZ93" s="42"/>
      <c r="GA93" s="42"/>
      <c r="GB93" s="42"/>
      <c r="GC93" s="42"/>
      <c r="GD93" s="42"/>
      <c r="GE93" s="42"/>
      <c r="GF93" s="42"/>
      <c r="GG93" s="42"/>
      <c r="GH93" s="42"/>
      <c r="GI93" s="42"/>
      <c r="GJ93" s="42"/>
      <c r="GK93" s="42"/>
      <c r="GL93" s="42"/>
      <c r="GM93" s="42"/>
      <c r="GN93" s="42"/>
      <c r="GO93" s="42"/>
      <c r="GP93" s="42"/>
      <c r="GQ93" s="42"/>
      <c r="GR93" s="42"/>
      <c r="GS93" s="42"/>
      <c r="GT93" s="42"/>
      <c r="GU93" s="42"/>
      <c r="GV93" s="42"/>
      <c r="GW93" s="42"/>
      <c r="GX93" s="42"/>
      <c r="GY93" s="42"/>
      <c r="GZ93" s="42"/>
      <c r="HA93" s="42"/>
      <c r="HB93" s="42"/>
      <c r="HC93" s="42"/>
      <c r="HD93" s="42"/>
      <c r="HE93" s="42"/>
      <c r="HF93" s="42"/>
      <c r="HG93" s="42"/>
      <c r="HH93" s="42"/>
      <c r="HI93" s="42"/>
      <c r="HJ93" s="42"/>
      <c r="HK93" s="42"/>
      <c r="HL93" s="42"/>
      <c r="HM93" s="42"/>
      <c r="HN93" s="42"/>
      <c r="HO93" s="42"/>
    </row>
    <row r="94" s="4" customFormat="1" ht="20.1" customHeight="1" spans="2:223">
      <c r="B94" s="36">
        <v>14050012</v>
      </c>
      <c r="C94" s="36" t="s">
        <v>145</v>
      </c>
      <c r="D94" s="37">
        <v>1140003</v>
      </c>
      <c r="E94" s="37">
        <v>11043</v>
      </c>
      <c r="F94" s="37">
        <v>1</v>
      </c>
      <c r="G94" s="37">
        <v>20</v>
      </c>
      <c r="H94" s="38">
        <v>0.2</v>
      </c>
      <c r="I94" s="41">
        <v>10</v>
      </c>
      <c r="J94" s="37">
        <v>0</v>
      </c>
      <c r="K94" s="37">
        <v>1970</v>
      </c>
      <c r="L94" s="37">
        <f t="shared" si="2"/>
        <v>15</v>
      </c>
      <c r="M94" s="37">
        <v>29</v>
      </c>
      <c r="N94" s="37">
        <v>0</v>
      </c>
      <c r="O94" s="37">
        <v>0</v>
      </c>
      <c r="P94" s="37">
        <f t="shared" si="3"/>
        <v>10</v>
      </c>
      <c r="Q94" s="37">
        <v>19</v>
      </c>
      <c r="R94" s="37">
        <f t="shared" si="4"/>
        <v>10</v>
      </c>
      <c r="S94" s="37">
        <v>19</v>
      </c>
      <c r="T94" s="38">
        <v>0</v>
      </c>
      <c r="U94" s="37">
        <v>0</v>
      </c>
      <c r="V94" s="37">
        <v>0</v>
      </c>
      <c r="W94" s="37">
        <v>0</v>
      </c>
      <c r="X94" s="38">
        <v>0</v>
      </c>
      <c r="Y94" s="38">
        <v>0</v>
      </c>
      <c r="Z94" s="38">
        <v>0</v>
      </c>
      <c r="AA94" s="38">
        <v>0</v>
      </c>
      <c r="AB94" s="38">
        <v>0</v>
      </c>
      <c r="AC94" s="38">
        <v>0</v>
      </c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</row>
    <row r="95" ht="20.1" customHeight="1" spans="2:223">
      <c r="B95" s="11">
        <v>14060001</v>
      </c>
      <c r="C95" s="11" t="s">
        <v>146</v>
      </c>
      <c r="D95" s="15">
        <v>1140002</v>
      </c>
      <c r="E95" s="15">
        <v>0</v>
      </c>
      <c r="F95" s="15">
        <v>1</v>
      </c>
      <c r="G95" s="15">
        <v>20</v>
      </c>
      <c r="H95" s="16">
        <v>0.2</v>
      </c>
      <c r="I95" s="26">
        <v>5</v>
      </c>
      <c r="J95" s="15">
        <v>0</v>
      </c>
      <c r="K95" s="15">
        <v>0</v>
      </c>
      <c r="L95" s="15">
        <f t="shared" si="2"/>
        <v>13</v>
      </c>
      <c r="M95" s="15">
        <v>25</v>
      </c>
      <c r="N95" s="15">
        <v>0</v>
      </c>
      <c r="O95" s="15">
        <v>0</v>
      </c>
      <c r="P95" s="15">
        <f t="shared" si="3"/>
        <v>4</v>
      </c>
      <c r="Q95" s="15">
        <v>8</v>
      </c>
      <c r="R95" s="15">
        <f t="shared" si="4"/>
        <v>0</v>
      </c>
      <c r="S95" s="15">
        <v>0</v>
      </c>
      <c r="T95" s="16">
        <v>0</v>
      </c>
      <c r="U95" s="15">
        <v>0</v>
      </c>
      <c r="V95" s="15">
        <v>0</v>
      </c>
      <c r="W95" s="15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</row>
    <row r="96" ht="20.1" customHeight="1" spans="2:223">
      <c r="B96" s="11">
        <v>14060002</v>
      </c>
      <c r="C96" s="11" t="s">
        <v>147</v>
      </c>
      <c r="D96" s="15">
        <v>1140002</v>
      </c>
      <c r="E96" s="15">
        <v>0</v>
      </c>
      <c r="F96" s="15">
        <v>1</v>
      </c>
      <c r="G96" s="15">
        <v>20</v>
      </c>
      <c r="H96" s="16">
        <v>0.2</v>
      </c>
      <c r="I96" s="26">
        <v>5</v>
      </c>
      <c r="J96" s="15">
        <v>0</v>
      </c>
      <c r="K96" s="15">
        <v>0</v>
      </c>
      <c r="L96" s="15">
        <f t="shared" si="2"/>
        <v>25</v>
      </c>
      <c r="M96" s="15">
        <v>50</v>
      </c>
      <c r="N96" s="15">
        <v>0</v>
      </c>
      <c r="O96" s="15">
        <v>0</v>
      </c>
      <c r="P96" s="15">
        <f t="shared" si="3"/>
        <v>6</v>
      </c>
      <c r="Q96" s="15">
        <v>12</v>
      </c>
      <c r="R96" s="15">
        <f t="shared" si="4"/>
        <v>0</v>
      </c>
      <c r="S96" s="15">
        <v>0</v>
      </c>
      <c r="T96" s="16">
        <v>0</v>
      </c>
      <c r="U96" s="15">
        <v>0</v>
      </c>
      <c r="V96" s="15">
        <v>0</v>
      </c>
      <c r="W96" s="15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</row>
    <row r="97" ht="20.1" customHeight="1" spans="2:223">
      <c r="B97" s="11">
        <v>14060003</v>
      </c>
      <c r="C97" s="11" t="s">
        <v>148</v>
      </c>
      <c r="D97" s="15">
        <v>1140002</v>
      </c>
      <c r="E97" s="15">
        <v>0</v>
      </c>
      <c r="F97" s="15">
        <v>1</v>
      </c>
      <c r="G97" s="15">
        <v>20</v>
      </c>
      <c r="H97" s="16">
        <v>0.2</v>
      </c>
      <c r="I97" s="26">
        <v>5</v>
      </c>
      <c r="J97" s="15">
        <v>0</v>
      </c>
      <c r="K97" s="15">
        <v>0</v>
      </c>
      <c r="L97" s="15">
        <f t="shared" si="2"/>
        <v>30</v>
      </c>
      <c r="M97" s="15">
        <v>60</v>
      </c>
      <c r="N97" s="15">
        <v>0</v>
      </c>
      <c r="O97" s="15">
        <v>0</v>
      </c>
      <c r="P97" s="15">
        <f t="shared" si="3"/>
        <v>8</v>
      </c>
      <c r="Q97" s="15">
        <v>15</v>
      </c>
      <c r="R97" s="15">
        <f t="shared" si="4"/>
        <v>0</v>
      </c>
      <c r="S97" s="15">
        <v>0</v>
      </c>
      <c r="T97" s="16">
        <v>0</v>
      </c>
      <c r="U97" s="15">
        <v>0</v>
      </c>
      <c r="V97" s="15">
        <v>0</v>
      </c>
      <c r="W97" s="15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</row>
    <row r="98" ht="20.1" customHeight="1" spans="2:223">
      <c r="B98" s="11">
        <v>14060004</v>
      </c>
      <c r="C98" s="11" t="s">
        <v>149</v>
      </c>
      <c r="D98" s="15">
        <v>1140002</v>
      </c>
      <c r="E98" s="15">
        <v>0</v>
      </c>
      <c r="F98" s="15">
        <v>1</v>
      </c>
      <c r="G98" s="15">
        <v>20</v>
      </c>
      <c r="H98" s="16">
        <v>0.2</v>
      </c>
      <c r="I98" s="26">
        <v>10</v>
      </c>
      <c r="J98" s="15">
        <v>0</v>
      </c>
      <c r="K98" s="15">
        <v>0</v>
      </c>
      <c r="L98" s="15">
        <f t="shared" si="2"/>
        <v>38</v>
      </c>
      <c r="M98" s="15">
        <v>75</v>
      </c>
      <c r="N98" s="15">
        <v>0</v>
      </c>
      <c r="O98" s="15">
        <v>0</v>
      </c>
      <c r="P98" s="15">
        <f t="shared" si="3"/>
        <v>12</v>
      </c>
      <c r="Q98" s="15">
        <v>23</v>
      </c>
      <c r="R98" s="15">
        <f t="shared" si="4"/>
        <v>0</v>
      </c>
      <c r="S98" s="15">
        <v>0</v>
      </c>
      <c r="T98" s="16">
        <v>0</v>
      </c>
      <c r="U98" s="15">
        <v>0</v>
      </c>
      <c r="V98" s="15">
        <v>0</v>
      </c>
      <c r="W98" s="15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</row>
    <row r="99" ht="20.1" customHeight="1" spans="2:223">
      <c r="B99" s="11">
        <v>14060005</v>
      </c>
      <c r="C99" s="39" t="s">
        <v>150</v>
      </c>
      <c r="D99" s="15">
        <v>1140002</v>
      </c>
      <c r="E99" s="15">
        <v>11051</v>
      </c>
      <c r="F99" s="15">
        <v>1</v>
      </c>
      <c r="G99" s="15">
        <v>20</v>
      </c>
      <c r="H99" s="16">
        <v>0.2</v>
      </c>
      <c r="I99" s="26">
        <v>10</v>
      </c>
      <c r="J99" s="15">
        <v>0</v>
      </c>
      <c r="K99" s="15">
        <v>0</v>
      </c>
      <c r="L99" s="15">
        <v>50</v>
      </c>
      <c r="M99" s="15">
        <v>95</v>
      </c>
      <c r="N99" s="15">
        <v>0</v>
      </c>
      <c r="O99" s="15">
        <v>0</v>
      </c>
      <c r="P99" s="15">
        <v>18</v>
      </c>
      <c r="Q99" s="15">
        <v>32</v>
      </c>
      <c r="R99" s="15">
        <f t="shared" ref="R99:R100" si="11">ROUND(S99/2,0)</f>
        <v>0</v>
      </c>
      <c r="S99" s="15">
        <v>0</v>
      </c>
      <c r="T99" s="16">
        <v>0</v>
      </c>
      <c r="U99" s="15">
        <v>0</v>
      </c>
      <c r="V99" s="15">
        <v>0</v>
      </c>
      <c r="W99" s="15">
        <v>0</v>
      </c>
      <c r="X99" s="16">
        <v>0</v>
      </c>
      <c r="Y99" s="16">
        <v>0</v>
      </c>
      <c r="Z99" s="16">
        <v>0</v>
      </c>
      <c r="AA99" s="16">
        <v>205001</v>
      </c>
      <c r="AB99" s="16">
        <v>500</v>
      </c>
      <c r="AC99" s="16">
        <v>1</v>
      </c>
      <c r="AD99" s="16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</row>
    <row r="100" ht="20.1" customHeight="1" spans="2:223">
      <c r="B100" s="11">
        <v>14060006</v>
      </c>
      <c r="C100" s="40" t="s">
        <v>151</v>
      </c>
      <c r="D100" s="15">
        <v>1140002</v>
      </c>
      <c r="E100" s="15">
        <v>0</v>
      </c>
      <c r="F100" s="15">
        <v>1</v>
      </c>
      <c r="G100" s="15">
        <v>20</v>
      </c>
      <c r="H100" s="16">
        <v>0.2</v>
      </c>
      <c r="I100" s="26">
        <v>10</v>
      </c>
      <c r="J100" s="15">
        <v>0</v>
      </c>
      <c r="K100" s="15">
        <v>0</v>
      </c>
      <c r="L100" s="15">
        <v>40</v>
      </c>
      <c r="M100" s="15">
        <v>60</v>
      </c>
      <c r="N100" s="15">
        <v>0</v>
      </c>
      <c r="O100" s="15">
        <v>0</v>
      </c>
      <c r="P100" s="15">
        <f t="shared" ref="P100" si="12">ROUND(Q100/2,0)</f>
        <v>12</v>
      </c>
      <c r="Q100" s="15">
        <v>23</v>
      </c>
      <c r="R100" s="15">
        <f t="shared" si="11"/>
        <v>0</v>
      </c>
      <c r="S100" s="15">
        <v>0</v>
      </c>
      <c r="T100" s="16">
        <v>0</v>
      </c>
      <c r="U100" s="15">
        <v>0</v>
      </c>
      <c r="V100" s="15">
        <v>0</v>
      </c>
      <c r="W100" s="15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</row>
    <row r="101" ht="20.1" customHeight="1" spans="2:223">
      <c r="B101" s="11">
        <v>14070001</v>
      </c>
      <c r="C101" s="11" t="s">
        <v>152</v>
      </c>
      <c r="D101" s="15">
        <v>1140002</v>
      </c>
      <c r="E101" s="15">
        <v>0</v>
      </c>
      <c r="F101" s="15">
        <v>1</v>
      </c>
      <c r="G101" s="15">
        <v>20</v>
      </c>
      <c r="H101" s="16">
        <v>0.2</v>
      </c>
      <c r="I101" s="26">
        <v>5</v>
      </c>
      <c r="J101" s="15">
        <v>0</v>
      </c>
      <c r="K101" s="15">
        <v>0</v>
      </c>
      <c r="L101" s="15">
        <f t="shared" si="2"/>
        <v>13</v>
      </c>
      <c r="M101" s="15">
        <v>25</v>
      </c>
      <c r="N101" s="15">
        <v>0</v>
      </c>
      <c r="O101" s="15">
        <v>0</v>
      </c>
      <c r="P101" s="15">
        <f t="shared" si="3"/>
        <v>0</v>
      </c>
      <c r="Q101" s="15">
        <v>0</v>
      </c>
      <c r="R101" s="15">
        <f t="shared" si="4"/>
        <v>4</v>
      </c>
      <c r="S101" s="15">
        <v>8</v>
      </c>
      <c r="T101" s="16">
        <v>0</v>
      </c>
      <c r="U101" s="15">
        <v>0</v>
      </c>
      <c r="V101" s="15">
        <v>0</v>
      </c>
      <c r="W101" s="15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</row>
    <row r="102" ht="20.1" customHeight="1" spans="2:223">
      <c r="B102" s="11">
        <v>14070002</v>
      </c>
      <c r="C102" s="11" t="s">
        <v>153</v>
      </c>
      <c r="D102" s="15">
        <v>1140002</v>
      </c>
      <c r="E102" s="15">
        <v>0</v>
      </c>
      <c r="F102" s="15">
        <v>1</v>
      </c>
      <c r="G102" s="15">
        <v>20</v>
      </c>
      <c r="H102" s="16">
        <v>0.2</v>
      </c>
      <c r="I102" s="26">
        <v>5</v>
      </c>
      <c r="J102" s="15">
        <v>0</v>
      </c>
      <c r="K102" s="15">
        <v>0</v>
      </c>
      <c r="L102" s="15">
        <f t="shared" ref="L102:L181" si="13">ROUND(M102/2,0)</f>
        <v>25</v>
      </c>
      <c r="M102" s="15">
        <v>50</v>
      </c>
      <c r="N102" s="15">
        <v>0</v>
      </c>
      <c r="O102" s="15">
        <v>0</v>
      </c>
      <c r="P102" s="15">
        <f t="shared" ref="P102:P181" si="14">ROUND(Q102/2,0)</f>
        <v>0</v>
      </c>
      <c r="Q102" s="15">
        <v>0</v>
      </c>
      <c r="R102" s="15">
        <f t="shared" ref="R102:R181" si="15">ROUND(S102/2,0)</f>
        <v>6</v>
      </c>
      <c r="S102" s="15">
        <v>12</v>
      </c>
      <c r="T102" s="16">
        <v>0</v>
      </c>
      <c r="U102" s="15">
        <v>0</v>
      </c>
      <c r="V102" s="15">
        <v>0</v>
      </c>
      <c r="W102" s="15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</row>
    <row r="103" ht="20.1" customHeight="1" spans="2:223">
      <c r="B103" s="11">
        <v>14070003</v>
      </c>
      <c r="C103" s="11" t="s">
        <v>154</v>
      </c>
      <c r="D103" s="15">
        <v>1140002</v>
      </c>
      <c r="E103" s="15">
        <v>0</v>
      </c>
      <c r="F103" s="15">
        <v>1</v>
      </c>
      <c r="G103" s="15">
        <v>20</v>
      </c>
      <c r="H103" s="16">
        <v>0.2</v>
      </c>
      <c r="I103" s="26">
        <v>10</v>
      </c>
      <c r="J103" s="15">
        <v>0</v>
      </c>
      <c r="K103" s="15">
        <v>0</v>
      </c>
      <c r="L103" s="15">
        <f t="shared" si="13"/>
        <v>30</v>
      </c>
      <c r="M103" s="15">
        <v>60</v>
      </c>
      <c r="N103" s="15">
        <v>0</v>
      </c>
      <c r="O103" s="15">
        <v>0</v>
      </c>
      <c r="P103" s="15">
        <f t="shared" si="14"/>
        <v>0</v>
      </c>
      <c r="Q103" s="15">
        <v>0</v>
      </c>
      <c r="R103" s="15">
        <f t="shared" si="15"/>
        <v>8</v>
      </c>
      <c r="S103" s="15">
        <v>15</v>
      </c>
      <c r="T103" s="16">
        <v>0</v>
      </c>
      <c r="U103" s="15">
        <v>0</v>
      </c>
      <c r="V103" s="15">
        <v>0</v>
      </c>
      <c r="W103" s="15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</row>
    <row r="104" ht="20.1" customHeight="1" spans="2:223">
      <c r="B104" s="11">
        <v>14070004</v>
      </c>
      <c r="C104" s="11" t="s">
        <v>155</v>
      </c>
      <c r="D104" s="15">
        <v>1140002</v>
      </c>
      <c r="E104" s="15">
        <v>0</v>
      </c>
      <c r="F104" s="15">
        <v>1</v>
      </c>
      <c r="G104" s="15">
        <v>20</v>
      </c>
      <c r="H104" s="16">
        <v>0.2</v>
      </c>
      <c r="I104" s="26">
        <v>10</v>
      </c>
      <c r="J104" s="15">
        <v>0</v>
      </c>
      <c r="K104" s="15">
        <v>0</v>
      </c>
      <c r="L104" s="15">
        <f t="shared" si="13"/>
        <v>38</v>
      </c>
      <c r="M104" s="15">
        <v>75</v>
      </c>
      <c r="N104" s="15">
        <v>0</v>
      </c>
      <c r="O104" s="15">
        <v>0</v>
      </c>
      <c r="P104" s="15">
        <f t="shared" si="14"/>
        <v>0</v>
      </c>
      <c r="Q104" s="15">
        <v>0</v>
      </c>
      <c r="R104" s="15">
        <f t="shared" si="15"/>
        <v>12</v>
      </c>
      <c r="S104" s="15">
        <v>23</v>
      </c>
      <c r="T104" s="16">
        <v>0</v>
      </c>
      <c r="U104" s="15">
        <v>0</v>
      </c>
      <c r="V104" s="15">
        <v>0</v>
      </c>
      <c r="W104" s="15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</row>
    <row r="105" ht="20.1" customHeight="1" spans="2:223">
      <c r="B105" s="11">
        <v>14080001</v>
      </c>
      <c r="C105" s="11" t="s">
        <v>156</v>
      </c>
      <c r="D105" s="15">
        <v>1140002</v>
      </c>
      <c r="E105" s="15">
        <v>0</v>
      </c>
      <c r="F105" s="15">
        <v>1</v>
      </c>
      <c r="G105" s="15">
        <v>20</v>
      </c>
      <c r="H105" s="16">
        <v>0.2</v>
      </c>
      <c r="I105" s="26">
        <v>5</v>
      </c>
      <c r="J105" s="15">
        <v>0</v>
      </c>
      <c r="K105" s="15">
        <v>0</v>
      </c>
      <c r="L105" s="15">
        <f t="shared" si="13"/>
        <v>5</v>
      </c>
      <c r="M105" s="15">
        <v>10</v>
      </c>
      <c r="N105" s="15">
        <v>0</v>
      </c>
      <c r="O105" s="15">
        <v>0</v>
      </c>
      <c r="P105" s="15">
        <f t="shared" si="14"/>
        <v>0</v>
      </c>
      <c r="Q105" s="15">
        <v>0</v>
      </c>
      <c r="R105" s="15">
        <f t="shared" si="15"/>
        <v>0</v>
      </c>
      <c r="S105" s="15">
        <v>0</v>
      </c>
      <c r="T105" s="16">
        <v>0</v>
      </c>
      <c r="U105" s="15">
        <v>0</v>
      </c>
      <c r="V105" s="15">
        <v>0</v>
      </c>
      <c r="W105" s="15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</row>
    <row r="106" ht="20.1" customHeight="1" spans="2:223">
      <c r="B106" s="11">
        <v>14080002</v>
      </c>
      <c r="C106" s="11" t="s">
        <v>157</v>
      </c>
      <c r="D106" s="15">
        <v>1140002</v>
      </c>
      <c r="E106" s="15">
        <v>0</v>
      </c>
      <c r="F106" s="15">
        <v>1</v>
      </c>
      <c r="G106" s="15">
        <v>20</v>
      </c>
      <c r="H106" s="16">
        <v>0.2</v>
      </c>
      <c r="I106" s="26">
        <v>5</v>
      </c>
      <c r="J106" s="15">
        <v>0</v>
      </c>
      <c r="K106" s="15">
        <v>0</v>
      </c>
      <c r="L106" s="15">
        <f t="shared" si="13"/>
        <v>8</v>
      </c>
      <c r="M106" s="15">
        <v>15</v>
      </c>
      <c r="N106" s="15">
        <v>0</v>
      </c>
      <c r="O106" s="15">
        <v>0</v>
      </c>
      <c r="P106" s="15">
        <f t="shared" si="14"/>
        <v>0</v>
      </c>
      <c r="Q106" s="15">
        <v>0</v>
      </c>
      <c r="R106" s="15">
        <f t="shared" si="15"/>
        <v>0</v>
      </c>
      <c r="S106" s="15">
        <v>0</v>
      </c>
      <c r="T106" s="16">
        <v>0</v>
      </c>
      <c r="U106" s="15">
        <v>0</v>
      </c>
      <c r="V106" s="15">
        <v>0</v>
      </c>
      <c r="W106" s="15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</row>
    <row r="107" ht="20.1" customHeight="1" spans="2:223">
      <c r="B107" s="11">
        <v>14080003</v>
      </c>
      <c r="C107" s="11" t="s">
        <v>158</v>
      </c>
      <c r="D107" s="15">
        <v>1140002</v>
      </c>
      <c r="E107" s="15">
        <v>0</v>
      </c>
      <c r="F107" s="15">
        <v>1</v>
      </c>
      <c r="G107" s="15">
        <v>20</v>
      </c>
      <c r="H107" s="16">
        <v>0.2</v>
      </c>
      <c r="I107" s="26">
        <v>10</v>
      </c>
      <c r="J107" s="15">
        <v>0</v>
      </c>
      <c r="K107" s="15">
        <v>0</v>
      </c>
      <c r="L107" s="15">
        <f t="shared" si="13"/>
        <v>10</v>
      </c>
      <c r="M107" s="15">
        <v>20</v>
      </c>
      <c r="N107" s="15">
        <v>0</v>
      </c>
      <c r="O107" s="15">
        <v>0</v>
      </c>
      <c r="P107" s="15">
        <f t="shared" si="14"/>
        <v>0</v>
      </c>
      <c r="Q107" s="15">
        <v>0</v>
      </c>
      <c r="R107" s="15">
        <f t="shared" si="15"/>
        <v>0</v>
      </c>
      <c r="S107" s="15">
        <v>0</v>
      </c>
      <c r="T107" s="16">
        <v>0</v>
      </c>
      <c r="U107" s="15">
        <v>0</v>
      </c>
      <c r="V107" s="15">
        <v>0</v>
      </c>
      <c r="W107" s="15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</row>
    <row r="108" s="3" customFormat="1" ht="20.1" customHeight="1" spans="2:223">
      <c r="B108" s="20">
        <v>14080004</v>
      </c>
      <c r="C108" s="21" t="s">
        <v>159</v>
      </c>
      <c r="D108" s="22">
        <v>1140002</v>
      </c>
      <c r="E108" s="22">
        <v>0</v>
      </c>
      <c r="F108" s="22">
        <v>1</v>
      </c>
      <c r="G108" s="22">
        <v>20</v>
      </c>
      <c r="H108" s="23">
        <v>0.2</v>
      </c>
      <c r="I108" s="28">
        <v>10</v>
      </c>
      <c r="J108" s="22">
        <v>0</v>
      </c>
      <c r="K108" s="22">
        <v>0</v>
      </c>
      <c r="L108" s="22">
        <f t="shared" ref="L108" si="16">ROUND(M108/2,0)</f>
        <v>13</v>
      </c>
      <c r="M108" s="22">
        <v>25</v>
      </c>
      <c r="N108" s="22">
        <v>0</v>
      </c>
      <c r="O108" s="22">
        <v>0</v>
      </c>
      <c r="P108" s="22">
        <f t="shared" ref="P108" si="17">ROUND(Q108/2,0)</f>
        <v>0</v>
      </c>
      <c r="Q108" s="22">
        <v>0</v>
      </c>
      <c r="R108" s="22">
        <f t="shared" ref="R108" si="18">ROUND(S108/2,0)</f>
        <v>0</v>
      </c>
      <c r="S108" s="22">
        <v>0</v>
      </c>
      <c r="T108" s="23">
        <v>0</v>
      </c>
      <c r="U108" s="22">
        <v>0</v>
      </c>
      <c r="V108" s="22">
        <v>0</v>
      </c>
      <c r="W108" s="22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</row>
    <row r="109" ht="20.1" customHeight="1" spans="2:223">
      <c r="B109" s="11">
        <v>14090001</v>
      </c>
      <c r="C109" s="11" t="s">
        <v>160</v>
      </c>
      <c r="D109" s="15">
        <v>1140001</v>
      </c>
      <c r="E109" s="15">
        <v>0</v>
      </c>
      <c r="F109" s="15">
        <v>1</v>
      </c>
      <c r="G109" s="15">
        <v>20</v>
      </c>
      <c r="H109" s="16">
        <v>0.2</v>
      </c>
      <c r="I109" s="26">
        <v>5</v>
      </c>
      <c r="J109" s="15">
        <v>0</v>
      </c>
      <c r="K109" s="15">
        <v>840</v>
      </c>
      <c r="L109" s="15">
        <f t="shared" si="13"/>
        <v>0</v>
      </c>
      <c r="M109" s="15">
        <v>0</v>
      </c>
      <c r="N109" s="15">
        <v>0</v>
      </c>
      <c r="O109" s="15">
        <v>0</v>
      </c>
      <c r="P109" s="15">
        <f t="shared" si="14"/>
        <v>0</v>
      </c>
      <c r="Q109" s="15">
        <v>0</v>
      </c>
      <c r="R109" s="15">
        <f t="shared" si="15"/>
        <v>0</v>
      </c>
      <c r="S109" s="15">
        <v>0</v>
      </c>
      <c r="T109" s="16">
        <v>0</v>
      </c>
      <c r="U109" s="15">
        <v>0</v>
      </c>
      <c r="V109" s="15">
        <v>0</v>
      </c>
      <c r="W109" s="15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</row>
    <row r="110" ht="20.1" customHeight="1" spans="2:223">
      <c r="B110" s="11">
        <v>14090002</v>
      </c>
      <c r="C110" s="11" t="s">
        <v>161</v>
      </c>
      <c r="D110" s="15">
        <v>1140001</v>
      </c>
      <c r="E110" s="15">
        <v>0</v>
      </c>
      <c r="F110" s="15">
        <v>1</v>
      </c>
      <c r="G110" s="15">
        <v>20</v>
      </c>
      <c r="H110" s="16">
        <v>0.2</v>
      </c>
      <c r="I110" s="26">
        <v>5</v>
      </c>
      <c r="J110" s="15">
        <v>0</v>
      </c>
      <c r="K110" s="15">
        <v>1580</v>
      </c>
      <c r="L110" s="15">
        <f t="shared" si="13"/>
        <v>0</v>
      </c>
      <c r="M110" s="15">
        <v>0</v>
      </c>
      <c r="N110" s="15">
        <v>0</v>
      </c>
      <c r="O110" s="15">
        <v>0</v>
      </c>
      <c r="P110" s="15">
        <f t="shared" si="14"/>
        <v>0</v>
      </c>
      <c r="Q110" s="15">
        <v>0</v>
      </c>
      <c r="R110" s="15">
        <f t="shared" si="15"/>
        <v>0</v>
      </c>
      <c r="S110" s="15">
        <v>0</v>
      </c>
      <c r="T110" s="16">
        <v>0</v>
      </c>
      <c r="U110" s="15">
        <v>0</v>
      </c>
      <c r="V110" s="15">
        <v>0</v>
      </c>
      <c r="W110" s="15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</row>
    <row r="111" ht="20.1" customHeight="1" spans="2:223">
      <c r="B111" s="11">
        <v>14090003</v>
      </c>
      <c r="C111" s="11" t="s">
        <v>162</v>
      </c>
      <c r="D111" s="15">
        <v>1140001</v>
      </c>
      <c r="E111" s="15">
        <v>0</v>
      </c>
      <c r="F111" s="15">
        <v>1</v>
      </c>
      <c r="G111" s="15">
        <v>20</v>
      </c>
      <c r="H111" s="16">
        <v>0.2</v>
      </c>
      <c r="I111" s="26">
        <v>10</v>
      </c>
      <c r="J111" s="15">
        <v>0</v>
      </c>
      <c r="K111" s="15">
        <v>2100</v>
      </c>
      <c r="L111" s="15">
        <f t="shared" si="13"/>
        <v>0</v>
      </c>
      <c r="M111" s="15">
        <v>0</v>
      </c>
      <c r="N111" s="15">
        <v>0</v>
      </c>
      <c r="O111" s="15">
        <v>0</v>
      </c>
      <c r="P111" s="15">
        <f t="shared" si="14"/>
        <v>0</v>
      </c>
      <c r="Q111" s="15">
        <v>0</v>
      </c>
      <c r="R111" s="15">
        <f t="shared" si="15"/>
        <v>0</v>
      </c>
      <c r="S111" s="15">
        <v>0</v>
      </c>
      <c r="T111" s="16">
        <v>0</v>
      </c>
      <c r="U111" s="15">
        <v>0</v>
      </c>
      <c r="V111" s="15">
        <v>0</v>
      </c>
      <c r="W111" s="15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</row>
    <row r="112" s="3" customFormat="1" ht="20.1" customHeight="1" spans="2:223">
      <c r="B112" s="20">
        <v>14090004</v>
      </c>
      <c r="C112" s="21" t="s">
        <v>163</v>
      </c>
      <c r="D112" s="22">
        <v>1140001</v>
      </c>
      <c r="E112" s="22">
        <v>0</v>
      </c>
      <c r="F112" s="22">
        <v>1</v>
      </c>
      <c r="G112" s="22">
        <v>20</v>
      </c>
      <c r="H112" s="23">
        <v>0.2</v>
      </c>
      <c r="I112" s="28">
        <v>10</v>
      </c>
      <c r="J112" s="22">
        <v>0</v>
      </c>
      <c r="K112" s="22">
        <v>2500</v>
      </c>
      <c r="L112" s="22">
        <f t="shared" ref="L112" si="19">ROUND(M112/2,0)</f>
        <v>0</v>
      </c>
      <c r="M112" s="22">
        <v>0</v>
      </c>
      <c r="N112" s="22">
        <v>0</v>
      </c>
      <c r="O112" s="22">
        <v>0</v>
      </c>
      <c r="P112" s="22">
        <f t="shared" ref="P112" si="20">ROUND(Q112/2,0)</f>
        <v>0</v>
      </c>
      <c r="Q112" s="22">
        <v>0</v>
      </c>
      <c r="R112" s="22">
        <f t="shared" ref="R112" si="21">ROUND(S112/2,0)</f>
        <v>0</v>
      </c>
      <c r="S112" s="22">
        <v>0</v>
      </c>
      <c r="T112" s="23">
        <v>0</v>
      </c>
      <c r="U112" s="22">
        <v>0</v>
      </c>
      <c r="V112" s="22">
        <v>0</v>
      </c>
      <c r="W112" s="22">
        <v>0</v>
      </c>
      <c r="X112" s="23">
        <v>0</v>
      </c>
      <c r="Y112" s="23">
        <v>0</v>
      </c>
      <c r="Z112" s="23">
        <v>0</v>
      </c>
      <c r="AA112" s="23">
        <v>100202</v>
      </c>
      <c r="AB112" s="23">
        <v>300</v>
      </c>
      <c r="AC112" s="23">
        <v>1</v>
      </c>
      <c r="AD112" s="23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</row>
    <row r="113" ht="20.1" customHeight="1" spans="2:223">
      <c r="B113" s="11">
        <v>14100001</v>
      </c>
      <c r="C113" s="11" t="s">
        <v>164</v>
      </c>
      <c r="D113" s="15">
        <v>1140001</v>
      </c>
      <c r="E113" s="15">
        <v>0</v>
      </c>
      <c r="F113" s="15">
        <v>1</v>
      </c>
      <c r="G113" s="15">
        <v>20</v>
      </c>
      <c r="H113" s="16">
        <v>0.2</v>
      </c>
      <c r="I113" s="26">
        <v>5</v>
      </c>
      <c r="J113" s="15">
        <v>0</v>
      </c>
      <c r="K113" s="15">
        <v>0</v>
      </c>
      <c r="L113" s="15">
        <f t="shared" si="13"/>
        <v>35</v>
      </c>
      <c r="M113" s="15">
        <v>70</v>
      </c>
      <c r="N113" s="15">
        <v>0</v>
      </c>
      <c r="O113" s="15">
        <v>0</v>
      </c>
      <c r="P113" s="15">
        <f t="shared" si="14"/>
        <v>0</v>
      </c>
      <c r="Q113" s="15">
        <v>0</v>
      </c>
      <c r="R113" s="15">
        <f t="shared" si="15"/>
        <v>0</v>
      </c>
      <c r="S113" s="15">
        <v>0</v>
      </c>
      <c r="T113" s="16">
        <v>0</v>
      </c>
      <c r="U113" s="15">
        <v>0</v>
      </c>
      <c r="V113" s="15">
        <v>0</v>
      </c>
      <c r="W113" s="15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</row>
    <row r="114" ht="20.1" customHeight="1" spans="2:223">
      <c r="B114" s="11">
        <v>14100002</v>
      </c>
      <c r="C114" s="11" t="s">
        <v>165</v>
      </c>
      <c r="D114" s="15">
        <v>1140001</v>
      </c>
      <c r="E114" s="15">
        <v>0</v>
      </c>
      <c r="F114" s="15">
        <v>1</v>
      </c>
      <c r="G114" s="15">
        <v>20</v>
      </c>
      <c r="H114" s="16">
        <v>0.2</v>
      </c>
      <c r="I114" s="26">
        <v>5</v>
      </c>
      <c r="J114" s="15">
        <v>0</v>
      </c>
      <c r="K114" s="15">
        <v>0</v>
      </c>
      <c r="L114" s="15">
        <f t="shared" si="13"/>
        <v>65</v>
      </c>
      <c r="M114" s="15">
        <v>130</v>
      </c>
      <c r="N114" s="15">
        <v>0</v>
      </c>
      <c r="O114" s="15">
        <v>0</v>
      </c>
      <c r="P114" s="15">
        <f t="shared" si="14"/>
        <v>0</v>
      </c>
      <c r="Q114" s="15">
        <v>0</v>
      </c>
      <c r="R114" s="15">
        <f t="shared" si="15"/>
        <v>0</v>
      </c>
      <c r="S114" s="15">
        <v>0</v>
      </c>
      <c r="T114" s="16">
        <v>0</v>
      </c>
      <c r="U114" s="15">
        <v>0</v>
      </c>
      <c r="V114" s="15">
        <v>0</v>
      </c>
      <c r="W114" s="15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</row>
    <row r="115" ht="20.1" customHeight="1" spans="2:223">
      <c r="B115" s="11">
        <v>14100003</v>
      </c>
      <c r="C115" s="11" t="s">
        <v>166</v>
      </c>
      <c r="D115" s="15">
        <v>1140001</v>
      </c>
      <c r="E115" s="15">
        <v>0</v>
      </c>
      <c r="F115" s="15">
        <v>1</v>
      </c>
      <c r="G115" s="15">
        <v>20</v>
      </c>
      <c r="H115" s="16">
        <v>0.2</v>
      </c>
      <c r="I115" s="26">
        <v>5</v>
      </c>
      <c r="J115" s="15">
        <v>0</v>
      </c>
      <c r="K115" s="15">
        <v>0</v>
      </c>
      <c r="L115" s="15">
        <f t="shared" si="13"/>
        <v>88</v>
      </c>
      <c r="M115" s="15">
        <v>175</v>
      </c>
      <c r="N115" s="15">
        <v>0</v>
      </c>
      <c r="O115" s="15">
        <v>0</v>
      </c>
      <c r="P115" s="15">
        <f t="shared" si="14"/>
        <v>0</v>
      </c>
      <c r="Q115" s="15">
        <v>0</v>
      </c>
      <c r="R115" s="15">
        <f t="shared" si="15"/>
        <v>0</v>
      </c>
      <c r="S115" s="15">
        <v>0</v>
      </c>
      <c r="T115" s="16">
        <v>0</v>
      </c>
      <c r="U115" s="15">
        <v>0</v>
      </c>
      <c r="V115" s="15">
        <v>0</v>
      </c>
      <c r="W115" s="15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</row>
    <row r="116" ht="20.1" customHeight="1" spans="2:223">
      <c r="B116" s="11">
        <v>14100004</v>
      </c>
      <c r="C116" s="11" t="s">
        <v>167</v>
      </c>
      <c r="D116" s="15">
        <v>1140001</v>
      </c>
      <c r="E116" s="15">
        <v>0</v>
      </c>
      <c r="F116" s="15">
        <v>1</v>
      </c>
      <c r="G116" s="15">
        <v>20</v>
      </c>
      <c r="H116" s="16">
        <v>0.2</v>
      </c>
      <c r="I116" s="26">
        <v>10</v>
      </c>
      <c r="J116" s="15">
        <v>0</v>
      </c>
      <c r="K116" s="15">
        <v>0</v>
      </c>
      <c r="L116" s="15">
        <f t="shared" si="13"/>
        <v>105</v>
      </c>
      <c r="M116" s="15">
        <v>210</v>
      </c>
      <c r="N116" s="15">
        <v>0</v>
      </c>
      <c r="O116" s="15">
        <v>0</v>
      </c>
      <c r="P116" s="15">
        <f t="shared" si="14"/>
        <v>0</v>
      </c>
      <c r="Q116" s="15">
        <v>0</v>
      </c>
      <c r="R116" s="15">
        <f t="shared" si="15"/>
        <v>0</v>
      </c>
      <c r="S116" s="15">
        <v>0</v>
      </c>
      <c r="T116" s="16">
        <v>0</v>
      </c>
      <c r="U116" s="15">
        <v>0</v>
      </c>
      <c r="V116" s="15">
        <v>0</v>
      </c>
      <c r="W116" s="15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</row>
    <row r="117" ht="20.1" customHeight="1" spans="2:223">
      <c r="B117" s="11">
        <v>14100005</v>
      </c>
      <c r="C117" s="11" t="s">
        <v>168</v>
      </c>
      <c r="D117" s="15">
        <v>1140001</v>
      </c>
      <c r="E117" s="15">
        <v>0</v>
      </c>
      <c r="F117" s="15">
        <v>1</v>
      </c>
      <c r="G117" s="15">
        <v>20</v>
      </c>
      <c r="H117" s="16">
        <v>0.2</v>
      </c>
      <c r="I117" s="26">
        <v>5</v>
      </c>
      <c r="J117" s="15">
        <v>0</v>
      </c>
      <c r="K117" s="15">
        <v>0</v>
      </c>
      <c r="L117" s="15">
        <f t="shared" si="13"/>
        <v>35</v>
      </c>
      <c r="M117" s="15">
        <v>70</v>
      </c>
      <c r="N117" s="15">
        <v>0</v>
      </c>
      <c r="O117" s="15">
        <v>0</v>
      </c>
      <c r="P117" s="15">
        <f t="shared" si="14"/>
        <v>0</v>
      </c>
      <c r="Q117" s="15">
        <v>0</v>
      </c>
      <c r="R117" s="15">
        <f t="shared" si="15"/>
        <v>0</v>
      </c>
      <c r="S117" s="15">
        <v>0</v>
      </c>
      <c r="T117" s="16">
        <v>0</v>
      </c>
      <c r="U117" s="15">
        <v>0</v>
      </c>
      <c r="V117" s="15">
        <v>0</v>
      </c>
      <c r="W117" s="15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</row>
    <row r="118" ht="20.1" customHeight="1" spans="2:223">
      <c r="B118" s="11">
        <v>14100006</v>
      </c>
      <c r="C118" s="11" t="s">
        <v>169</v>
      </c>
      <c r="D118" s="15">
        <v>1140001</v>
      </c>
      <c r="E118" s="15">
        <v>0</v>
      </c>
      <c r="F118" s="15">
        <v>1</v>
      </c>
      <c r="G118" s="15">
        <v>20</v>
      </c>
      <c r="H118" s="16">
        <v>0.2</v>
      </c>
      <c r="I118" s="26">
        <v>5</v>
      </c>
      <c r="J118" s="15">
        <v>0</v>
      </c>
      <c r="K118" s="15">
        <v>0</v>
      </c>
      <c r="L118" s="15">
        <f t="shared" si="13"/>
        <v>65</v>
      </c>
      <c r="M118" s="15">
        <v>130</v>
      </c>
      <c r="N118" s="15">
        <v>0</v>
      </c>
      <c r="O118" s="15">
        <v>0</v>
      </c>
      <c r="P118" s="15">
        <f t="shared" si="14"/>
        <v>0</v>
      </c>
      <c r="Q118" s="15">
        <v>0</v>
      </c>
      <c r="R118" s="15">
        <f t="shared" si="15"/>
        <v>0</v>
      </c>
      <c r="S118" s="15">
        <v>0</v>
      </c>
      <c r="T118" s="16">
        <v>0</v>
      </c>
      <c r="U118" s="15">
        <v>0</v>
      </c>
      <c r="V118" s="15">
        <v>0</v>
      </c>
      <c r="W118" s="15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</row>
    <row r="119" ht="20.1" customHeight="1" spans="2:223">
      <c r="B119" s="11">
        <v>14100007</v>
      </c>
      <c r="C119" s="11" t="s">
        <v>170</v>
      </c>
      <c r="D119" s="15">
        <v>1140001</v>
      </c>
      <c r="E119" s="15">
        <v>0</v>
      </c>
      <c r="F119" s="15">
        <v>1</v>
      </c>
      <c r="G119" s="15">
        <v>20</v>
      </c>
      <c r="H119" s="16">
        <v>0.2</v>
      </c>
      <c r="I119" s="26">
        <v>5</v>
      </c>
      <c r="J119" s="15">
        <v>0</v>
      </c>
      <c r="K119" s="15">
        <v>0</v>
      </c>
      <c r="L119" s="15">
        <f t="shared" si="13"/>
        <v>88</v>
      </c>
      <c r="M119" s="15">
        <v>175</v>
      </c>
      <c r="N119" s="15">
        <v>0</v>
      </c>
      <c r="O119" s="15">
        <v>0</v>
      </c>
      <c r="P119" s="15">
        <f t="shared" si="14"/>
        <v>0</v>
      </c>
      <c r="Q119" s="15">
        <v>0</v>
      </c>
      <c r="R119" s="15">
        <f t="shared" si="15"/>
        <v>0</v>
      </c>
      <c r="S119" s="15">
        <v>0</v>
      </c>
      <c r="T119" s="16">
        <v>0</v>
      </c>
      <c r="U119" s="15">
        <v>0</v>
      </c>
      <c r="V119" s="15">
        <v>0</v>
      </c>
      <c r="W119" s="15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</row>
    <row r="120" ht="20.1" customHeight="1" spans="2:223">
      <c r="B120" s="11">
        <v>14100008</v>
      </c>
      <c r="C120" s="11" t="s">
        <v>171</v>
      </c>
      <c r="D120" s="15">
        <v>1140001</v>
      </c>
      <c r="E120" s="15">
        <v>0</v>
      </c>
      <c r="F120" s="15">
        <v>1</v>
      </c>
      <c r="G120" s="15">
        <v>20</v>
      </c>
      <c r="H120" s="16">
        <v>0.2</v>
      </c>
      <c r="I120" s="26">
        <v>10</v>
      </c>
      <c r="J120" s="15">
        <v>0</v>
      </c>
      <c r="K120" s="15">
        <v>0</v>
      </c>
      <c r="L120" s="15">
        <f t="shared" si="13"/>
        <v>105</v>
      </c>
      <c r="M120" s="15">
        <v>210</v>
      </c>
      <c r="N120" s="15">
        <v>0</v>
      </c>
      <c r="O120" s="15">
        <v>0</v>
      </c>
      <c r="P120" s="15">
        <f t="shared" si="14"/>
        <v>0</v>
      </c>
      <c r="Q120" s="15">
        <v>0</v>
      </c>
      <c r="R120" s="15">
        <f t="shared" si="15"/>
        <v>0</v>
      </c>
      <c r="S120" s="15">
        <v>0</v>
      </c>
      <c r="T120" s="16">
        <v>0</v>
      </c>
      <c r="U120" s="15">
        <v>0</v>
      </c>
      <c r="V120" s="15">
        <v>0</v>
      </c>
      <c r="W120" s="15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</row>
    <row r="121" ht="20.1" customHeight="1" spans="2:223">
      <c r="B121" s="11">
        <v>14100011</v>
      </c>
      <c r="C121" s="39" t="s">
        <v>172</v>
      </c>
      <c r="D121" s="15">
        <v>1140001</v>
      </c>
      <c r="E121" s="15">
        <v>11051</v>
      </c>
      <c r="F121" s="15">
        <v>1</v>
      </c>
      <c r="G121" s="15">
        <v>20</v>
      </c>
      <c r="H121" s="16">
        <v>0.2</v>
      </c>
      <c r="I121" s="26">
        <v>10</v>
      </c>
      <c r="J121" s="15">
        <v>0</v>
      </c>
      <c r="K121" s="15">
        <v>0</v>
      </c>
      <c r="L121" s="15">
        <v>150</v>
      </c>
      <c r="M121" s="15">
        <v>350</v>
      </c>
      <c r="N121" s="15">
        <v>0</v>
      </c>
      <c r="O121" s="15">
        <v>0</v>
      </c>
      <c r="P121" s="15">
        <f t="shared" ref="P121:P127" si="22">ROUND(Q121/2,0)</f>
        <v>0</v>
      </c>
      <c r="Q121" s="15">
        <v>0</v>
      </c>
      <c r="R121" s="15">
        <f t="shared" ref="R121:R127" si="23">ROUND(S121/2,0)</f>
        <v>0</v>
      </c>
      <c r="S121" s="15">
        <v>0</v>
      </c>
      <c r="T121" s="16">
        <v>0</v>
      </c>
      <c r="U121" s="15">
        <v>0</v>
      </c>
      <c r="V121" s="15">
        <v>0</v>
      </c>
      <c r="W121" s="15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</row>
    <row r="122" ht="20.1" customHeight="1" spans="2:223">
      <c r="B122" s="11">
        <v>14100012</v>
      </c>
      <c r="C122" s="39" t="s">
        <v>173</v>
      </c>
      <c r="D122" s="15">
        <v>1140001</v>
      </c>
      <c r="E122" s="15">
        <v>11051</v>
      </c>
      <c r="F122" s="15">
        <v>1</v>
      </c>
      <c r="G122" s="15">
        <v>20</v>
      </c>
      <c r="H122" s="16">
        <v>0.2</v>
      </c>
      <c r="I122" s="26">
        <v>10</v>
      </c>
      <c r="J122" s="15">
        <v>0</v>
      </c>
      <c r="K122" s="15">
        <v>0</v>
      </c>
      <c r="L122" s="15">
        <v>150</v>
      </c>
      <c r="M122" s="15">
        <v>350</v>
      </c>
      <c r="N122" s="15">
        <v>0</v>
      </c>
      <c r="O122" s="15">
        <v>0</v>
      </c>
      <c r="P122" s="15">
        <f t="shared" si="22"/>
        <v>0</v>
      </c>
      <c r="Q122" s="15">
        <v>0</v>
      </c>
      <c r="R122" s="15">
        <f t="shared" si="23"/>
        <v>0</v>
      </c>
      <c r="S122" s="15">
        <v>0</v>
      </c>
      <c r="T122" s="16">
        <v>0</v>
      </c>
      <c r="U122" s="15">
        <v>0</v>
      </c>
      <c r="V122" s="15">
        <v>0</v>
      </c>
      <c r="W122" s="15">
        <v>0</v>
      </c>
      <c r="X122" s="16">
        <v>0</v>
      </c>
      <c r="Y122" s="16">
        <v>0</v>
      </c>
      <c r="Z122" s="16">
        <v>0</v>
      </c>
      <c r="AA122" s="16">
        <v>202403</v>
      </c>
      <c r="AB122" s="16">
        <v>500</v>
      </c>
      <c r="AC122" s="16">
        <v>1</v>
      </c>
      <c r="AD122" s="16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</row>
    <row r="123" ht="20.1" customHeight="1" spans="2:223">
      <c r="B123" s="11">
        <v>14100021</v>
      </c>
      <c r="C123" s="11" t="s">
        <v>170</v>
      </c>
      <c r="D123" s="15">
        <v>1140001</v>
      </c>
      <c r="E123" s="15">
        <v>0</v>
      </c>
      <c r="F123" s="15">
        <v>1</v>
      </c>
      <c r="G123" s="15">
        <v>20</v>
      </c>
      <c r="H123" s="16">
        <v>0.2</v>
      </c>
      <c r="I123" s="26">
        <v>5</v>
      </c>
      <c r="J123" s="15">
        <v>0</v>
      </c>
      <c r="K123" s="15">
        <v>0</v>
      </c>
      <c r="L123" s="15">
        <v>50</v>
      </c>
      <c r="M123" s="15">
        <v>180</v>
      </c>
      <c r="N123" s="15">
        <v>0</v>
      </c>
      <c r="O123" s="15">
        <v>0</v>
      </c>
      <c r="P123" s="15">
        <f t="shared" si="22"/>
        <v>0</v>
      </c>
      <c r="Q123" s="15">
        <v>0</v>
      </c>
      <c r="R123" s="15">
        <f t="shared" si="23"/>
        <v>0</v>
      </c>
      <c r="S123" s="15">
        <v>0</v>
      </c>
      <c r="T123" s="16">
        <v>0</v>
      </c>
      <c r="U123" s="15">
        <v>0</v>
      </c>
      <c r="V123" s="15">
        <v>0</v>
      </c>
      <c r="W123" s="15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</row>
    <row r="124" ht="20.1" customHeight="1" spans="2:223">
      <c r="B124" s="11">
        <v>14100201</v>
      </c>
      <c r="C124" s="11" t="s">
        <v>174</v>
      </c>
      <c r="D124" s="15">
        <v>1140001</v>
      </c>
      <c r="E124" s="15">
        <v>0</v>
      </c>
      <c r="F124" s="15">
        <v>1</v>
      </c>
      <c r="G124" s="15">
        <v>20</v>
      </c>
      <c r="H124" s="16">
        <v>0.2</v>
      </c>
      <c r="I124" s="26">
        <v>5</v>
      </c>
      <c r="J124" s="15">
        <v>0</v>
      </c>
      <c r="K124" s="15">
        <v>0</v>
      </c>
      <c r="L124" s="15">
        <f t="shared" ref="L124:L127" si="24">ROUND(M124/2,0)</f>
        <v>35</v>
      </c>
      <c r="M124" s="15">
        <v>70</v>
      </c>
      <c r="N124" s="15">
        <v>0</v>
      </c>
      <c r="O124" s="15">
        <v>0</v>
      </c>
      <c r="P124" s="15">
        <f t="shared" si="22"/>
        <v>0</v>
      </c>
      <c r="Q124" s="15">
        <v>0</v>
      </c>
      <c r="R124" s="15">
        <f t="shared" si="23"/>
        <v>0</v>
      </c>
      <c r="S124" s="15">
        <v>0</v>
      </c>
      <c r="T124" s="16">
        <v>0</v>
      </c>
      <c r="U124" s="15">
        <v>0</v>
      </c>
      <c r="V124" s="15">
        <v>0</v>
      </c>
      <c r="W124" s="15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</row>
    <row r="125" ht="20.1" customHeight="1" spans="2:223">
      <c r="B125" s="11">
        <v>14100202</v>
      </c>
      <c r="C125" s="11" t="s">
        <v>175</v>
      </c>
      <c r="D125" s="15">
        <v>1140001</v>
      </c>
      <c r="E125" s="15">
        <v>0</v>
      </c>
      <c r="F125" s="15">
        <v>1</v>
      </c>
      <c r="G125" s="15">
        <v>20</v>
      </c>
      <c r="H125" s="16">
        <v>0.2</v>
      </c>
      <c r="I125" s="26">
        <v>5</v>
      </c>
      <c r="J125" s="15">
        <v>0</v>
      </c>
      <c r="K125" s="15">
        <v>0</v>
      </c>
      <c r="L125" s="15">
        <f t="shared" si="24"/>
        <v>65</v>
      </c>
      <c r="M125" s="15">
        <v>130</v>
      </c>
      <c r="N125" s="15">
        <v>0</v>
      </c>
      <c r="O125" s="15">
        <v>0</v>
      </c>
      <c r="P125" s="15">
        <f t="shared" si="22"/>
        <v>0</v>
      </c>
      <c r="Q125" s="15">
        <v>0</v>
      </c>
      <c r="R125" s="15">
        <f t="shared" si="23"/>
        <v>0</v>
      </c>
      <c r="S125" s="15">
        <v>0</v>
      </c>
      <c r="T125" s="16">
        <v>0</v>
      </c>
      <c r="U125" s="15">
        <v>0</v>
      </c>
      <c r="V125" s="15">
        <v>0</v>
      </c>
      <c r="W125" s="15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</row>
    <row r="126" ht="20.1" customHeight="1" spans="2:223">
      <c r="B126" s="11">
        <v>14100203</v>
      </c>
      <c r="C126" s="11" t="s">
        <v>176</v>
      </c>
      <c r="D126" s="15">
        <v>1140001</v>
      </c>
      <c r="E126" s="15">
        <v>0</v>
      </c>
      <c r="F126" s="15">
        <v>1</v>
      </c>
      <c r="G126" s="15">
        <v>20</v>
      </c>
      <c r="H126" s="16">
        <v>0.2</v>
      </c>
      <c r="I126" s="26">
        <v>5</v>
      </c>
      <c r="J126" s="15">
        <v>0</v>
      </c>
      <c r="K126" s="15">
        <v>0</v>
      </c>
      <c r="L126" s="15">
        <f t="shared" si="24"/>
        <v>88</v>
      </c>
      <c r="M126" s="15">
        <v>175</v>
      </c>
      <c r="N126" s="15">
        <v>0</v>
      </c>
      <c r="O126" s="15">
        <v>0</v>
      </c>
      <c r="P126" s="15">
        <f t="shared" si="22"/>
        <v>0</v>
      </c>
      <c r="Q126" s="15">
        <v>0</v>
      </c>
      <c r="R126" s="15">
        <f t="shared" si="23"/>
        <v>0</v>
      </c>
      <c r="S126" s="15">
        <v>0</v>
      </c>
      <c r="T126" s="16">
        <v>0</v>
      </c>
      <c r="U126" s="15">
        <v>0</v>
      </c>
      <c r="V126" s="15">
        <v>0</v>
      </c>
      <c r="W126" s="15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</row>
    <row r="127" ht="20.1" customHeight="1" spans="2:223">
      <c r="B127" s="11">
        <v>14100204</v>
      </c>
      <c r="C127" s="11" t="s">
        <v>177</v>
      </c>
      <c r="D127" s="15">
        <v>1140001</v>
      </c>
      <c r="E127" s="15">
        <v>0</v>
      </c>
      <c r="F127" s="15">
        <v>1</v>
      </c>
      <c r="G127" s="15">
        <v>20</v>
      </c>
      <c r="H127" s="16">
        <v>0.2</v>
      </c>
      <c r="I127" s="26">
        <v>10</v>
      </c>
      <c r="J127" s="15">
        <v>0</v>
      </c>
      <c r="K127" s="15">
        <v>0</v>
      </c>
      <c r="L127" s="15">
        <f t="shared" si="24"/>
        <v>105</v>
      </c>
      <c r="M127" s="15">
        <v>210</v>
      </c>
      <c r="N127" s="15">
        <v>0</v>
      </c>
      <c r="O127" s="15">
        <v>0</v>
      </c>
      <c r="P127" s="15">
        <f t="shared" si="22"/>
        <v>0</v>
      </c>
      <c r="Q127" s="15">
        <v>0</v>
      </c>
      <c r="R127" s="15">
        <f t="shared" si="23"/>
        <v>0</v>
      </c>
      <c r="S127" s="15">
        <v>0</v>
      </c>
      <c r="T127" s="16">
        <v>0</v>
      </c>
      <c r="U127" s="15">
        <v>0</v>
      </c>
      <c r="V127" s="15">
        <v>0</v>
      </c>
      <c r="W127" s="15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</row>
    <row r="128" ht="20.1" customHeight="1" spans="2:223">
      <c r="B128" s="11">
        <v>14100211</v>
      </c>
      <c r="C128" s="39" t="s">
        <v>178</v>
      </c>
      <c r="D128" s="15">
        <v>1140001</v>
      </c>
      <c r="E128" s="15">
        <v>11051</v>
      </c>
      <c r="F128" s="15">
        <v>1</v>
      </c>
      <c r="G128" s="15">
        <v>20</v>
      </c>
      <c r="H128" s="16">
        <v>0.2</v>
      </c>
      <c r="I128" s="26">
        <v>10</v>
      </c>
      <c r="J128" s="15">
        <v>0</v>
      </c>
      <c r="K128" s="15">
        <v>0</v>
      </c>
      <c r="L128" s="15">
        <v>150</v>
      </c>
      <c r="M128" s="15">
        <v>350</v>
      </c>
      <c r="N128" s="15">
        <v>0</v>
      </c>
      <c r="O128" s="15">
        <v>0</v>
      </c>
      <c r="P128" s="15">
        <f t="shared" ref="P128" si="25">ROUND(Q128/2,0)</f>
        <v>0</v>
      </c>
      <c r="Q128" s="15">
        <v>0</v>
      </c>
      <c r="R128" s="15">
        <f t="shared" ref="R128" si="26">ROUND(S128/2,0)</f>
        <v>0</v>
      </c>
      <c r="S128" s="15">
        <v>0</v>
      </c>
      <c r="T128" s="16">
        <v>0</v>
      </c>
      <c r="U128" s="15">
        <v>0</v>
      </c>
      <c r="V128" s="15">
        <v>0</v>
      </c>
      <c r="W128" s="15">
        <v>0</v>
      </c>
      <c r="X128" s="16">
        <v>0</v>
      </c>
      <c r="Y128" s="16">
        <v>0</v>
      </c>
      <c r="Z128" s="16">
        <v>0</v>
      </c>
      <c r="AA128" s="16">
        <v>202103</v>
      </c>
      <c r="AB128" s="16">
        <v>500</v>
      </c>
      <c r="AC128" s="16">
        <v>1</v>
      </c>
      <c r="AD128" s="16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</row>
    <row r="129" s="4" customFormat="1" ht="20.1" customHeight="1" spans="2:223">
      <c r="B129" s="36">
        <v>14110001</v>
      </c>
      <c r="C129" s="36" t="s">
        <v>179</v>
      </c>
      <c r="D129" s="37">
        <v>1140003</v>
      </c>
      <c r="E129" s="37">
        <v>0</v>
      </c>
      <c r="F129" s="37">
        <v>1</v>
      </c>
      <c r="G129" s="37">
        <v>20</v>
      </c>
      <c r="H129" s="38">
        <v>0.2</v>
      </c>
      <c r="I129" s="41">
        <v>5</v>
      </c>
      <c r="J129" s="15">
        <v>0</v>
      </c>
      <c r="K129" s="37">
        <v>620</v>
      </c>
      <c r="L129" s="37">
        <f t="shared" si="13"/>
        <v>0</v>
      </c>
      <c r="M129" s="37">
        <v>0</v>
      </c>
      <c r="N129" s="37">
        <v>0</v>
      </c>
      <c r="O129" s="37">
        <v>0</v>
      </c>
      <c r="P129" s="37">
        <f t="shared" si="14"/>
        <v>6</v>
      </c>
      <c r="Q129" s="37">
        <v>12</v>
      </c>
      <c r="R129" s="37">
        <f t="shared" si="15"/>
        <v>6</v>
      </c>
      <c r="S129" s="37">
        <v>12</v>
      </c>
      <c r="T129" s="38">
        <v>0</v>
      </c>
      <c r="U129" s="37">
        <v>0</v>
      </c>
      <c r="V129" s="37">
        <v>0</v>
      </c>
      <c r="W129" s="37">
        <v>0</v>
      </c>
      <c r="X129" s="38">
        <v>0</v>
      </c>
      <c r="Y129" s="38">
        <v>0</v>
      </c>
      <c r="Z129" s="38">
        <v>0</v>
      </c>
      <c r="AA129" s="38">
        <v>0</v>
      </c>
      <c r="AB129" s="38">
        <v>0</v>
      </c>
      <c r="AC129" s="38">
        <v>0</v>
      </c>
      <c r="AD129" s="38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  <c r="CR129" s="42"/>
      <c r="CS129" s="42"/>
      <c r="CT129" s="42"/>
      <c r="CU129" s="42"/>
      <c r="CV129" s="42"/>
      <c r="CW129" s="42"/>
      <c r="CX129" s="42"/>
      <c r="CY129" s="42"/>
      <c r="CZ129" s="42"/>
      <c r="DA129" s="42"/>
      <c r="DB129" s="42"/>
      <c r="DC129" s="42"/>
      <c r="DD129" s="42"/>
      <c r="DE129" s="42"/>
      <c r="DF129" s="42"/>
      <c r="DG129" s="42"/>
      <c r="DH129" s="42"/>
      <c r="DI129" s="42"/>
      <c r="DJ129" s="42"/>
      <c r="DK129" s="42"/>
      <c r="DL129" s="42"/>
      <c r="DM129" s="42"/>
      <c r="DN129" s="42"/>
      <c r="DO129" s="42"/>
      <c r="DP129" s="42"/>
      <c r="DQ129" s="42"/>
      <c r="DR129" s="42"/>
      <c r="DS129" s="42"/>
      <c r="DT129" s="42"/>
      <c r="DU129" s="42"/>
      <c r="DV129" s="42"/>
      <c r="DW129" s="42"/>
      <c r="DX129" s="42"/>
      <c r="DY129" s="42"/>
      <c r="DZ129" s="42"/>
      <c r="EA129" s="42"/>
      <c r="EB129" s="42"/>
      <c r="EC129" s="42"/>
      <c r="ED129" s="42"/>
      <c r="EE129" s="42"/>
      <c r="EF129" s="42"/>
      <c r="EG129" s="42"/>
      <c r="EH129" s="42"/>
      <c r="EI129" s="42"/>
      <c r="EJ129" s="42"/>
      <c r="EK129" s="42"/>
      <c r="EL129" s="42"/>
      <c r="EM129" s="42"/>
      <c r="EN129" s="42"/>
      <c r="EO129" s="42"/>
      <c r="EP129" s="42"/>
      <c r="EQ129" s="42"/>
      <c r="ER129" s="42"/>
      <c r="ES129" s="42"/>
      <c r="ET129" s="42"/>
      <c r="EU129" s="42"/>
      <c r="EV129" s="42"/>
      <c r="EW129" s="42"/>
      <c r="EX129" s="42"/>
      <c r="EY129" s="42"/>
      <c r="EZ129" s="42"/>
      <c r="FA129" s="42"/>
      <c r="FB129" s="42"/>
      <c r="FC129" s="42"/>
      <c r="FD129" s="42"/>
      <c r="FE129" s="42"/>
      <c r="FF129" s="42"/>
      <c r="FG129" s="42"/>
      <c r="FH129" s="42"/>
      <c r="FI129" s="42"/>
      <c r="FJ129" s="42"/>
      <c r="FK129" s="42"/>
      <c r="FL129" s="42"/>
      <c r="FM129" s="42"/>
      <c r="FN129" s="42"/>
      <c r="FO129" s="42"/>
      <c r="FP129" s="42"/>
      <c r="FQ129" s="42"/>
      <c r="FR129" s="42"/>
      <c r="FS129" s="42"/>
      <c r="FT129" s="42"/>
      <c r="FU129" s="42"/>
      <c r="FV129" s="42"/>
      <c r="FW129" s="42"/>
      <c r="FX129" s="42"/>
      <c r="FY129" s="42"/>
      <c r="FZ129" s="42"/>
      <c r="GA129" s="42"/>
      <c r="GB129" s="42"/>
      <c r="GC129" s="42"/>
      <c r="GD129" s="42"/>
      <c r="GE129" s="42"/>
      <c r="GF129" s="42"/>
      <c r="GG129" s="42"/>
      <c r="GH129" s="42"/>
      <c r="GI129" s="42"/>
      <c r="GJ129" s="42"/>
      <c r="GK129" s="42"/>
      <c r="GL129" s="42"/>
      <c r="GM129" s="42"/>
      <c r="GN129" s="42"/>
      <c r="GO129" s="42"/>
      <c r="GP129" s="42"/>
      <c r="GQ129" s="42"/>
      <c r="GR129" s="42"/>
      <c r="GS129" s="42"/>
      <c r="GT129" s="42"/>
      <c r="GU129" s="42"/>
      <c r="GV129" s="42"/>
      <c r="GW129" s="42"/>
      <c r="GX129" s="42"/>
      <c r="GY129" s="42"/>
      <c r="GZ129" s="42"/>
      <c r="HA129" s="42"/>
      <c r="HB129" s="42"/>
      <c r="HC129" s="42"/>
      <c r="HD129" s="42"/>
      <c r="HE129" s="42"/>
      <c r="HF129" s="42"/>
      <c r="HG129" s="42"/>
      <c r="HH129" s="42"/>
      <c r="HI129" s="42"/>
      <c r="HJ129" s="42"/>
      <c r="HK129" s="42"/>
      <c r="HL129" s="42"/>
      <c r="HM129" s="42"/>
      <c r="HN129" s="42"/>
      <c r="HO129" s="42"/>
    </row>
    <row r="130" s="4" customFormat="1" ht="20.1" customHeight="1" spans="2:223">
      <c r="B130" s="36">
        <v>14110002</v>
      </c>
      <c r="C130" s="36" t="s">
        <v>180</v>
      </c>
      <c r="D130" s="37">
        <v>1140003</v>
      </c>
      <c r="E130" s="37">
        <v>0</v>
      </c>
      <c r="F130" s="37">
        <v>1</v>
      </c>
      <c r="G130" s="37">
        <v>20</v>
      </c>
      <c r="H130" s="38">
        <v>0.2</v>
      </c>
      <c r="I130" s="41">
        <v>5</v>
      </c>
      <c r="J130" s="15">
        <v>0</v>
      </c>
      <c r="K130" s="37">
        <v>1100</v>
      </c>
      <c r="L130" s="37">
        <f t="shared" si="13"/>
        <v>0</v>
      </c>
      <c r="M130" s="37">
        <v>0</v>
      </c>
      <c r="N130" s="37">
        <v>0</v>
      </c>
      <c r="O130" s="37">
        <v>0</v>
      </c>
      <c r="P130" s="37">
        <f t="shared" si="14"/>
        <v>12</v>
      </c>
      <c r="Q130" s="37">
        <v>24</v>
      </c>
      <c r="R130" s="37">
        <f t="shared" si="15"/>
        <v>12</v>
      </c>
      <c r="S130" s="37">
        <v>24</v>
      </c>
      <c r="T130" s="38">
        <v>0</v>
      </c>
      <c r="U130" s="37">
        <v>0</v>
      </c>
      <c r="V130" s="37">
        <v>0</v>
      </c>
      <c r="W130" s="37">
        <v>0</v>
      </c>
      <c r="X130" s="38">
        <v>0</v>
      </c>
      <c r="Y130" s="38">
        <v>0</v>
      </c>
      <c r="Z130" s="38">
        <v>0</v>
      </c>
      <c r="AA130" s="38">
        <v>0</v>
      </c>
      <c r="AB130" s="38">
        <v>0</v>
      </c>
      <c r="AC130" s="38">
        <v>0</v>
      </c>
      <c r="AD130" s="38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  <c r="DW130" s="42"/>
      <c r="DX130" s="42"/>
      <c r="DY130" s="42"/>
      <c r="DZ130" s="42"/>
      <c r="EA130" s="42"/>
      <c r="EB130" s="42"/>
      <c r="EC130" s="42"/>
      <c r="ED130" s="42"/>
      <c r="EE130" s="42"/>
      <c r="EF130" s="42"/>
      <c r="EG130" s="42"/>
      <c r="EH130" s="42"/>
      <c r="EI130" s="42"/>
      <c r="EJ130" s="42"/>
      <c r="EK130" s="42"/>
      <c r="EL130" s="42"/>
      <c r="EM130" s="42"/>
      <c r="EN130" s="42"/>
      <c r="EO130" s="42"/>
      <c r="EP130" s="42"/>
      <c r="EQ130" s="42"/>
      <c r="ER130" s="42"/>
      <c r="ES130" s="42"/>
      <c r="ET130" s="42"/>
      <c r="EU130" s="42"/>
      <c r="EV130" s="42"/>
      <c r="EW130" s="42"/>
      <c r="EX130" s="42"/>
      <c r="EY130" s="42"/>
      <c r="EZ130" s="42"/>
      <c r="FA130" s="42"/>
      <c r="FB130" s="42"/>
      <c r="FC130" s="42"/>
      <c r="FD130" s="42"/>
      <c r="FE130" s="42"/>
      <c r="FF130" s="42"/>
      <c r="FG130" s="42"/>
      <c r="FH130" s="42"/>
      <c r="FI130" s="42"/>
      <c r="FJ130" s="42"/>
      <c r="FK130" s="42"/>
      <c r="FL130" s="42"/>
      <c r="FM130" s="42"/>
      <c r="FN130" s="42"/>
      <c r="FO130" s="42"/>
      <c r="FP130" s="42"/>
      <c r="FQ130" s="42"/>
      <c r="FR130" s="42"/>
      <c r="FS130" s="42"/>
      <c r="FT130" s="42"/>
      <c r="FU130" s="42"/>
      <c r="FV130" s="42"/>
      <c r="FW130" s="42"/>
      <c r="FX130" s="42"/>
      <c r="FY130" s="42"/>
      <c r="FZ130" s="42"/>
      <c r="GA130" s="42"/>
      <c r="GB130" s="42"/>
      <c r="GC130" s="42"/>
      <c r="GD130" s="42"/>
      <c r="GE130" s="42"/>
      <c r="GF130" s="42"/>
      <c r="GG130" s="42"/>
      <c r="GH130" s="42"/>
      <c r="GI130" s="42"/>
      <c r="GJ130" s="42"/>
      <c r="GK130" s="42"/>
      <c r="GL130" s="42"/>
      <c r="GM130" s="42"/>
      <c r="GN130" s="42"/>
      <c r="GO130" s="42"/>
      <c r="GP130" s="42"/>
      <c r="GQ130" s="42"/>
      <c r="GR130" s="42"/>
      <c r="GS130" s="42"/>
      <c r="GT130" s="42"/>
      <c r="GU130" s="42"/>
      <c r="GV130" s="42"/>
      <c r="GW130" s="42"/>
      <c r="GX130" s="42"/>
      <c r="GY130" s="42"/>
      <c r="GZ130" s="42"/>
      <c r="HA130" s="42"/>
      <c r="HB130" s="42"/>
      <c r="HC130" s="42"/>
      <c r="HD130" s="42"/>
      <c r="HE130" s="42"/>
      <c r="HF130" s="42"/>
      <c r="HG130" s="42"/>
      <c r="HH130" s="42"/>
      <c r="HI130" s="42"/>
      <c r="HJ130" s="42"/>
      <c r="HK130" s="42"/>
      <c r="HL130" s="42"/>
      <c r="HM130" s="42"/>
      <c r="HN130" s="42"/>
      <c r="HO130" s="42"/>
    </row>
    <row r="131" s="4" customFormat="1" ht="20.1" customHeight="1" spans="2:223">
      <c r="B131" s="36">
        <v>14110003</v>
      </c>
      <c r="C131" s="36" t="s">
        <v>181</v>
      </c>
      <c r="D131" s="37">
        <v>1140003</v>
      </c>
      <c r="E131" s="37">
        <v>11012</v>
      </c>
      <c r="F131" s="37">
        <v>1</v>
      </c>
      <c r="G131" s="37">
        <v>20</v>
      </c>
      <c r="H131" s="38">
        <v>0.2</v>
      </c>
      <c r="I131" s="41">
        <v>5</v>
      </c>
      <c r="J131" s="15">
        <v>0</v>
      </c>
      <c r="K131" s="37">
        <v>1300</v>
      </c>
      <c r="L131" s="37">
        <f t="shared" si="13"/>
        <v>0</v>
      </c>
      <c r="M131" s="37">
        <v>0</v>
      </c>
      <c r="N131" s="37">
        <v>0</v>
      </c>
      <c r="O131" s="37">
        <v>0</v>
      </c>
      <c r="P131" s="37">
        <f t="shared" si="14"/>
        <v>14</v>
      </c>
      <c r="Q131" s="37">
        <v>28</v>
      </c>
      <c r="R131" s="37">
        <f t="shared" si="15"/>
        <v>14</v>
      </c>
      <c r="S131" s="37">
        <v>28</v>
      </c>
      <c r="T131" s="38">
        <v>0</v>
      </c>
      <c r="U131" s="37">
        <v>0</v>
      </c>
      <c r="V131" s="37">
        <v>0</v>
      </c>
      <c r="W131" s="37">
        <v>0</v>
      </c>
      <c r="X131" s="38">
        <v>0</v>
      </c>
      <c r="Y131" s="38">
        <v>0</v>
      </c>
      <c r="Z131" s="38">
        <v>0</v>
      </c>
      <c r="AA131" s="38">
        <v>0</v>
      </c>
      <c r="AB131" s="38">
        <v>0</v>
      </c>
      <c r="AC131" s="38">
        <v>0</v>
      </c>
      <c r="AD131" s="38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  <c r="DL131" s="42"/>
      <c r="DM131" s="42"/>
      <c r="DN131" s="42"/>
      <c r="DO131" s="42"/>
      <c r="DP131" s="42"/>
      <c r="DQ131" s="42"/>
      <c r="DR131" s="42"/>
      <c r="DS131" s="42"/>
      <c r="DT131" s="42"/>
      <c r="DU131" s="42"/>
      <c r="DV131" s="42"/>
      <c r="DW131" s="42"/>
      <c r="DX131" s="42"/>
      <c r="DY131" s="42"/>
      <c r="DZ131" s="42"/>
      <c r="EA131" s="42"/>
      <c r="EB131" s="42"/>
      <c r="EC131" s="42"/>
      <c r="ED131" s="42"/>
      <c r="EE131" s="42"/>
      <c r="EF131" s="42"/>
      <c r="EG131" s="42"/>
      <c r="EH131" s="42"/>
      <c r="EI131" s="42"/>
      <c r="EJ131" s="42"/>
      <c r="EK131" s="42"/>
      <c r="EL131" s="42"/>
      <c r="EM131" s="42"/>
      <c r="EN131" s="42"/>
      <c r="EO131" s="42"/>
      <c r="EP131" s="42"/>
      <c r="EQ131" s="42"/>
      <c r="ER131" s="42"/>
      <c r="ES131" s="42"/>
      <c r="ET131" s="42"/>
      <c r="EU131" s="42"/>
      <c r="EV131" s="42"/>
      <c r="EW131" s="42"/>
      <c r="EX131" s="42"/>
      <c r="EY131" s="42"/>
      <c r="EZ131" s="42"/>
      <c r="FA131" s="42"/>
      <c r="FB131" s="42"/>
      <c r="FC131" s="42"/>
      <c r="FD131" s="42"/>
      <c r="FE131" s="42"/>
      <c r="FF131" s="42"/>
      <c r="FG131" s="42"/>
      <c r="FH131" s="42"/>
      <c r="FI131" s="42"/>
      <c r="FJ131" s="42"/>
      <c r="FK131" s="42"/>
      <c r="FL131" s="42"/>
      <c r="FM131" s="42"/>
      <c r="FN131" s="42"/>
      <c r="FO131" s="42"/>
      <c r="FP131" s="42"/>
      <c r="FQ131" s="42"/>
      <c r="FR131" s="42"/>
      <c r="FS131" s="42"/>
      <c r="FT131" s="42"/>
      <c r="FU131" s="42"/>
      <c r="FV131" s="42"/>
      <c r="FW131" s="42"/>
      <c r="FX131" s="42"/>
      <c r="FY131" s="42"/>
      <c r="FZ131" s="42"/>
      <c r="GA131" s="42"/>
      <c r="GB131" s="42"/>
      <c r="GC131" s="42"/>
      <c r="GD131" s="42"/>
      <c r="GE131" s="42"/>
      <c r="GF131" s="42"/>
      <c r="GG131" s="42"/>
      <c r="GH131" s="42"/>
      <c r="GI131" s="42"/>
      <c r="GJ131" s="42"/>
      <c r="GK131" s="42"/>
      <c r="GL131" s="42"/>
      <c r="GM131" s="42"/>
      <c r="GN131" s="42"/>
      <c r="GO131" s="42"/>
      <c r="GP131" s="42"/>
      <c r="GQ131" s="42"/>
      <c r="GR131" s="42"/>
      <c r="GS131" s="42"/>
      <c r="GT131" s="42"/>
      <c r="GU131" s="42"/>
      <c r="GV131" s="42"/>
      <c r="GW131" s="42"/>
      <c r="GX131" s="42"/>
      <c r="GY131" s="42"/>
      <c r="GZ131" s="42"/>
      <c r="HA131" s="42"/>
      <c r="HB131" s="42"/>
      <c r="HC131" s="42"/>
      <c r="HD131" s="42"/>
      <c r="HE131" s="42"/>
      <c r="HF131" s="42"/>
      <c r="HG131" s="42"/>
      <c r="HH131" s="42"/>
      <c r="HI131" s="42"/>
      <c r="HJ131" s="42"/>
      <c r="HK131" s="42"/>
      <c r="HL131" s="42"/>
      <c r="HM131" s="42"/>
      <c r="HN131" s="42"/>
      <c r="HO131" s="42"/>
    </row>
    <row r="132" s="4" customFormat="1" ht="20.1" customHeight="1" spans="2:223">
      <c r="B132" s="36">
        <v>14110004</v>
      </c>
      <c r="C132" s="36" t="s">
        <v>182</v>
      </c>
      <c r="D132" s="37">
        <v>1140003</v>
      </c>
      <c r="E132" s="37">
        <v>11041</v>
      </c>
      <c r="F132" s="37">
        <v>1</v>
      </c>
      <c r="G132" s="37">
        <v>20</v>
      </c>
      <c r="H132" s="38">
        <v>0.2</v>
      </c>
      <c r="I132" s="41">
        <v>10</v>
      </c>
      <c r="J132" s="15">
        <v>0</v>
      </c>
      <c r="K132" s="37">
        <v>1580</v>
      </c>
      <c r="L132" s="37">
        <f t="shared" si="13"/>
        <v>0</v>
      </c>
      <c r="M132" s="37">
        <v>0</v>
      </c>
      <c r="N132" s="37">
        <v>0</v>
      </c>
      <c r="O132" s="37">
        <v>0</v>
      </c>
      <c r="P132" s="37">
        <f t="shared" si="14"/>
        <v>19</v>
      </c>
      <c r="Q132" s="37">
        <v>38</v>
      </c>
      <c r="R132" s="37">
        <f t="shared" si="15"/>
        <v>19</v>
      </c>
      <c r="S132" s="37">
        <v>38</v>
      </c>
      <c r="T132" s="38">
        <v>0</v>
      </c>
      <c r="U132" s="37">
        <v>0</v>
      </c>
      <c r="V132" s="37">
        <v>0</v>
      </c>
      <c r="W132" s="37">
        <v>0</v>
      </c>
      <c r="X132" s="38">
        <v>0</v>
      </c>
      <c r="Y132" s="38">
        <v>0</v>
      </c>
      <c r="Z132" s="38">
        <v>0</v>
      </c>
      <c r="AA132" s="38">
        <v>0</v>
      </c>
      <c r="AB132" s="38">
        <v>0</v>
      </c>
      <c r="AC132" s="38">
        <v>0</v>
      </c>
      <c r="AD132" s="38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  <c r="DL132" s="42"/>
      <c r="DM132" s="42"/>
      <c r="DN132" s="42"/>
      <c r="DO132" s="42"/>
      <c r="DP132" s="42"/>
      <c r="DQ132" s="42"/>
      <c r="DR132" s="42"/>
      <c r="DS132" s="42"/>
      <c r="DT132" s="42"/>
      <c r="DU132" s="42"/>
      <c r="DV132" s="42"/>
      <c r="DW132" s="42"/>
      <c r="DX132" s="42"/>
      <c r="DY132" s="42"/>
      <c r="DZ132" s="42"/>
      <c r="EA132" s="42"/>
      <c r="EB132" s="42"/>
      <c r="EC132" s="42"/>
      <c r="ED132" s="42"/>
      <c r="EE132" s="42"/>
      <c r="EF132" s="42"/>
      <c r="EG132" s="42"/>
      <c r="EH132" s="42"/>
      <c r="EI132" s="42"/>
      <c r="EJ132" s="42"/>
      <c r="EK132" s="42"/>
      <c r="EL132" s="42"/>
      <c r="EM132" s="42"/>
      <c r="EN132" s="42"/>
      <c r="EO132" s="42"/>
      <c r="EP132" s="42"/>
      <c r="EQ132" s="42"/>
      <c r="ER132" s="42"/>
      <c r="ES132" s="42"/>
      <c r="ET132" s="42"/>
      <c r="EU132" s="42"/>
      <c r="EV132" s="42"/>
      <c r="EW132" s="42"/>
      <c r="EX132" s="42"/>
      <c r="EY132" s="42"/>
      <c r="EZ132" s="42"/>
      <c r="FA132" s="42"/>
      <c r="FB132" s="42"/>
      <c r="FC132" s="42"/>
      <c r="FD132" s="42"/>
      <c r="FE132" s="42"/>
      <c r="FF132" s="42"/>
      <c r="FG132" s="42"/>
      <c r="FH132" s="42"/>
      <c r="FI132" s="42"/>
      <c r="FJ132" s="42"/>
      <c r="FK132" s="42"/>
      <c r="FL132" s="42"/>
      <c r="FM132" s="42"/>
      <c r="FN132" s="42"/>
      <c r="FO132" s="42"/>
      <c r="FP132" s="42"/>
      <c r="FQ132" s="42"/>
      <c r="FR132" s="42"/>
      <c r="FS132" s="42"/>
      <c r="FT132" s="42"/>
      <c r="FU132" s="42"/>
      <c r="FV132" s="42"/>
      <c r="FW132" s="42"/>
      <c r="FX132" s="42"/>
      <c r="FY132" s="42"/>
      <c r="FZ132" s="42"/>
      <c r="GA132" s="42"/>
      <c r="GB132" s="42"/>
      <c r="GC132" s="42"/>
      <c r="GD132" s="42"/>
      <c r="GE132" s="42"/>
      <c r="GF132" s="42"/>
      <c r="GG132" s="42"/>
      <c r="GH132" s="42"/>
      <c r="GI132" s="42"/>
      <c r="GJ132" s="42"/>
      <c r="GK132" s="42"/>
      <c r="GL132" s="42"/>
      <c r="GM132" s="42"/>
      <c r="GN132" s="42"/>
      <c r="GO132" s="42"/>
      <c r="GP132" s="42"/>
      <c r="GQ132" s="42"/>
      <c r="GR132" s="42"/>
      <c r="GS132" s="42"/>
      <c r="GT132" s="42"/>
      <c r="GU132" s="42"/>
      <c r="GV132" s="42"/>
      <c r="GW132" s="42"/>
      <c r="GX132" s="42"/>
      <c r="GY132" s="42"/>
      <c r="GZ132" s="42"/>
      <c r="HA132" s="42"/>
      <c r="HB132" s="42"/>
      <c r="HC132" s="42"/>
      <c r="HD132" s="42"/>
      <c r="HE132" s="42"/>
      <c r="HF132" s="42"/>
      <c r="HG132" s="42"/>
      <c r="HH132" s="42"/>
      <c r="HI132" s="42"/>
      <c r="HJ132" s="42"/>
      <c r="HK132" s="42"/>
      <c r="HL132" s="42"/>
      <c r="HM132" s="42"/>
      <c r="HN132" s="42"/>
      <c r="HO132" s="42"/>
    </row>
    <row r="133" s="4" customFormat="1" ht="20.1" customHeight="1" spans="2:223">
      <c r="B133" s="36">
        <v>14110005</v>
      </c>
      <c r="C133" s="36" t="s">
        <v>183</v>
      </c>
      <c r="D133" s="37">
        <v>1140003</v>
      </c>
      <c r="E133" s="37">
        <v>0</v>
      </c>
      <c r="F133" s="37">
        <v>1</v>
      </c>
      <c r="G133" s="37">
        <v>20</v>
      </c>
      <c r="H133" s="38">
        <v>0.2</v>
      </c>
      <c r="I133" s="41">
        <v>5</v>
      </c>
      <c r="J133" s="15">
        <v>0</v>
      </c>
      <c r="K133" s="37">
        <v>310</v>
      </c>
      <c r="L133" s="37">
        <f t="shared" si="13"/>
        <v>0</v>
      </c>
      <c r="M133" s="37">
        <v>0</v>
      </c>
      <c r="N133" s="37">
        <v>0</v>
      </c>
      <c r="O133" s="37">
        <v>0</v>
      </c>
      <c r="P133" s="37">
        <f t="shared" si="14"/>
        <v>5</v>
      </c>
      <c r="Q133" s="37">
        <v>9</v>
      </c>
      <c r="R133" s="37">
        <f t="shared" si="15"/>
        <v>5</v>
      </c>
      <c r="S133" s="37">
        <v>9</v>
      </c>
      <c r="T133" s="38">
        <v>0</v>
      </c>
      <c r="U133" s="37">
        <v>0</v>
      </c>
      <c r="V133" s="37">
        <v>0</v>
      </c>
      <c r="W133" s="37">
        <v>0</v>
      </c>
      <c r="X133" s="38">
        <v>0</v>
      </c>
      <c r="Y133" s="38">
        <v>0</v>
      </c>
      <c r="Z133" s="38">
        <v>0</v>
      </c>
      <c r="AA133" s="38">
        <v>0</v>
      </c>
      <c r="AB133" s="38">
        <v>0</v>
      </c>
      <c r="AC133" s="38">
        <v>0</v>
      </c>
      <c r="AD133" s="38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  <c r="DL133" s="42"/>
      <c r="DM133" s="42"/>
      <c r="DN133" s="42"/>
      <c r="DO133" s="42"/>
      <c r="DP133" s="42"/>
      <c r="DQ133" s="42"/>
      <c r="DR133" s="42"/>
      <c r="DS133" s="42"/>
      <c r="DT133" s="42"/>
      <c r="DU133" s="42"/>
      <c r="DV133" s="42"/>
      <c r="DW133" s="42"/>
      <c r="DX133" s="42"/>
      <c r="DY133" s="42"/>
      <c r="DZ133" s="42"/>
      <c r="EA133" s="42"/>
      <c r="EB133" s="42"/>
      <c r="EC133" s="42"/>
      <c r="ED133" s="42"/>
      <c r="EE133" s="42"/>
      <c r="EF133" s="42"/>
      <c r="EG133" s="42"/>
      <c r="EH133" s="42"/>
      <c r="EI133" s="42"/>
      <c r="EJ133" s="42"/>
      <c r="EK133" s="42"/>
      <c r="EL133" s="42"/>
      <c r="EM133" s="42"/>
      <c r="EN133" s="42"/>
      <c r="EO133" s="42"/>
      <c r="EP133" s="42"/>
      <c r="EQ133" s="42"/>
      <c r="ER133" s="42"/>
      <c r="ES133" s="42"/>
      <c r="ET133" s="42"/>
      <c r="EU133" s="42"/>
      <c r="EV133" s="42"/>
      <c r="EW133" s="42"/>
      <c r="EX133" s="42"/>
      <c r="EY133" s="42"/>
      <c r="EZ133" s="42"/>
      <c r="FA133" s="42"/>
      <c r="FB133" s="42"/>
      <c r="FC133" s="42"/>
      <c r="FD133" s="42"/>
      <c r="FE133" s="42"/>
      <c r="FF133" s="42"/>
      <c r="FG133" s="42"/>
      <c r="FH133" s="42"/>
      <c r="FI133" s="42"/>
      <c r="FJ133" s="42"/>
      <c r="FK133" s="42"/>
      <c r="FL133" s="42"/>
      <c r="FM133" s="42"/>
      <c r="FN133" s="42"/>
      <c r="FO133" s="42"/>
      <c r="FP133" s="42"/>
      <c r="FQ133" s="42"/>
      <c r="FR133" s="42"/>
      <c r="FS133" s="42"/>
      <c r="FT133" s="42"/>
      <c r="FU133" s="42"/>
      <c r="FV133" s="42"/>
      <c r="FW133" s="42"/>
      <c r="FX133" s="42"/>
      <c r="FY133" s="42"/>
      <c r="FZ133" s="42"/>
      <c r="GA133" s="42"/>
      <c r="GB133" s="42"/>
      <c r="GC133" s="42"/>
      <c r="GD133" s="42"/>
      <c r="GE133" s="42"/>
      <c r="GF133" s="42"/>
      <c r="GG133" s="42"/>
      <c r="GH133" s="42"/>
      <c r="GI133" s="42"/>
      <c r="GJ133" s="42"/>
      <c r="GK133" s="42"/>
      <c r="GL133" s="42"/>
      <c r="GM133" s="42"/>
      <c r="GN133" s="42"/>
      <c r="GO133" s="42"/>
      <c r="GP133" s="42"/>
      <c r="GQ133" s="42"/>
      <c r="GR133" s="42"/>
      <c r="GS133" s="42"/>
      <c r="GT133" s="42"/>
      <c r="GU133" s="42"/>
      <c r="GV133" s="42"/>
      <c r="GW133" s="42"/>
      <c r="GX133" s="42"/>
      <c r="GY133" s="42"/>
      <c r="GZ133" s="42"/>
      <c r="HA133" s="42"/>
      <c r="HB133" s="42"/>
      <c r="HC133" s="42"/>
      <c r="HD133" s="42"/>
      <c r="HE133" s="42"/>
      <c r="HF133" s="42"/>
      <c r="HG133" s="42"/>
      <c r="HH133" s="42"/>
      <c r="HI133" s="42"/>
      <c r="HJ133" s="42"/>
      <c r="HK133" s="42"/>
      <c r="HL133" s="42"/>
      <c r="HM133" s="42"/>
      <c r="HN133" s="42"/>
      <c r="HO133" s="42"/>
    </row>
    <row r="134" s="4" customFormat="1" ht="20.1" customHeight="1" spans="2:223">
      <c r="B134" s="36">
        <v>14110006</v>
      </c>
      <c r="C134" s="36" t="s">
        <v>184</v>
      </c>
      <c r="D134" s="37">
        <v>1140003</v>
      </c>
      <c r="E134" s="37">
        <v>0</v>
      </c>
      <c r="F134" s="37">
        <v>1</v>
      </c>
      <c r="G134" s="37">
        <v>20</v>
      </c>
      <c r="H134" s="38">
        <v>0.2</v>
      </c>
      <c r="I134" s="41">
        <v>5</v>
      </c>
      <c r="J134" s="15">
        <v>0</v>
      </c>
      <c r="K134" s="37">
        <v>550</v>
      </c>
      <c r="L134" s="37">
        <f t="shared" si="13"/>
        <v>0</v>
      </c>
      <c r="M134" s="37">
        <v>0</v>
      </c>
      <c r="N134" s="37">
        <v>0</v>
      </c>
      <c r="O134" s="37">
        <v>0</v>
      </c>
      <c r="P134" s="37">
        <f t="shared" si="14"/>
        <v>9</v>
      </c>
      <c r="Q134" s="37">
        <v>18</v>
      </c>
      <c r="R134" s="37">
        <f t="shared" si="15"/>
        <v>9</v>
      </c>
      <c r="S134" s="37">
        <v>18</v>
      </c>
      <c r="T134" s="38">
        <v>0</v>
      </c>
      <c r="U134" s="37">
        <v>0</v>
      </c>
      <c r="V134" s="37">
        <v>0</v>
      </c>
      <c r="W134" s="37">
        <v>0</v>
      </c>
      <c r="X134" s="38">
        <v>0</v>
      </c>
      <c r="Y134" s="38">
        <v>0</v>
      </c>
      <c r="Z134" s="38">
        <v>0</v>
      </c>
      <c r="AA134" s="38">
        <v>0</v>
      </c>
      <c r="AB134" s="38">
        <v>0</v>
      </c>
      <c r="AC134" s="38">
        <v>0</v>
      </c>
      <c r="AD134" s="38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  <c r="DL134" s="42"/>
      <c r="DM134" s="42"/>
      <c r="DN134" s="42"/>
      <c r="DO134" s="42"/>
      <c r="DP134" s="42"/>
      <c r="DQ134" s="42"/>
      <c r="DR134" s="42"/>
      <c r="DS134" s="42"/>
      <c r="DT134" s="42"/>
      <c r="DU134" s="42"/>
      <c r="DV134" s="42"/>
      <c r="DW134" s="42"/>
      <c r="DX134" s="42"/>
      <c r="DY134" s="42"/>
      <c r="DZ134" s="42"/>
      <c r="EA134" s="42"/>
      <c r="EB134" s="42"/>
      <c r="EC134" s="42"/>
      <c r="ED134" s="42"/>
      <c r="EE134" s="42"/>
      <c r="EF134" s="42"/>
      <c r="EG134" s="42"/>
      <c r="EH134" s="42"/>
      <c r="EI134" s="42"/>
      <c r="EJ134" s="42"/>
      <c r="EK134" s="42"/>
      <c r="EL134" s="42"/>
      <c r="EM134" s="42"/>
      <c r="EN134" s="42"/>
      <c r="EO134" s="42"/>
      <c r="EP134" s="42"/>
      <c r="EQ134" s="42"/>
      <c r="ER134" s="42"/>
      <c r="ES134" s="42"/>
      <c r="ET134" s="42"/>
      <c r="EU134" s="42"/>
      <c r="EV134" s="42"/>
      <c r="EW134" s="42"/>
      <c r="EX134" s="42"/>
      <c r="EY134" s="42"/>
      <c r="EZ134" s="42"/>
      <c r="FA134" s="42"/>
      <c r="FB134" s="42"/>
      <c r="FC134" s="42"/>
      <c r="FD134" s="42"/>
      <c r="FE134" s="42"/>
      <c r="FF134" s="42"/>
      <c r="FG134" s="42"/>
      <c r="FH134" s="42"/>
      <c r="FI134" s="42"/>
      <c r="FJ134" s="42"/>
      <c r="FK134" s="42"/>
      <c r="FL134" s="42"/>
      <c r="FM134" s="42"/>
      <c r="FN134" s="42"/>
      <c r="FO134" s="42"/>
      <c r="FP134" s="42"/>
      <c r="FQ134" s="42"/>
      <c r="FR134" s="42"/>
      <c r="FS134" s="42"/>
      <c r="FT134" s="42"/>
      <c r="FU134" s="42"/>
      <c r="FV134" s="42"/>
      <c r="FW134" s="42"/>
      <c r="FX134" s="42"/>
      <c r="FY134" s="42"/>
      <c r="FZ134" s="42"/>
      <c r="GA134" s="42"/>
      <c r="GB134" s="42"/>
      <c r="GC134" s="42"/>
      <c r="GD134" s="42"/>
      <c r="GE134" s="42"/>
      <c r="GF134" s="42"/>
      <c r="GG134" s="42"/>
      <c r="GH134" s="42"/>
      <c r="GI134" s="42"/>
      <c r="GJ134" s="42"/>
      <c r="GK134" s="42"/>
      <c r="GL134" s="42"/>
      <c r="GM134" s="42"/>
      <c r="GN134" s="42"/>
      <c r="GO134" s="42"/>
      <c r="GP134" s="42"/>
      <c r="GQ134" s="42"/>
      <c r="GR134" s="42"/>
      <c r="GS134" s="42"/>
      <c r="GT134" s="42"/>
      <c r="GU134" s="42"/>
      <c r="GV134" s="42"/>
      <c r="GW134" s="42"/>
      <c r="GX134" s="42"/>
      <c r="GY134" s="42"/>
      <c r="GZ134" s="42"/>
      <c r="HA134" s="42"/>
      <c r="HB134" s="42"/>
      <c r="HC134" s="42"/>
      <c r="HD134" s="42"/>
      <c r="HE134" s="42"/>
      <c r="HF134" s="42"/>
      <c r="HG134" s="42"/>
      <c r="HH134" s="42"/>
      <c r="HI134" s="42"/>
      <c r="HJ134" s="42"/>
      <c r="HK134" s="42"/>
      <c r="HL134" s="42"/>
      <c r="HM134" s="42"/>
      <c r="HN134" s="42"/>
      <c r="HO134" s="42"/>
    </row>
    <row r="135" s="4" customFormat="1" ht="20.1" customHeight="1" spans="2:223">
      <c r="B135" s="36">
        <v>14110007</v>
      </c>
      <c r="C135" s="36" t="s">
        <v>185</v>
      </c>
      <c r="D135" s="37">
        <v>1140003</v>
      </c>
      <c r="E135" s="37">
        <v>11022</v>
      </c>
      <c r="F135" s="37">
        <v>1</v>
      </c>
      <c r="G135" s="37">
        <v>20</v>
      </c>
      <c r="H135" s="38">
        <v>0.2</v>
      </c>
      <c r="I135" s="41">
        <v>5</v>
      </c>
      <c r="J135" s="15">
        <v>0</v>
      </c>
      <c r="K135" s="37">
        <v>650</v>
      </c>
      <c r="L135" s="37">
        <f t="shared" si="13"/>
        <v>0</v>
      </c>
      <c r="M135" s="37">
        <v>0</v>
      </c>
      <c r="N135" s="37">
        <v>0</v>
      </c>
      <c r="O135" s="37">
        <v>0</v>
      </c>
      <c r="P135" s="37">
        <f t="shared" si="14"/>
        <v>11</v>
      </c>
      <c r="Q135" s="37">
        <v>21</v>
      </c>
      <c r="R135" s="37">
        <f t="shared" si="15"/>
        <v>11</v>
      </c>
      <c r="S135" s="37">
        <v>21</v>
      </c>
      <c r="T135" s="38">
        <v>0</v>
      </c>
      <c r="U135" s="37">
        <v>0</v>
      </c>
      <c r="V135" s="37">
        <v>0</v>
      </c>
      <c r="W135" s="37">
        <v>0</v>
      </c>
      <c r="X135" s="38">
        <v>0</v>
      </c>
      <c r="Y135" s="38">
        <v>0</v>
      </c>
      <c r="Z135" s="38">
        <v>0</v>
      </c>
      <c r="AA135" s="38">
        <v>0</v>
      </c>
      <c r="AB135" s="38">
        <v>0</v>
      </c>
      <c r="AC135" s="38">
        <v>0</v>
      </c>
      <c r="AD135" s="38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2"/>
      <c r="DU135" s="42"/>
      <c r="DV135" s="42"/>
      <c r="DW135" s="42"/>
      <c r="DX135" s="42"/>
      <c r="DY135" s="42"/>
      <c r="DZ135" s="42"/>
      <c r="EA135" s="42"/>
      <c r="EB135" s="42"/>
      <c r="EC135" s="42"/>
      <c r="ED135" s="42"/>
      <c r="EE135" s="42"/>
      <c r="EF135" s="42"/>
      <c r="EG135" s="42"/>
      <c r="EH135" s="42"/>
      <c r="EI135" s="42"/>
      <c r="EJ135" s="42"/>
      <c r="EK135" s="42"/>
      <c r="EL135" s="42"/>
      <c r="EM135" s="42"/>
      <c r="EN135" s="42"/>
      <c r="EO135" s="42"/>
      <c r="EP135" s="42"/>
      <c r="EQ135" s="42"/>
      <c r="ER135" s="42"/>
      <c r="ES135" s="42"/>
      <c r="ET135" s="42"/>
      <c r="EU135" s="42"/>
      <c r="EV135" s="42"/>
      <c r="EW135" s="42"/>
      <c r="EX135" s="42"/>
      <c r="EY135" s="42"/>
      <c r="EZ135" s="42"/>
      <c r="FA135" s="42"/>
      <c r="FB135" s="42"/>
      <c r="FC135" s="42"/>
      <c r="FD135" s="42"/>
      <c r="FE135" s="42"/>
      <c r="FF135" s="42"/>
      <c r="FG135" s="42"/>
      <c r="FH135" s="42"/>
      <c r="FI135" s="42"/>
      <c r="FJ135" s="42"/>
      <c r="FK135" s="42"/>
      <c r="FL135" s="42"/>
      <c r="FM135" s="42"/>
      <c r="FN135" s="42"/>
      <c r="FO135" s="42"/>
      <c r="FP135" s="42"/>
      <c r="FQ135" s="42"/>
      <c r="FR135" s="42"/>
      <c r="FS135" s="42"/>
      <c r="FT135" s="42"/>
      <c r="FU135" s="42"/>
      <c r="FV135" s="42"/>
      <c r="FW135" s="42"/>
      <c r="FX135" s="42"/>
      <c r="FY135" s="42"/>
      <c r="FZ135" s="42"/>
      <c r="GA135" s="42"/>
      <c r="GB135" s="42"/>
      <c r="GC135" s="42"/>
      <c r="GD135" s="42"/>
      <c r="GE135" s="42"/>
      <c r="GF135" s="42"/>
      <c r="GG135" s="42"/>
      <c r="GH135" s="42"/>
      <c r="GI135" s="42"/>
      <c r="GJ135" s="42"/>
      <c r="GK135" s="42"/>
      <c r="GL135" s="42"/>
      <c r="GM135" s="42"/>
      <c r="GN135" s="42"/>
      <c r="GO135" s="42"/>
      <c r="GP135" s="42"/>
      <c r="GQ135" s="42"/>
      <c r="GR135" s="42"/>
      <c r="GS135" s="42"/>
      <c r="GT135" s="42"/>
      <c r="GU135" s="42"/>
      <c r="GV135" s="42"/>
      <c r="GW135" s="42"/>
      <c r="GX135" s="42"/>
      <c r="GY135" s="42"/>
      <c r="GZ135" s="42"/>
      <c r="HA135" s="42"/>
      <c r="HB135" s="42"/>
      <c r="HC135" s="42"/>
      <c r="HD135" s="42"/>
      <c r="HE135" s="42"/>
      <c r="HF135" s="42"/>
      <c r="HG135" s="42"/>
      <c r="HH135" s="42"/>
      <c r="HI135" s="42"/>
      <c r="HJ135" s="42"/>
      <c r="HK135" s="42"/>
      <c r="HL135" s="42"/>
      <c r="HM135" s="42"/>
      <c r="HN135" s="42"/>
      <c r="HO135" s="42"/>
    </row>
    <row r="136" s="4" customFormat="1" ht="20.1" customHeight="1" spans="2:223">
      <c r="B136" s="36">
        <v>14110008</v>
      </c>
      <c r="C136" s="36" t="s">
        <v>186</v>
      </c>
      <c r="D136" s="37">
        <v>1140003</v>
      </c>
      <c r="E136" s="37">
        <v>11042</v>
      </c>
      <c r="F136" s="37">
        <v>1</v>
      </c>
      <c r="G136" s="37">
        <v>20</v>
      </c>
      <c r="H136" s="38">
        <v>0.2</v>
      </c>
      <c r="I136" s="41">
        <v>10</v>
      </c>
      <c r="J136" s="15">
        <v>0</v>
      </c>
      <c r="K136" s="37">
        <v>790</v>
      </c>
      <c r="L136" s="37">
        <f t="shared" si="13"/>
        <v>0</v>
      </c>
      <c r="M136" s="37">
        <v>0</v>
      </c>
      <c r="N136" s="37">
        <v>0</v>
      </c>
      <c r="O136" s="37">
        <v>0</v>
      </c>
      <c r="P136" s="37">
        <f t="shared" si="14"/>
        <v>15</v>
      </c>
      <c r="Q136" s="37">
        <v>29</v>
      </c>
      <c r="R136" s="37">
        <f t="shared" si="15"/>
        <v>15</v>
      </c>
      <c r="S136" s="37">
        <v>29</v>
      </c>
      <c r="T136" s="38">
        <v>0</v>
      </c>
      <c r="U136" s="37">
        <v>0</v>
      </c>
      <c r="V136" s="37">
        <v>0</v>
      </c>
      <c r="W136" s="37">
        <v>0</v>
      </c>
      <c r="X136" s="38">
        <v>0</v>
      </c>
      <c r="Y136" s="38">
        <v>0</v>
      </c>
      <c r="Z136" s="38">
        <v>0</v>
      </c>
      <c r="AA136" s="38">
        <v>0</v>
      </c>
      <c r="AB136" s="38">
        <v>0</v>
      </c>
      <c r="AC136" s="38">
        <v>0</v>
      </c>
      <c r="AD136" s="38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  <c r="DL136" s="42"/>
      <c r="DM136" s="42"/>
      <c r="DN136" s="42"/>
      <c r="DO136" s="42"/>
      <c r="DP136" s="42"/>
      <c r="DQ136" s="42"/>
      <c r="DR136" s="42"/>
      <c r="DS136" s="42"/>
      <c r="DT136" s="42"/>
      <c r="DU136" s="42"/>
      <c r="DV136" s="42"/>
      <c r="DW136" s="42"/>
      <c r="DX136" s="42"/>
      <c r="DY136" s="42"/>
      <c r="DZ136" s="42"/>
      <c r="EA136" s="42"/>
      <c r="EB136" s="42"/>
      <c r="EC136" s="42"/>
      <c r="ED136" s="42"/>
      <c r="EE136" s="42"/>
      <c r="EF136" s="42"/>
      <c r="EG136" s="42"/>
      <c r="EH136" s="42"/>
      <c r="EI136" s="42"/>
      <c r="EJ136" s="42"/>
      <c r="EK136" s="42"/>
      <c r="EL136" s="42"/>
      <c r="EM136" s="42"/>
      <c r="EN136" s="42"/>
      <c r="EO136" s="42"/>
      <c r="EP136" s="42"/>
      <c r="EQ136" s="42"/>
      <c r="ER136" s="42"/>
      <c r="ES136" s="42"/>
      <c r="ET136" s="42"/>
      <c r="EU136" s="42"/>
      <c r="EV136" s="42"/>
      <c r="EW136" s="42"/>
      <c r="EX136" s="42"/>
      <c r="EY136" s="42"/>
      <c r="EZ136" s="42"/>
      <c r="FA136" s="42"/>
      <c r="FB136" s="42"/>
      <c r="FC136" s="42"/>
      <c r="FD136" s="42"/>
      <c r="FE136" s="42"/>
      <c r="FF136" s="42"/>
      <c r="FG136" s="42"/>
      <c r="FH136" s="42"/>
      <c r="FI136" s="42"/>
      <c r="FJ136" s="42"/>
      <c r="FK136" s="42"/>
      <c r="FL136" s="42"/>
      <c r="FM136" s="42"/>
      <c r="FN136" s="42"/>
      <c r="FO136" s="42"/>
      <c r="FP136" s="42"/>
      <c r="FQ136" s="42"/>
      <c r="FR136" s="42"/>
      <c r="FS136" s="42"/>
      <c r="FT136" s="42"/>
      <c r="FU136" s="42"/>
      <c r="FV136" s="42"/>
      <c r="FW136" s="42"/>
      <c r="FX136" s="42"/>
      <c r="FY136" s="42"/>
      <c r="FZ136" s="42"/>
      <c r="GA136" s="42"/>
      <c r="GB136" s="42"/>
      <c r="GC136" s="42"/>
      <c r="GD136" s="42"/>
      <c r="GE136" s="42"/>
      <c r="GF136" s="42"/>
      <c r="GG136" s="42"/>
      <c r="GH136" s="42"/>
      <c r="GI136" s="42"/>
      <c r="GJ136" s="42"/>
      <c r="GK136" s="42"/>
      <c r="GL136" s="42"/>
      <c r="GM136" s="42"/>
      <c r="GN136" s="42"/>
      <c r="GO136" s="42"/>
      <c r="GP136" s="42"/>
      <c r="GQ136" s="42"/>
      <c r="GR136" s="42"/>
      <c r="GS136" s="42"/>
      <c r="GT136" s="42"/>
      <c r="GU136" s="42"/>
      <c r="GV136" s="42"/>
      <c r="GW136" s="42"/>
      <c r="GX136" s="42"/>
      <c r="GY136" s="42"/>
      <c r="GZ136" s="42"/>
      <c r="HA136" s="42"/>
      <c r="HB136" s="42"/>
      <c r="HC136" s="42"/>
      <c r="HD136" s="42"/>
      <c r="HE136" s="42"/>
      <c r="HF136" s="42"/>
      <c r="HG136" s="42"/>
      <c r="HH136" s="42"/>
      <c r="HI136" s="42"/>
      <c r="HJ136" s="42"/>
      <c r="HK136" s="42"/>
      <c r="HL136" s="42"/>
      <c r="HM136" s="42"/>
      <c r="HN136" s="42"/>
      <c r="HO136" s="42"/>
    </row>
    <row r="137" s="4" customFormat="1" ht="20.1" customHeight="1" spans="2:223">
      <c r="B137" s="36">
        <v>14110009</v>
      </c>
      <c r="C137" s="36" t="s">
        <v>187</v>
      </c>
      <c r="D137" s="37">
        <v>1140003</v>
      </c>
      <c r="E137" s="37">
        <v>0</v>
      </c>
      <c r="F137" s="37">
        <v>1</v>
      </c>
      <c r="G137" s="37">
        <v>20</v>
      </c>
      <c r="H137" s="38">
        <v>0.2</v>
      </c>
      <c r="I137" s="41">
        <v>5</v>
      </c>
      <c r="J137" s="15">
        <v>0</v>
      </c>
      <c r="K137" s="37">
        <v>750</v>
      </c>
      <c r="L137" s="37">
        <f t="shared" si="13"/>
        <v>0</v>
      </c>
      <c r="M137" s="37">
        <v>0</v>
      </c>
      <c r="N137" s="37">
        <v>0</v>
      </c>
      <c r="O137" s="37">
        <v>0</v>
      </c>
      <c r="P137" s="37">
        <f t="shared" si="14"/>
        <v>8</v>
      </c>
      <c r="Q137" s="37">
        <v>15</v>
      </c>
      <c r="R137" s="37">
        <f t="shared" si="15"/>
        <v>8</v>
      </c>
      <c r="S137" s="37">
        <v>15</v>
      </c>
      <c r="T137" s="38">
        <v>0</v>
      </c>
      <c r="U137" s="37">
        <v>0</v>
      </c>
      <c r="V137" s="37">
        <v>0</v>
      </c>
      <c r="W137" s="37">
        <v>0</v>
      </c>
      <c r="X137" s="38">
        <v>0</v>
      </c>
      <c r="Y137" s="38">
        <v>0</v>
      </c>
      <c r="Z137" s="38">
        <v>0</v>
      </c>
      <c r="AA137" s="38">
        <v>0</v>
      </c>
      <c r="AB137" s="38">
        <v>0</v>
      </c>
      <c r="AC137" s="38">
        <v>0</v>
      </c>
      <c r="AD137" s="38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  <c r="DL137" s="42"/>
      <c r="DM137" s="42"/>
      <c r="DN137" s="42"/>
      <c r="DO137" s="42"/>
      <c r="DP137" s="42"/>
      <c r="DQ137" s="42"/>
      <c r="DR137" s="42"/>
      <c r="DS137" s="42"/>
      <c r="DT137" s="42"/>
      <c r="DU137" s="42"/>
      <c r="DV137" s="42"/>
      <c r="DW137" s="42"/>
      <c r="DX137" s="42"/>
      <c r="DY137" s="42"/>
      <c r="DZ137" s="42"/>
      <c r="EA137" s="42"/>
      <c r="EB137" s="42"/>
      <c r="EC137" s="42"/>
      <c r="ED137" s="42"/>
      <c r="EE137" s="42"/>
      <c r="EF137" s="42"/>
      <c r="EG137" s="42"/>
      <c r="EH137" s="42"/>
      <c r="EI137" s="42"/>
      <c r="EJ137" s="42"/>
      <c r="EK137" s="42"/>
      <c r="EL137" s="42"/>
      <c r="EM137" s="42"/>
      <c r="EN137" s="42"/>
      <c r="EO137" s="42"/>
      <c r="EP137" s="42"/>
      <c r="EQ137" s="42"/>
      <c r="ER137" s="42"/>
      <c r="ES137" s="42"/>
      <c r="ET137" s="42"/>
      <c r="EU137" s="42"/>
      <c r="EV137" s="42"/>
      <c r="EW137" s="42"/>
      <c r="EX137" s="42"/>
      <c r="EY137" s="42"/>
      <c r="EZ137" s="42"/>
      <c r="FA137" s="42"/>
      <c r="FB137" s="42"/>
      <c r="FC137" s="42"/>
      <c r="FD137" s="42"/>
      <c r="FE137" s="42"/>
      <c r="FF137" s="42"/>
      <c r="FG137" s="42"/>
      <c r="FH137" s="42"/>
      <c r="FI137" s="42"/>
      <c r="FJ137" s="42"/>
      <c r="FK137" s="42"/>
      <c r="FL137" s="42"/>
      <c r="FM137" s="42"/>
      <c r="FN137" s="42"/>
      <c r="FO137" s="42"/>
      <c r="FP137" s="42"/>
      <c r="FQ137" s="42"/>
      <c r="FR137" s="42"/>
      <c r="FS137" s="42"/>
      <c r="FT137" s="42"/>
      <c r="FU137" s="42"/>
      <c r="FV137" s="42"/>
      <c r="FW137" s="42"/>
      <c r="FX137" s="42"/>
      <c r="FY137" s="42"/>
      <c r="FZ137" s="42"/>
      <c r="GA137" s="42"/>
      <c r="GB137" s="42"/>
      <c r="GC137" s="42"/>
      <c r="GD137" s="42"/>
      <c r="GE137" s="42"/>
      <c r="GF137" s="42"/>
      <c r="GG137" s="42"/>
      <c r="GH137" s="42"/>
      <c r="GI137" s="42"/>
      <c r="GJ137" s="42"/>
      <c r="GK137" s="42"/>
      <c r="GL137" s="42"/>
      <c r="GM137" s="42"/>
      <c r="GN137" s="42"/>
      <c r="GO137" s="42"/>
      <c r="GP137" s="42"/>
      <c r="GQ137" s="42"/>
      <c r="GR137" s="42"/>
      <c r="GS137" s="42"/>
      <c r="GT137" s="42"/>
      <c r="GU137" s="42"/>
      <c r="GV137" s="42"/>
      <c r="GW137" s="42"/>
      <c r="GX137" s="42"/>
      <c r="GY137" s="42"/>
      <c r="GZ137" s="42"/>
      <c r="HA137" s="42"/>
      <c r="HB137" s="42"/>
      <c r="HC137" s="42"/>
      <c r="HD137" s="42"/>
      <c r="HE137" s="42"/>
      <c r="HF137" s="42"/>
      <c r="HG137" s="42"/>
      <c r="HH137" s="42"/>
      <c r="HI137" s="42"/>
      <c r="HJ137" s="42"/>
      <c r="HK137" s="42"/>
      <c r="HL137" s="42"/>
      <c r="HM137" s="42"/>
      <c r="HN137" s="42"/>
      <c r="HO137" s="42"/>
    </row>
    <row r="138" s="4" customFormat="1" ht="20.1" customHeight="1" spans="2:223">
      <c r="B138" s="36">
        <v>14110010</v>
      </c>
      <c r="C138" s="36" t="s">
        <v>188</v>
      </c>
      <c r="D138" s="37">
        <v>1140003</v>
      </c>
      <c r="E138" s="37">
        <v>0</v>
      </c>
      <c r="F138" s="37">
        <v>1</v>
      </c>
      <c r="G138" s="37">
        <v>20</v>
      </c>
      <c r="H138" s="38">
        <v>0.2</v>
      </c>
      <c r="I138" s="41">
        <v>5</v>
      </c>
      <c r="J138" s="15">
        <v>0</v>
      </c>
      <c r="K138" s="37">
        <v>1320</v>
      </c>
      <c r="L138" s="37">
        <f t="shared" si="13"/>
        <v>0</v>
      </c>
      <c r="M138" s="37">
        <v>0</v>
      </c>
      <c r="N138" s="37">
        <v>0</v>
      </c>
      <c r="O138" s="37">
        <v>0</v>
      </c>
      <c r="P138" s="37">
        <f t="shared" si="14"/>
        <v>15</v>
      </c>
      <c r="Q138" s="37">
        <v>30</v>
      </c>
      <c r="R138" s="37">
        <f t="shared" si="15"/>
        <v>15</v>
      </c>
      <c r="S138" s="37">
        <v>30</v>
      </c>
      <c r="T138" s="38">
        <v>0</v>
      </c>
      <c r="U138" s="37">
        <v>0</v>
      </c>
      <c r="V138" s="37">
        <v>0</v>
      </c>
      <c r="W138" s="37">
        <v>0</v>
      </c>
      <c r="X138" s="38">
        <v>0</v>
      </c>
      <c r="Y138" s="38">
        <v>0</v>
      </c>
      <c r="Z138" s="38">
        <v>0</v>
      </c>
      <c r="AA138" s="38">
        <v>0</v>
      </c>
      <c r="AB138" s="38">
        <v>0</v>
      </c>
      <c r="AC138" s="38">
        <v>0</v>
      </c>
      <c r="AD138" s="38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  <c r="DX138" s="42"/>
      <c r="DY138" s="42"/>
      <c r="DZ138" s="42"/>
      <c r="EA138" s="42"/>
      <c r="EB138" s="42"/>
      <c r="EC138" s="42"/>
      <c r="ED138" s="42"/>
      <c r="EE138" s="42"/>
      <c r="EF138" s="42"/>
      <c r="EG138" s="42"/>
      <c r="EH138" s="42"/>
      <c r="EI138" s="42"/>
      <c r="EJ138" s="42"/>
      <c r="EK138" s="42"/>
      <c r="EL138" s="42"/>
      <c r="EM138" s="42"/>
      <c r="EN138" s="42"/>
      <c r="EO138" s="42"/>
      <c r="EP138" s="42"/>
      <c r="EQ138" s="42"/>
      <c r="ER138" s="42"/>
      <c r="ES138" s="42"/>
      <c r="ET138" s="42"/>
      <c r="EU138" s="42"/>
      <c r="EV138" s="42"/>
      <c r="EW138" s="42"/>
      <c r="EX138" s="42"/>
      <c r="EY138" s="42"/>
      <c r="EZ138" s="42"/>
      <c r="FA138" s="42"/>
      <c r="FB138" s="42"/>
      <c r="FC138" s="42"/>
      <c r="FD138" s="42"/>
      <c r="FE138" s="42"/>
      <c r="FF138" s="42"/>
      <c r="FG138" s="42"/>
      <c r="FH138" s="42"/>
      <c r="FI138" s="42"/>
      <c r="FJ138" s="42"/>
      <c r="FK138" s="42"/>
      <c r="FL138" s="42"/>
      <c r="FM138" s="42"/>
      <c r="FN138" s="42"/>
      <c r="FO138" s="42"/>
      <c r="FP138" s="42"/>
      <c r="FQ138" s="42"/>
      <c r="FR138" s="42"/>
      <c r="FS138" s="42"/>
      <c r="FT138" s="42"/>
      <c r="FU138" s="42"/>
      <c r="FV138" s="42"/>
      <c r="FW138" s="42"/>
      <c r="FX138" s="42"/>
      <c r="FY138" s="42"/>
      <c r="FZ138" s="42"/>
      <c r="GA138" s="42"/>
      <c r="GB138" s="42"/>
      <c r="GC138" s="42"/>
      <c r="GD138" s="42"/>
      <c r="GE138" s="42"/>
      <c r="GF138" s="42"/>
      <c r="GG138" s="42"/>
      <c r="GH138" s="42"/>
      <c r="GI138" s="42"/>
      <c r="GJ138" s="42"/>
      <c r="GK138" s="42"/>
      <c r="GL138" s="42"/>
      <c r="GM138" s="42"/>
      <c r="GN138" s="42"/>
      <c r="GO138" s="42"/>
      <c r="GP138" s="42"/>
      <c r="GQ138" s="42"/>
      <c r="GR138" s="42"/>
      <c r="GS138" s="42"/>
      <c r="GT138" s="42"/>
      <c r="GU138" s="42"/>
      <c r="GV138" s="42"/>
      <c r="GW138" s="42"/>
      <c r="GX138" s="42"/>
      <c r="GY138" s="42"/>
      <c r="GZ138" s="42"/>
      <c r="HA138" s="42"/>
      <c r="HB138" s="42"/>
      <c r="HC138" s="42"/>
      <c r="HD138" s="42"/>
      <c r="HE138" s="42"/>
      <c r="HF138" s="42"/>
      <c r="HG138" s="42"/>
      <c r="HH138" s="42"/>
      <c r="HI138" s="42"/>
      <c r="HJ138" s="42"/>
      <c r="HK138" s="42"/>
      <c r="HL138" s="42"/>
      <c r="HM138" s="42"/>
      <c r="HN138" s="42"/>
      <c r="HO138" s="42"/>
    </row>
    <row r="139" s="4" customFormat="1" ht="20.1" customHeight="1" spans="2:223">
      <c r="B139" s="36">
        <v>14110011</v>
      </c>
      <c r="C139" s="36" t="s">
        <v>189</v>
      </c>
      <c r="D139" s="37">
        <v>1140003</v>
      </c>
      <c r="E139" s="37">
        <v>11032</v>
      </c>
      <c r="F139" s="37">
        <v>1</v>
      </c>
      <c r="G139" s="37">
        <v>20</v>
      </c>
      <c r="H139" s="38">
        <v>0.2</v>
      </c>
      <c r="I139" s="41">
        <v>5</v>
      </c>
      <c r="J139" s="15">
        <v>0</v>
      </c>
      <c r="K139" s="37">
        <v>1560</v>
      </c>
      <c r="L139" s="37">
        <f t="shared" si="13"/>
        <v>0</v>
      </c>
      <c r="M139" s="37">
        <v>0</v>
      </c>
      <c r="N139" s="37">
        <v>0</v>
      </c>
      <c r="O139" s="37">
        <v>0</v>
      </c>
      <c r="P139" s="37">
        <f t="shared" si="14"/>
        <v>18</v>
      </c>
      <c r="Q139" s="37">
        <v>35</v>
      </c>
      <c r="R139" s="37">
        <f t="shared" si="15"/>
        <v>18</v>
      </c>
      <c r="S139" s="37">
        <v>35</v>
      </c>
      <c r="T139" s="38">
        <v>0</v>
      </c>
      <c r="U139" s="37">
        <v>0</v>
      </c>
      <c r="V139" s="37">
        <v>0</v>
      </c>
      <c r="W139" s="37">
        <v>0</v>
      </c>
      <c r="X139" s="38">
        <v>0</v>
      </c>
      <c r="Y139" s="38">
        <v>0</v>
      </c>
      <c r="Z139" s="38">
        <v>0</v>
      </c>
      <c r="AA139" s="38">
        <v>0</v>
      </c>
      <c r="AB139" s="38">
        <v>0</v>
      </c>
      <c r="AC139" s="38">
        <v>0</v>
      </c>
      <c r="AD139" s="38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  <c r="DL139" s="42"/>
      <c r="DM139" s="42"/>
      <c r="DN139" s="42"/>
      <c r="DO139" s="42"/>
      <c r="DP139" s="42"/>
      <c r="DQ139" s="42"/>
      <c r="DR139" s="42"/>
      <c r="DS139" s="42"/>
      <c r="DT139" s="42"/>
      <c r="DU139" s="42"/>
      <c r="DV139" s="42"/>
      <c r="DW139" s="42"/>
      <c r="DX139" s="42"/>
      <c r="DY139" s="42"/>
      <c r="DZ139" s="42"/>
      <c r="EA139" s="42"/>
      <c r="EB139" s="42"/>
      <c r="EC139" s="42"/>
      <c r="ED139" s="42"/>
      <c r="EE139" s="42"/>
      <c r="EF139" s="42"/>
      <c r="EG139" s="42"/>
      <c r="EH139" s="42"/>
      <c r="EI139" s="42"/>
      <c r="EJ139" s="42"/>
      <c r="EK139" s="42"/>
      <c r="EL139" s="42"/>
      <c r="EM139" s="42"/>
      <c r="EN139" s="42"/>
      <c r="EO139" s="42"/>
      <c r="EP139" s="42"/>
      <c r="EQ139" s="42"/>
      <c r="ER139" s="42"/>
      <c r="ES139" s="42"/>
      <c r="ET139" s="42"/>
      <c r="EU139" s="42"/>
      <c r="EV139" s="42"/>
      <c r="EW139" s="42"/>
      <c r="EX139" s="42"/>
      <c r="EY139" s="42"/>
      <c r="EZ139" s="42"/>
      <c r="FA139" s="42"/>
      <c r="FB139" s="42"/>
      <c r="FC139" s="42"/>
      <c r="FD139" s="42"/>
      <c r="FE139" s="42"/>
      <c r="FF139" s="42"/>
      <c r="FG139" s="42"/>
      <c r="FH139" s="42"/>
      <c r="FI139" s="42"/>
      <c r="FJ139" s="42"/>
      <c r="FK139" s="42"/>
      <c r="FL139" s="42"/>
      <c r="FM139" s="42"/>
      <c r="FN139" s="42"/>
      <c r="FO139" s="42"/>
      <c r="FP139" s="42"/>
      <c r="FQ139" s="42"/>
      <c r="FR139" s="42"/>
      <c r="FS139" s="42"/>
      <c r="FT139" s="42"/>
      <c r="FU139" s="42"/>
      <c r="FV139" s="42"/>
      <c r="FW139" s="42"/>
      <c r="FX139" s="42"/>
      <c r="FY139" s="42"/>
      <c r="FZ139" s="42"/>
      <c r="GA139" s="42"/>
      <c r="GB139" s="42"/>
      <c r="GC139" s="42"/>
      <c r="GD139" s="42"/>
      <c r="GE139" s="42"/>
      <c r="GF139" s="42"/>
      <c r="GG139" s="42"/>
      <c r="GH139" s="42"/>
      <c r="GI139" s="42"/>
      <c r="GJ139" s="42"/>
      <c r="GK139" s="42"/>
      <c r="GL139" s="42"/>
      <c r="GM139" s="42"/>
      <c r="GN139" s="42"/>
      <c r="GO139" s="42"/>
      <c r="GP139" s="42"/>
      <c r="GQ139" s="42"/>
      <c r="GR139" s="42"/>
      <c r="GS139" s="42"/>
      <c r="GT139" s="42"/>
      <c r="GU139" s="42"/>
      <c r="GV139" s="42"/>
      <c r="GW139" s="42"/>
      <c r="GX139" s="42"/>
      <c r="GY139" s="42"/>
      <c r="GZ139" s="42"/>
      <c r="HA139" s="42"/>
      <c r="HB139" s="42"/>
      <c r="HC139" s="42"/>
      <c r="HD139" s="42"/>
      <c r="HE139" s="42"/>
      <c r="HF139" s="42"/>
      <c r="HG139" s="42"/>
      <c r="HH139" s="42"/>
      <c r="HI139" s="42"/>
      <c r="HJ139" s="42"/>
      <c r="HK139" s="42"/>
      <c r="HL139" s="42"/>
      <c r="HM139" s="42"/>
      <c r="HN139" s="42"/>
      <c r="HO139" s="42"/>
    </row>
    <row r="140" s="4" customFormat="1" ht="20.1" customHeight="1" spans="2:223">
      <c r="B140" s="36">
        <v>14110012</v>
      </c>
      <c r="C140" s="36" t="s">
        <v>190</v>
      </c>
      <c r="D140" s="37">
        <v>1140003</v>
      </c>
      <c r="E140" s="37">
        <v>11043</v>
      </c>
      <c r="F140" s="37">
        <v>1</v>
      </c>
      <c r="G140" s="37">
        <v>20</v>
      </c>
      <c r="H140" s="38">
        <v>0.2</v>
      </c>
      <c r="I140" s="41">
        <v>10</v>
      </c>
      <c r="J140" s="15">
        <v>0</v>
      </c>
      <c r="K140" s="37">
        <v>1890</v>
      </c>
      <c r="L140" s="37">
        <f t="shared" si="13"/>
        <v>0</v>
      </c>
      <c r="M140" s="37">
        <v>0</v>
      </c>
      <c r="N140" s="37">
        <v>0</v>
      </c>
      <c r="O140" s="37">
        <v>0</v>
      </c>
      <c r="P140" s="37">
        <f t="shared" si="14"/>
        <v>24</v>
      </c>
      <c r="Q140" s="37">
        <v>48</v>
      </c>
      <c r="R140" s="37">
        <f t="shared" si="15"/>
        <v>24</v>
      </c>
      <c r="S140" s="37">
        <v>48</v>
      </c>
      <c r="T140" s="38">
        <v>0</v>
      </c>
      <c r="U140" s="37">
        <v>0</v>
      </c>
      <c r="V140" s="37">
        <v>0</v>
      </c>
      <c r="W140" s="37">
        <v>0</v>
      </c>
      <c r="X140" s="38">
        <v>0</v>
      </c>
      <c r="Y140" s="38">
        <v>0</v>
      </c>
      <c r="Z140" s="38">
        <v>0</v>
      </c>
      <c r="AA140" s="38">
        <v>0</v>
      </c>
      <c r="AB140" s="38">
        <v>0</v>
      </c>
      <c r="AC140" s="38">
        <v>0</v>
      </c>
      <c r="AD140" s="38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  <c r="DX140" s="42"/>
      <c r="DY140" s="42"/>
      <c r="DZ140" s="42"/>
      <c r="EA140" s="42"/>
      <c r="EB140" s="42"/>
      <c r="EC140" s="42"/>
      <c r="ED140" s="42"/>
      <c r="EE140" s="42"/>
      <c r="EF140" s="42"/>
      <c r="EG140" s="42"/>
      <c r="EH140" s="42"/>
      <c r="EI140" s="42"/>
      <c r="EJ140" s="42"/>
      <c r="EK140" s="42"/>
      <c r="EL140" s="42"/>
      <c r="EM140" s="42"/>
      <c r="EN140" s="42"/>
      <c r="EO140" s="42"/>
      <c r="EP140" s="42"/>
      <c r="EQ140" s="42"/>
      <c r="ER140" s="42"/>
      <c r="ES140" s="42"/>
      <c r="ET140" s="42"/>
      <c r="EU140" s="42"/>
      <c r="EV140" s="42"/>
      <c r="EW140" s="42"/>
      <c r="EX140" s="42"/>
      <c r="EY140" s="42"/>
      <c r="EZ140" s="42"/>
      <c r="FA140" s="42"/>
      <c r="FB140" s="42"/>
      <c r="FC140" s="42"/>
      <c r="FD140" s="42"/>
      <c r="FE140" s="42"/>
      <c r="FF140" s="42"/>
      <c r="FG140" s="42"/>
      <c r="FH140" s="42"/>
      <c r="FI140" s="42"/>
      <c r="FJ140" s="42"/>
      <c r="FK140" s="42"/>
      <c r="FL140" s="42"/>
      <c r="FM140" s="42"/>
      <c r="FN140" s="42"/>
      <c r="FO140" s="42"/>
      <c r="FP140" s="42"/>
      <c r="FQ140" s="42"/>
      <c r="FR140" s="42"/>
      <c r="FS140" s="42"/>
      <c r="FT140" s="42"/>
      <c r="FU140" s="42"/>
      <c r="FV140" s="42"/>
      <c r="FW140" s="42"/>
      <c r="FX140" s="42"/>
      <c r="FY140" s="42"/>
      <c r="FZ140" s="42"/>
      <c r="GA140" s="42"/>
      <c r="GB140" s="42"/>
      <c r="GC140" s="42"/>
      <c r="GD140" s="42"/>
      <c r="GE140" s="42"/>
      <c r="GF140" s="42"/>
      <c r="GG140" s="42"/>
      <c r="GH140" s="42"/>
      <c r="GI140" s="42"/>
      <c r="GJ140" s="42"/>
      <c r="GK140" s="42"/>
      <c r="GL140" s="42"/>
      <c r="GM140" s="42"/>
      <c r="GN140" s="42"/>
      <c r="GO140" s="42"/>
      <c r="GP140" s="42"/>
      <c r="GQ140" s="42"/>
      <c r="GR140" s="42"/>
      <c r="GS140" s="42"/>
      <c r="GT140" s="42"/>
      <c r="GU140" s="42"/>
      <c r="GV140" s="42"/>
      <c r="GW140" s="42"/>
      <c r="GX140" s="42"/>
      <c r="GY140" s="42"/>
      <c r="GZ140" s="42"/>
      <c r="HA140" s="42"/>
      <c r="HB140" s="42"/>
      <c r="HC140" s="42"/>
      <c r="HD140" s="42"/>
      <c r="HE140" s="42"/>
      <c r="HF140" s="42"/>
      <c r="HG140" s="42"/>
      <c r="HH140" s="42"/>
      <c r="HI140" s="42"/>
      <c r="HJ140" s="42"/>
      <c r="HK140" s="42"/>
      <c r="HL140" s="42"/>
      <c r="HM140" s="42"/>
      <c r="HN140" s="42"/>
      <c r="HO140" s="42"/>
    </row>
    <row r="141" ht="20.1" customHeight="1" spans="2:223">
      <c r="B141" s="11">
        <v>14110021</v>
      </c>
      <c r="C141" s="39" t="s">
        <v>191</v>
      </c>
      <c r="D141" s="15">
        <v>1140003</v>
      </c>
      <c r="E141" s="15">
        <v>11041</v>
      </c>
      <c r="F141" s="15">
        <v>1</v>
      </c>
      <c r="G141" s="15">
        <v>20</v>
      </c>
      <c r="H141" s="16">
        <v>0.2</v>
      </c>
      <c r="I141" s="26">
        <v>10</v>
      </c>
      <c r="J141" s="15">
        <v>0</v>
      </c>
      <c r="K141" s="15">
        <v>2050</v>
      </c>
      <c r="L141" s="15">
        <f t="shared" si="13"/>
        <v>0</v>
      </c>
      <c r="M141" s="15">
        <v>0</v>
      </c>
      <c r="N141" s="15">
        <v>0</v>
      </c>
      <c r="O141" s="15">
        <v>0</v>
      </c>
      <c r="P141" s="15">
        <v>25</v>
      </c>
      <c r="Q141" s="15">
        <v>49</v>
      </c>
      <c r="R141" s="15">
        <v>25</v>
      </c>
      <c r="S141" s="15">
        <v>49</v>
      </c>
      <c r="T141" s="16">
        <v>0</v>
      </c>
      <c r="U141" s="15">
        <v>0</v>
      </c>
      <c r="V141" s="15">
        <v>0</v>
      </c>
      <c r="W141" s="15">
        <v>0</v>
      </c>
      <c r="X141" s="16">
        <v>0</v>
      </c>
      <c r="Y141" s="16">
        <v>0</v>
      </c>
      <c r="Z141" s="16">
        <v>0</v>
      </c>
      <c r="AA141" s="16">
        <v>204603</v>
      </c>
      <c r="AB141" s="16">
        <v>500</v>
      </c>
      <c r="AC141" s="16">
        <v>1</v>
      </c>
      <c r="AD141" s="16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</row>
    <row r="142" ht="20.1" customHeight="1" spans="2:223">
      <c r="B142" s="11">
        <v>14110022</v>
      </c>
      <c r="C142" s="39" t="s">
        <v>192</v>
      </c>
      <c r="D142" s="15">
        <v>1140003</v>
      </c>
      <c r="E142" s="15">
        <v>11042</v>
      </c>
      <c r="F142" s="15">
        <v>1</v>
      </c>
      <c r="G142" s="15">
        <v>20</v>
      </c>
      <c r="H142" s="16">
        <v>0.2</v>
      </c>
      <c r="I142" s="26">
        <v>10</v>
      </c>
      <c r="J142" s="15">
        <v>0</v>
      </c>
      <c r="K142" s="15">
        <v>1030</v>
      </c>
      <c r="L142" s="15">
        <f t="shared" si="13"/>
        <v>0</v>
      </c>
      <c r="M142" s="15">
        <v>0</v>
      </c>
      <c r="N142" s="15">
        <v>0</v>
      </c>
      <c r="O142" s="15">
        <v>0</v>
      </c>
      <c r="P142" s="15">
        <v>20</v>
      </c>
      <c r="Q142" s="15">
        <v>38</v>
      </c>
      <c r="R142" s="15">
        <v>20</v>
      </c>
      <c r="S142" s="15">
        <v>38</v>
      </c>
      <c r="T142" s="16">
        <v>0</v>
      </c>
      <c r="U142" s="15">
        <v>0</v>
      </c>
      <c r="V142" s="15">
        <v>0</v>
      </c>
      <c r="W142" s="15">
        <v>0</v>
      </c>
      <c r="X142" s="16">
        <v>0</v>
      </c>
      <c r="Y142" s="16">
        <v>0</v>
      </c>
      <c r="Z142" s="16">
        <v>0</v>
      </c>
      <c r="AA142" s="16">
        <v>204903</v>
      </c>
      <c r="AB142" s="16">
        <v>500</v>
      </c>
      <c r="AC142" s="16">
        <v>1</v>
      </c>
      <c r="AD142" s="16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</row>
    <row r="143" ht="20.1" customHeight="1" spans="2:223">
      <c r="B143" s="11">
        <v>14110023</v>
      </c>
      <c r="C143" s="39" t="s">
        <v>193</v>
      </c>
      <c r="D143" s="15">
        <v>1140003</v>
      </c>
      <c r="E143" s="15">
        <v>11043</v>
      </c>
      <c r="F143" s="15">
        <v>1</v>
      </c>
      <c r="G143" s="15">
        <v>20</v>
      </c>
      <c r="H143" s="16">
        <v>0.2</v>
      </c>
      <c r="I143" s="26">
        <v>10</v>
      </c>
      <c r="J143" s="15">
        <v>0</v>
      </c>
      <c r="K143" s="15">
        <v>3080</v>
      </c>
      <c r="L143" s="15">
        <f t="shared" si="13"/>
        <v>0</v>
      </c>
      <c r="M143" s="15">
        <v>0</v>
      </c>
      <c r="N143" s="15">
        <v>0</v>
      </c>
      <c r="O143" s="15">
        <v>0</v>
      </c>
      <c r="P143" s="15">
        <v>31</v>
      </c>
      <c r="Q143" s="15">
        <v>62</v>
      </c>
      <c r="R143" s="15">
        <v>31</v>
      </c>
      <c r="S143" s="15">
        <v>62</v>
      </c>
      <c r="T143" s="16">
        <v>0</v>
      </c>
      <c r="U143" s="15">
        <v>0</v>
      </c>
      <c r="V143" s="15">
        <v>0</v>
      </c>
      <c r="W143" s="15">
        <v>0</v>
      </c>
      <c r="X143" s="16">
        <v>0</v>
      </c>
      <c r="Y143" s="16">
        <v>0</v>
      </c>
      <c r="Z143" s="16">
        <v>0</v>
      </c>
      <c r="AA143" s="16">
        <v>100202</v>
      </c>
      <c r="AB143" s="16">
        <v>500</v>
      </c>
      <c r="AC143" s="16">
        <v>1</v>
      </c>
      <c r="AD143" s="16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</row>
    <row r="144" ht="20.1" customHeight="1" spans="2:223">
      <c r="B144" s="11">
        <v>15201001</v>
      </c>
      <c r="C144" s="15" t="s">
        <v>194</v>
      </c>
      <c r="D144" s="15">
        <v>1140003</v>
      </c>
      <c r="E144" s="15">
        <v>0</v>
      </c>
      <c r="F144" s="15">
        <v>1</v>
      </c>
      <c r="G144" s="15">
        <v>30</v>
      </c>
      <c r="H144" s="16">
        <v>0.2</v>
      </c>
      <c r="I144" s="26">
        <v>10</v>
      </c>
      <c r="J144" s="15">
        <v>0</v>
      </c>
      <c r="K144" s="15">
        <v>0</v>
      </c>
      <c r="L144" s="15">
        <f t="shared" si="13"/>
        <v>15</v>
      </c>
      <c r="M144" s="15">
        <v>30</v>
      </c>
      <c r="N144" s="15">
        <v>0</v>
      </c>
      <c r="O144" s="15">
        <v>0</v>
      </c>
      <c r="P144" s="15">
        <f t="shared" si="14"/>
        <v>9</v>
      </c>
      <c r="Q144" s="15">
        <v>18</v>
      </c>
      <c r="R144" s="15">
        <f t="shared" si="15"/>
        <v>9</v>
      </c>
      <c r="S144" s="15">
        <v>18</v>
      </c>
      <c r="T144" s="16">
        <v>0</v>
      </c>
      <c r="U144" s="15">
        <v>0</v>
      </c>
      <c r="V144" s="15">
        <v>0</v>
      </c>
      <c r="W144" s="15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</row>
    <row r="145" ht="20.1" customHeight="1" spans="2:223">
      <c r="B145" s="11">
        <v>15201002</v>
      </c>
      <c r="C145" s="15" t="s">
        <v>195</v>
      </c>
      <c r="D145" s="15">
        <v>1140003</v>
      </c>
      <c r="E145" s="15">
        <v>12011</v>
      </c>
      <c r="F145" s="15">
        <v>1</v>
      </c>
      <c r="G145" s="15">
        <v>30</v>
      </c>
      <c r="H145" s="16">
        <v>0.2</v>
      </c>
      <c r="I145" s="26">
        <v>10</v>
      </c>
      <c r="J145" s="15">
        <v>0</v>
      </c>
      <c r="K145" s="15">
        <v>0</v>
      </c>
      <c r="L145" s="15">
        <f t="shared" si="13"/>
        <v>19</v>
      </c>
      <c r="M145" s="15">
        <v>38</v>
      </c>
      <c r="N145" s="15">
        <v>0</v>
      </c>
      <c r="O145" s="15">
        <v>0</v>
      </c>
      <c r="P145" s="15">
        <f t="shared" si="14"/>
        <v>12</v>
      </c>
      <c r="Q145" s="15">
        <v>23</v>
      </c>
      <c r="R145" s="15">
        <f t="shared" si="15"/>
        <v>12</v>
      </c>
      <c r="S145" s="15">
        <v>23</v>
      </c>
      <c r="T145" s="16">
        <v>0</v>
      </c>
      <c r="U145" s="15">
        <v>0</v>
      </c>
      <c r="V145" s="15">
        <v>0</v>
      </c>
      <c r="W145" s="15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</row>
    <row r="146" ht="20.1" customHeight="1" spans="2:223">
      <c r="B146" s="11">
        <v>15201003</v>
      </c>
      <c r="C146" s="15" t="s">
        <v>196</v>
      </c>
      <c r="D146" s="15">
        <v>1140003</v>
      </c>
      <c r="E146" s="15">
        <v>0</v>
      </c>
      <c r="F146" s="15">
        <v>1</v>
      </c>
      <c r="G146" s="15">
        <v>30</v>
      </c>
      <c r="H146" s="16">
        <v>0.2</v>
      </c>
      <c r="I146" s="26">
        <v>10</v>
      </c>
      <c r="J146" s="15">
        <v>0</v>
      </c>
      <c r="K146" s="15">
        <v>0</v>
      </c>
      <c r="L146" s="15">
        <f t="shared" si="13"/>
        <v>21</v>
      </c>
      <c r="M146" s="15">
        <v>41</v>
      </c>
      <c r="N146" s="15">
        <v>0</v>
      </c>
      <c r="O146" s="15">
        <v>0</v>
      </c>
      <c r="P146" s="15">
        <f t="shared" si="14"/>
        <v>7</v>
      </c>
      <c r="Q146" s="15">
        <v>14</v>
      </c>
      <c r="R146" s="15">
        <f t="shared" si="15"/>
        <v>7</v>
      </c>
      <c r="S146" s="15">
        <v>14</v>
      </c>
      <c r="T146" s="16">
        <v>0</v>
      </c>
      <c r="U146" s="15">
        <v>0</v>
      </c>
      <c r="V146" s="15">
        <v>0</v>
      </c>
      <c r="W146" s="15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</row>
    <row r="147" ht="20.1" customHeight="1" spans="2:223">
      <c r="B147" s="11">
        <v>15201004</v>
      </c>
      <c r="C147" s="15" t="s">
        <v>197</v>
      </c>
      <c r="D147" s="15">
        <v>1140003</v>
      </c>
      <c r="E147" s="15">
        <v>12021</v>
      </c>
      <c r="F147" s="15">
        <v>1</v>
      </c>
      <c r="G147" s="15">
        <v>30</v>
      </c>
      <c r="H147" s="16">
        <v>0.2</v>
      </c>
      <c r="I147" s="26">
        <v>10</v>
      </c>
      <c r="J147" s="15">
        <v>0</v>
      </c>
      <c r="K147" s="15">
        <v>0</v>
      </c>
      <c r="L147" s="15">
        <f t="shared" si="13"/>
        <v>26</v>
      </c>
      <c r="M147" s="15">
        <v>51</v>
      </c>
      <c r="N147" s="15">
        <v>0</v>
      </c>
      <c r="O147" s="15">
        <v>0</v>
      </c>
      <c r="P147" s="15">
        <f t="shared" si="14"/>
        <v>9</v>
      </c>
      <c r="Q147" s="15">
        <v>17</v>
      </c>
      <c r="R147" s="15">
        <f t="shared" si="15"/>
        <v>9</v>
      </c>
      <c r="S147" s="15">
        <v>17</v>
      </c>
      <c r="T147" s="16">
        <v>0</v>
      </c>
      <c r="U147" s="15">
        <v>0</v>
      </c>
      <c r="V147" s="15">
        <v>0</v>
      </c>
      <c r="W147" s="15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</row>
    <row r="148" ht="20.1" customHeight="1" spans="2:223">
      <c r="B148" s="11">
        <v>15201005</v>
      </c>
      <c r="C148" s="15" t="s">
        <v>198</v>
      </c>
      <c r="D148" s="15">
        <v>1140003</v>
      </c>
      <c r="E148" s="15">
        <v>0</v>
      </c>
      <c r="F148" s="15">
        <v>1</v>
      </c>
      <c r="G148" s="15">
        <v>30</v>
      </c>
      <c r="H148" s="16">
        <v>0.2</v>
      </c>
      <c r="I148" s="26">
        <v>10</v>
      </c>
      <c r="J148" s="15">
        <v>0</v>
      </c>
      <c r="K148" s="15">
        <v>0</v>
      </c>
      <c r="L148" s="15">
        <f t="shared" si="13"/>
        <v>12</v>
      </c>
      <c r="M148" s="15">
        <v>23</v>
      </c>
      <c r="N148" s="15">
        <v>0</v>
      </c>
      <c r="O148" s="15">
        <v>0</v>
      </c>
      <c r="P148" s="15">
        <f t="shared" si="14"/>
        <v>12</v>
      </c>
      <c r="Q148" s="15">
        <v>23</v>
      </c>
      <c r="R148" s="15">
        <f t="shared" si="15"/>
        <v>12</v>
      </c>
      <c r="S148" s="15">
        <v>23</v>
      </c>
      <c r="T148" s="16">
        <v>0</v>
      </c>
      <c r="U148" s="15">
        <v>0</v>
      </c>
      <c r="V148" s="15">
        <v>0</v>
      </c>
      <c r="W148" s="15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</row>
    <row r="149" ht="20.1" customHeight="1" spans="2:223">
      <c r="B149" s="11">
        <v>15201006</v>
      </c>
      <c r="C149" s="15" t="s">
        <v>199</v>
      </c>
      <c r="D149" s="15">
        <v>1140003</v>
      </c>
      <c r="E149" s="15">
        <v>12031</v>
      </c>
      <c r="F149" s="15">
        <v>1</v>
      </c>
      <c r="G149" s="15">
        <v>30</v>
      </c>
      <c r="H149" s="16">
        <v>0.2</v>
      </c>
      <c r="I149" s="26">
        <v>10</v>
      </c>
      <c r="J149" s="15">
        <v>0</v>
      </c>
      <c r="K149" s="15">
        <v>0</v>
      </c>
      <c r="L149" s="15">
        <f t="shared" si="13"/>
        <v>15</v>
      </c>
      <c r="M149" s="15">
        <v>29</v>
      </c>
      <c r="N149" s="15">
        <v>0</v>
      </c>
      <c r="O149" s="15">
        <v>0</v>
      </c>
      <c r="P149" s="15">
        <f t="shared" si="14"/>
        <v>15</v>
      </c>
      <c r="Q149" s="15">
        <v>29</v>
      </c>
      <c r="R149" s="15">
        <f t="shared" si="15"/>
        <v>15</v>
      </c>
      <c r="S149" s="15">
        <v>29</v>
      </c>
      <c r="T149" s="16">
        <v>0</v>
      </c>
      <c r="U149" s="15">
        <v>0</v>
      </c>
      <c r="V149" s="15">
        <v>0</v>
      </c>
      <c r="W149" s="15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</row>
    <row r="150" ht="20.1" customHeight="1" spans="2:223">
      <c r="B150" s="11">
        <v>15202001</v>
      </c>
      <c r="C150" s="15" t="s">
        <v>200</v>
      </c>
      <c r="D150" s="15">
        <v>1140003</v>
      </c>
      <c r="E150" s="15">
        <v>0</v>
      </c>
      <c r="F150" s="15">
        <v>1</v>
      </c>
      <c r="G150" s="15">
        <v>30</v>
      </c>
      <c r="H150" s="16">
        <v>0.2</v>
      </c>
      <c r="I150" s="26">
        <v>10</v>
      </c>
      <c r="J150" s="15">
        <v>0</v>
      </c>
      <c r="K150" s="15">
        <v>0</v>
      </c>
      <c r="L150" s="15">
        <f t="shared" si="13"/>
        <v>20</v>
      </c>
      <c r="M150" s="15">
        <v>40</v>
      </c>
      <c r="N150" s="15">
        <v>0</v>
      </c>
      <c r="O150" s="15">
        <v>0</v>
      </c>
      <c r="P150" s="15">
        <f t="shared" si="14"/>
        <v>0</v>
      </c>
      <c r="Q150" s="15">
        <v>0</v>
      </c>
      <c r="R150" s="15">
        <f t="shared" si="15"/>
        <v>28</v>
      </c>
      <c r="S150" s="15">
        <v>55</v>
      </c>
      <c r="T150" s="16">
        <v>0</v>
      </c>
      <c r="U150" s="15">
        <v>0</v>
      </c>
      <c r="V150" s="15">
        <v>0</v>
      </c>
      <c r="W150" s="15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</row>
    <row r="151" ht="20.1" customHeight="1" spans="2:223">
      <c r="B151" s="11">
        <v>15202002</v>
      </c>
      <c r="C151" s="15" t="s">
        <v>201</v>
      </c>
      <c r="D151" s="15">
        <v>1140003</v>
      </c>
      <c r="E151" s="15">
        <v>12011</v>
      </c>
      <c r="F151" s="15">
        <v>1</v>
      </c>
      <c r="G151" s="15">
        <v>30</v>
      </c>
      <c r="H151" s="16">
        <v>0.2</v>
      </c>
      <c r="I151" s="26">
        <v>10</v>
      </c>
      <c r="J151" s="15">
        <v>0</v>
      </c>
      <c r="K151" s="15">
        <v>0</v>
      </c>
      <c r="L151" s="15">
        <f t="shared" si="13"/>
        <v>25</v>
      </c>
      <c r="M151" s="15">
        <v>49</v>
      </c>
      <c r="N151" s="15">
        <v>0</v>
      </c>
      <c r="O151" s="15">
        <v>0</v>
      </c>
      <c r="P151" s="15">
        <f t="shared" si="14"/>
        <v>0</v>
      </c>
      <c r="Q151" s="15">
        <v>0</v>
      </c>
      <c r="R151" s="15">
        <f t="shared" si="15"/>
        <v>34</v>
      </c>
      <c r="S151" s="15">
        <v>68</v>
      </c>
      <c r="T151" s="16">
        <v>0</v>
      </c>
      <c r="U151" s="15">
        <v>0</v>
      </c>
      <c r="V151" s="15">
        <v>0</v>
      </c>
      <c r="W151" s="15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</row>
    <row r="152" ht="20.1" customHeight="1" spans="2:223">
      <c r="B152" s="11">
        <v>15202003</v>
      </c>
      <c r="C152" s="15" t="s">
        <v>202</v>
      </c>
      <c r="D152" s="15">
        <v>1140003</v>
      </c>
      <c r="E152" s="15">
        <v>0</v>
      </c>
      <c r="F152" s="15">
        <v>1</v>
      </c>
      <c r="G152" s="15">
        <v>30</v>
      </c>
      <c r="H152" s="16">
        <v>0.2</v>
      </c>
      <c r="I152" s="26">
        <v>10</v>
      </c>
      <c r="J152" s="15">
        <v>0</v>
      </c>
      <c r="K152" s="15">
        <v>0</v>
      </c>
      <c r="L152" s="15">
        <f t="shared" si="13"/>
        <v>27</v>
      </c>
      <c r="M152" s="15">
        <v>54</v>
      </c>
      <c r="N152" s="15">
        <v>0</v>
      </c>
      <c r="O152" s="15">
        <v>0</v>
      </c>
      <c r="P152" s="15">
        <f t="shared" si="14"/>
        <v>0</v>
      </c>
      <c r="Q152" s="15">
        <v>0</v>
      </c>
      <c r="R152" s="15">
        <f t="shared" si="15"/>
        <v>21</v>
      </c>
      <c r="S152" s="15">
        <v>41</v>
      </c>
      <c r="T152" s="16">
        <v>0</v>
      </c>
      <c r="U152" s="15">
        <v>0</v>
      </c>
      <c r="V152" s="15">
        <v>0</v>
      </c>
      <c r="W152" s="15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</row>
    <row r="153" ht="20.1" customHeight="1" spans="2:223">
      <c r="B153" s="11">
        <v>15202004</v>
      </c>
      <c r="C153" s="15" t="s">
        <v>203</v>
      </c>
      <c r="D153" s="15">
        <v>1140003</v>
      </c>
      <c r="E153" s="15">
        <v>12021</v>
      </c>
      <c r="F153" s="15">
        <v>1</v>
      </c>
      <c r="G153" s="15">
        <v>30</v>
      </c>
      <c r="H153" s="16">
        <v>0.2</v>
      </c>
      <c r="I153" s="26">
        <v>10</v>
      </c>
      <c r="J153" s="15">
        <v>0</v>
      </c>
      <c r="K153" s="15">
        <v>0</v>
      </c>
      <c r="L153" s="15">
        <f t="shared" si="13"/>
        <v>33</v>
      </c>
      <c r="M153" s="15">
        <v>66</v>
      </c>
      <c r="N153" s="15">
        <v>0</v>
      </c>
      <c r="O153" s="15">
        <v>0</v>
      </c>
      <c r="P153" s="15">
        <f t="shared" si="14"/>
        <v>0</v>
      </c>
      <c r="Q153" s="15">
        <v>0</v>
      </c>
      <c r="R153" s="15">
        <f t="shared" si="15"/>
        <v>26</v>
      </c>
      <c r="S153" s="15">
        <v>51</v>
      </c>
      <c r="T153" s="16">
        <v>0</v>
      </c>
      <c r="U153" s="15">
        <v>0</v>
      </c>
      <c r="V153" s="15">
        <v>0</v>
      </c>
      <c r="W153" s="15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</row>
    <row r="154" ht="20.1" customHeight="1" spans="2:223">
      <c r="B154" s="11">
        <v>15202005</v>
      </c>
      <c r="C154" s="15" t="s">
        <v>204</v>
      </c>
      <c r="D154" s="15">
        <v>1140003</v>
      </c>
      <c r="E154" s="15">
        <v>0</v>
      </c>
      <c r="F154" s="15">
        <v>1</v>
      </c>
      <c r="G154" s="15">
        <v>30</v>
      </c>
      <c r="H154" s="16">
        <v>0.2</v>
      </c>
      <c r="I154" s="26">
        <v>10</v>
      </c>
      <c r="J154" s="15">
        <v>0</v>
      </c>
      <c r="K154" s="15">
        <v>0</v>
      </c>
      <c r="L154" s="15">
        <f t="shared" si="13"/>
        <v>15</v>
      </c>
      <c r="M154" s="15">
        <v>30</v>
      </c>
      <c r="N154" s="15">
        <v>0</v>
      </c>
      <c r="O154" s="15">
        <v>0</v>
      </c>
      <c r="P154" s="15">
        <f t="shared" si="14"/>
        <v>0</v>
      </c>
      <c r="Q154" s="15">
        <v>0</v>
      </c>
      <c r="R154" s="15">
        <f t="shared" si="15"/>
        <v>35</v>
      </c>
      <c r="S154" s="15">
        <v>69</v>
      </c>
      <c r="T154" s="16">
        <v>0</v>
      </c>
      <c r="U154" s="15">
        <v>0</v>
      </c>
      <c r="V154" s="15">
        <v>0</v>
      </c>
      <c r="W154" s="15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</row>
    <row r="155" ht="20.1" customHeight="1" spans="2:223">
      <c r="B155" s="11">
        <v>15202006</v>
      </c>
      <c r="C155" s="15" t="s">
        <v>205</v>
      </c>
      <c r="D155" s="15">
        <v>1140003</v>
      </c>
      <c r="E155" s="15">
        <v>12031</v>
      </c>
      <c r="F155" s="15">
        <v>1</v>
      </c>
      <c r="G155" s="15">
        <v>30</v>
      </c>
      <c r="H155" s="16">
        <v>0.2</v>
      </c>
      <c r="I155" s="26">
        <v>10</v>
      </c>
      <c r="J155" s="15">
        <v>0</v>
      </c>
      <c r="K155" s="15">
        <v>0</v>
      </c>
      <c r="L155" s="15">
        <f t="shared" si="13"/>
        <v>19</v>
      </c>
      <c r="M155" s="15">
        <v>37</v>
      </c>
      <c r="N155" s="15">
        <v>0</v>
      </c>
      <c r="O155" s="15">
        <v>0</v>
      </c>
      <c r="P155" s="15">
        <f t="shared" si="14"/>
        <v>0</v>
      </c>
      <c r="Q155" s="15">
        <v>0</v>
      </c>
      <c r="R155" s="15">
        <f t="shared" si="15"/>
        <v>43</v>
      </c>
      <c r="S155" s="15">
        <v>85</v>
      </c>
      <c r="T155" s="16">
        <v>0</v>
      </c>
      <c r="U155" s="15">
        <v>0</v>
      </c>
      <c r="V155" s="15">
        <v>0</v>
      </c>
      <c r="W155" s="15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</row>
    <row r="156" ht="20.1" customHeight="1" spans="2:223">
      <c r="B156" s="11">
        <v>15203001</v>
      </c>
      <c r="C156" s="15" t="s">
        <v>206</v>
      </c>
      <c r="D156" s="15">
        <v>1140003</v>
      </c>
      <c r="E156" s="15">
        <v>0</v>
      </c>
      <c r="F156" s="15">
        <v>1</v>
      </c>
      <c r="G156" s="15">
        <v>30</v>
      </c>
      <c r="H156" s="16">
        <v>0.2</v>
      </c>
      <c r="I156" s="26">
        <v>10</v>
      </c>
      <c r="J156" s="15">
        <v>0</v>
      </c>
      <c r="K156" s="15">
        <v>650</v>
      </c>
      <c r="L156" s="15">
        <f t="shared" si="13"/>
        <v>11</v>
      </c>
      <c r="M156" s="15">
        <v>22</v>
      </c>
      <c r="N156" s="15">
        <v>0</v>
      </c>
      <c r="O156" s="15">
        <v>0</v>
      </c>
      <c r="P156" s="15">
        <f t="shared" si="14"/>
        <v>18</v>
      </c>
      <c r="Q156" s="15">
        <v>35</v>
      </c>
      <c r="R156" s="15">
        <f t="shared" si="15"/>
        <v>0</v>
      </c>
      <c r="S156" s="15">
        <v>0</v>
      </c>
      <c r="T156" s="16">
        <v>0</v>
      </c>
      <c r="U156" s="15">
        <v>0</v>
      </c>
      <c r="V156" s="15">
        <v>0</v>
      </c>
      <c r="W156" s="15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</row>
    <row r="157" ht="20.1" customHeight="1" spans="2:223">
      <c r="B157" s="11">
        <v>15203002</v>
      </c>
      <c r="C157" s="15" t="s">
        <v>207</v>
      </c>
      <c r="D157" s="15">
        <v>1140003</v>
      </c>
      <c r="E157" s="15">
        <v>12011</v>
      </c>
      <c r="F157" s="15">
        <v>1</v>
      </c>
      <c r="G157" s="15">
        <v>30</v>
      </c>
      <c r="H157" s="16">
        <v>0.2</v>
      </c>
      <c r="I157" s="26">
        <v>10</v>
      </c>
      <c r="J157" s="15">
        <v>0</v>
      </c>
      <c r="K157" s="15">
        <v>780</v>
      </c>
      <c r="L157" s="15">
        <f t="shared" si="13"/>
        <v>13</v>
      </c>
      <c r="M157" s="15">
        <v>26</v>
      </c>
      <c r="N157" s="15">
        <v>0</v>
      </c>
      <c r="O157" s="15">
        <v>0</v>
      </c>
      <c r="P157" s="15">
        <f t="shared" si="14"/>
        <v>23</v>
      </c>
      <c r="Q157" s="15">
        <v>45</v>
      </c>
      <c r="R157" s="15">
        <f t="shared" si="15"/>
        <v>0</v>
      </c>
      <c r="S157" s="15">
        <v>0</v>
      </c>
      <c r="T157" s="16">
        <v>0</v>
      </c>
      <c r="U157" s="15">
        <v>0</v>
      </c>
      <c r="V157" s="15">
        <v>0</v>
      </c>
      <c r="W157" s="15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</row>
    <row r="158" ht="20.1" customHeight="1" spans="2:223">
      <c r="B158" s="11">
        <v>15203003</v>
      </c>
      <c r="C158" s="15" t="s">
        <v>208</v>
      </c>
      <c r="D158" s="15">
        <v>1140003</v>
      </c>
      <c r="E158" s="15">
        <v>0</v>
      </c>
      <c r="F158" s="15">
        <v>1</v>
      </c>
      <c r="G158" s="15">
        <v>30</v>
      </c>
      <c r="H158" s="16">
        <v>0.2</v>
      </c>
      <c r="I158" s="26">
        <v>10</v>
      </c>
      <c r="J158" s="15">
        <v>0</v>
      </c>
      <c r="K158" s="15">
        <v>330</v>
      </c>
      <c r="L158" s="15">
        <f t="shared" si="13"/>
        <v>15</v>
      </c>
      <c r="M158" s="15">
        <v>30</v>
      </c>
      <c r="N158" s="15">
        <v>0</v>
      </c>
      <c r="O158" s="15">
        <v>0</v>
      </c>
      <c r="P158" s="15">
        <f t="shared" si="14"/>
        <v>13</v>
      </c>
      <c r="Q158" s="15">
        <v>26</v>
      </c>
      <c r="R158" s="15">
        <f t="shared" si="15"/>
        <v>0</v>
      </c>
      <c r="S158" s="15">
        <v>0</v>
      </c>
      <c r="T158" s="16">
        <v>0</v>
      </c>
      <c r="U158" s="15">
        <v>0</v>
      </c>
      <c r="V158" s="15">
        <v>0</v>
      </c>
      <c r="W158" s="15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</row>
    <row r="159" ht="20.1" customHeight="1" spans="2:223">
      <c r="B159" s="11">
        <v>15203004</v>
      </c>
      <c r="C159" s="15" t="s">
        <v>209</v>
      </c>
      <c r="D159" s="15">
        <v>1140003</v>
      </c>
      <c r="E159" s="15">
        <v>12021</v>
      </c>
      <c r="F159" s="15">
        <v>1</v>
      </c>
      <c r="G159" s="15">
        <v>30</v>
      </c>
      <c r="H159" s="16">
        <v>0.2</v>
      </c>
      <c r="I159" s="26">
        <v>10</v>
      </c>
      <c r="J159" s="15">
        <v>0</v>
      </c>
      <c r="K159" s="15">
        <v>390</v>
      </c>
      <c r="L159" s="15">
        <f t="shared" si="13"/>
        <v>18</v>
      </c>
      <c r="M159" s="15">
        <v>35</v>
      </c>
      <c r="N159" s="15">
        <v>0</v>
      </c>
      <c r="O159" s="15">
        <v>0</v>
      </c>
      <c r="P159" s="15">
        <f t="shared" si="14"/>
        <v>17</v>
      </c>
      <c r="Q159" s="15">
        <v>34</v>
      </c>
      <c r="R159" s="15">
        <f t="shared" si="15"/>
        <v>0</v>
      </c>
      <c r="S159" s="15">
        <v>0</v>
      </c>
      <c r="T159" s="16">
        <v>0</v>
      </c>
      <c r="U159" s="15">
        <v>0</v>
      </c>
      <c r="V159" s="15">
        <v>0</v>
      </c>
      <c r="W159" s="15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</row>
    <row r="160" ht="20.1" customHeight="1" spans="2:223">
      <c r="B160" s="11">
        <v>15203005</v>
      </c>
      <c r="C160" s="15" t="s">
        <v>210</v>
      </c>
      <c r="D160" s="15">
        <v>1140003</v>
      </c>
      <c r="E160" s="15">
        <v>0</v>
      </c>
      <c r="F160" s="15">
        <v>1</v>
      </c>
      <c r="G160" s="15">
        <v>30</v>
      </c>
      <c r="H160" s="16">
        <v>0.2</v>
      </c>
      <c r="I160" s="26">
        <v>10</v>
      </c>
      <c r="J160" s="15">
        <v>0</v>
      </c>
      <c r="K160" s="15">
        <v>980</v>
      </c>
      <c r="L160" s="15">
        <f t="shared" si="13"/>
        <v>9</v>
      </c>
      <c r="M160" s="15">
        <v>17</v>
      </c>
      <c r="N160" s="15">
        <v>0</v>
      </c>
      <c r="O160" s="15">
        <v>0</v>
      </c>
      <c r="P160" s="15">
        <f t="shared" si="14"/>
        <v>22</v>
      </c>
      <c r="Q160" s="15">
        <v>44</v>
      </c>
      <c r="R160" s="15">
        <f t="shared" si="15"/>
        <v>0</v>
      </c>
      <c r="S160" s="15">
        <v>0</v>
      </c>
      <c r="T160" s="16">
        <v>0</v>
      </c>
      <c r="U160" s="15">
        <v>0</v>
      </c>
      <c r="V160" s="15">
        <v>0</v>
      </c>
      <c r="W160" s="15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</row>
    <row r="161" ht="20.1" customHeight="1" spans="2:223">
      <c r="B161" s="11">
        <v>15203006</v>
      </c>
      <c r="C161" s="15" t="s">
        <v>211</v>
      </c>
      <c r="D161" s="15">
        <v>1140003</v>
      </c>
      <c r="E161" s="15">
        <v>12031</v>
      </c>
      <c r="F161" s="15">
        <v>1</v>
      </c>
      <c r="G161" s="15">
        <v>30</v>
      </c>
      <c r="H161" s="16">
        <v>0.2</v>
      </c>
      <c r="I161" s="26">
        <v>10</v>
      </c>
      <c r="J161" s="15">
        <v>0</v>
      </c>
      <c r="K161" s="15">
        <v>1170</v>
      </c>
      <c r="L161" s="15">
        <f t="shared" si="13"/>
        <v>10</v>
      </c>
      <c r="M161" s="15">
        <v>20</v>
      </c>
      <c r="N161" s="15">
        <v>0</v>
      </c>
      <c r="O161" s="15">
        <v>0</v>
      </c>
      <c r="P161" s="15">
        <f t="shared" si="14"/>
        <v>28</v>
      </c>
      <c r="Q161" s="15">
        <v>56</v>
      </c>
      <c r="R161" s="15">
        <f t="shared" si="15"/>
        <v>0</v>
      </c>
      <c r="S161" s="15">
        <v>0</v>
      </c>
      <c r="T161" s="16">
        <v>0</v>
      </c>
      <c r="U161" s="15">
        <v>0</v>
      </c>
      <c r="V161" s="15">
        <v>0</v>
      </c>
      <c r="W161" s="15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</row>
    <row r="162" ht="20.1" customHeight="1" spans="2:223">
      <c r="B162" s="11">
        <v>15204001</v>
      </c>
      <c r="C162" s="15" t="s">
        <v>212</v>
      </c>
      <c r="D162" s="15">
        <v>1140003</v>
      </c>
      <c r="E162" s="15">
        <v>0</v>
      </c>
      <c r="F162" s="15">
        <v>1</v>
      </c>
      <c r="G162" s="15">
        <v>30</v>
      </c>
      <c r="H162" s="16">
        <v>0.2</v>
      </c>
      <c r="I162" s="26">
        <v>10</v>
      </c>
      <c r="J162" s="15">
        <v>0</v>
      </c>
      <c r="K162" s="15">
        <v>0</v>
      </c>
      <c r="L162" s="15">
        <f t="shared" si="13"/>
        <v>18</v>
      </c>
      <c r="M162" s="15">
        <v>35</v>
      </c>
      <c r="N162" s="15">
        <v>0</v>
      </c>
      <c r="O162" s="15">
        <v>0</v>
      </c>
      <c r="P162" s="15">
        <f t="shared" si="14"/>
        <v>18</v>
      </c>
      <c r="Q162" s="15">
        <v>35</v>
      </c>
      <c r="R162" s="15">
        <f t="shared" si="15"/>
        <v>18</v>
      </c>
      <c r="S162" s="15">
        <v>35</v>
      </c>
      <c r="T162" s="16">
        <v>0</v>
      </c>
      <c r="U162" s="15">
        <v>0</v>
      </c>
      <c r="V162" s="15">
        <v>0</v>
      </c>
      <c r="W162" s="15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</row>
    <row r="163" ht="20.1" customHeight="1" spans="2:223">
      <c r="B163" s="11">
        <v>15204002</v>
      </c>
      <c r="C163" s="15" t="s">
        <v>213</v>
      </c>
      <c r="D163" s="15">
        <v>1140003</v>
      </c>
      <c r="E163" s="15">
        <v>12011</v>
      </c>
      <c r="F163" s="15">
        <v>1</v>
      </c>
      <c r="G163" s="15">
        <v>30</v>
      </c>
      <c r="H163" s="16">
        <v>0.2</v>
      </c>
      <c r="I163" s="26">
        <v>10</v>
      </c>
      <c r="J163" s="15">
        <v>0</v>
      </c>
      <c r="K163" s="15">
        <v>0</v>
      </c>
      <c r="L163" s="15">
        <f t="shared" si="13"/>
        <v>21</v>
      </c>
      <c r="M163" s="15">
        <v>41</v>
      </c>
      <c r="N163" s="15">
        <v>0</v>
      </c>
      <c r="O163" s="15">
        <v>0</v>
      </c>
      <c r="P163" s="15">
        <f t="shared" si="14"/>
        <v>23</v>
      </c>
      <c r="Q163" s="15">
        <v>45</v>
      </c>
      <c r="R163" s="15">
        <f t="shared" si="15"/>
        <v>23</v>
      </c>
      <c r="S163" s="15">
        <v>45</v>
      </c>
      <c r="T163" s="16">
        <v>0</v>
      </c>
      <c r="U163" s="15">
        <v>0</v>
      </c>
      <c r="V163" s="15">
        <v>0</v>
      </c>
      <c r="W163" s="15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</row>
    <row r="164" ht="20.1" customHeight="1" spans="2:223">
      <c r="B164" s="11">
        <v>15204003</v>
      </c>
      <c r="C164" s="15" t="s">
        <v>214</v>
      </c>
      <c r="D164" s="15">
        <v>1140003</v>
      </c>
      <c r="E164" s="15">
        <v>0</v>
      </c>
      <c r="F164" s="15">
        <v>1</v>
      </c>
      <c r="G164" s="15">
        <v>30</v>
      </c>
      <c r="H164" s="16">
        <v>0.2</v>
      </c>
      <c r="I164" s="26">
        <v>10</v>
      </c>
      <c r="J164" s="15">
        <v>0</v>
      </c>
      <c r="K164" s="15">
        <v>0</v>
      </c>
      <c r="L164" s="15">
        <f t="shared" si="13"/>
        <v>24</v>
      </c>
      <c r="M164" s="15">
        <v>47</v>
      </c>
      <c r="N164" s="15">
        <v>0</v>
      </c>
      <c r="O164" s="15">
        <v>0</v>
      </c>
      <c r="P164" s="15">
        <f t="shared" si="14"/>
        <v>13</v>
      </c>
      <c r="Q164" s="15">
        <v>26</v>
      </c>
      <c r="R164" s="15">
        <f t="shared" si="15"/>
        <v>13</v>
      </c>
      <c r="S164" s="15">
        <v>26</v>
      </c>
      <c r="T164" s="16">
        <v>0</v>
      </c>
      <c r="U164" s="15">
        <v>0</v>
      </c>
      <c r="V164" s="15">
        <v>0</v>
      </c>
      <c r="W164" s="15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</row>
    <row r="165" ht="20.1" customHeight="1" spans="2:223">
      <c r="B165" s="11">
        <v>15204004</v>
      </c>
      <c r="C165" s="15" t="s">
        <v>215</v>
      </c>
      <c r="D165" s="15">
        <v>1140003</v>
      </c>
      <c r="E165" s="15">
        <v>12021</v>
      </c>
      <c r="F165" s="15">
        <v>1</v>
      </c>
      <c r="G165" s="15">
        <v>30</v>
      </c>
      <c r="H165" s="16">
        <v>0.2</v>
      </c>
      <c r="I165" s="26">
        <v>10</v>
      </c>
      <c r="J165" s="15">
        <v>0</v>
      </c>
      <c r="K165" s="15">
        <v>0</v>
      </c>
      <c r="L165" s="15">
        <f t="shared" si="13"/>
        <v>28</v>
      </c>
      <c r="M165" s="15">
        <v>55</v>
      </c>
      <c r="N165" s="15">
        <v>0</v>
      </c>
      <c r="O165" s="15">
        <v>0</v>
      </c>
      <c r="P165" s="15">
        <f t="shared" si="14"/>
        <v>17</v>
      </c>
      <c r="Q165" s="15">
        <v>34</v>
      </c>
      <c r="R165" s="15">
        <f t="shared" si="15"/>
        <v>17</v>
      </c>
      <c r="S165" s="15">
        <v>34</v>
      </c>
      <c r="T165" s="16">
        <v>0</v>
      </c>
      <c r="U165" s="15">
        <v>0</v>
      </c>
      <c r="V165" s="15">
        <v>0</v>
      </c>
      <c r="W165" s="15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</row>
    <row r="166" ht="20.1" customHeight="1" spans="2:223">
      <c r="B166" s="11">
        <v>15204005</v>
      </c>
      <c r="C166" s="15" t="s">
        <v>216</v>
      </c>
      <c r="D166" s="15">
        <v>1140003</v>
      </c>
      <c r="E166" s="15">
        <v>0</v>
      </c>
      <c r="F166" s="15">
        <v>1</v>
      </c>
      <c r="G166" s="15">
        <v>30</v>
      </c>
      <c r="H166" s="16">
        <v>0.2</v>
      </c>
      <c r="I166" s="26">
        <v>10</v>
      </c>
      <c r="J166" s="15">
        <v>0</v>
      </c>
      <c r="K166" s="15">
        <v>0</v>
      </c>
      <c r="L166" s="15">
        <f t="shared" si="13"/>
        <v>13</v>
      </c>
      <c r="M166" s="15">
        <v>26</v>
      </c>
      <c r="N166" s="15">
        <v>0</v>
      </c>
      <c r="O166" s="15">
        <v>0</v>
      </c>
      <c r="P166" s="15">
        <f t="shared" si="14"/>
        <v>22</v>
      </c>
      <c r="Q166" s="15">
        <v>44</v>
      </c>
      <c r="R166" s="15">
        <f t="shared" si="15"/>
        <v>22</v>
      </c>
      <c r="S166" s="15">
        <v>44</v>
      </c>
      <c r="T166" s="16">
        <v>0</v>
      </c>
      <c r="U166" s="15">
        <v>0</v>
      </c>
      <c r="V166" s="15">
        <v>0</v>
      </c>
      <c r="W166" s="15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</row>
    <row r="167" ht="20.1" customHeight="1" spans="2:223">
      <c r="B167" s="11">
        <v>15204006</v>
      </c>
      <c r="C167" s="15" t="s">
        <v>217</v>
      </c>
      <c r="D167" s="15">
        <v>1140003</v>
      </c>
      <c r="E167" s="15">
        <v>12031</v>
      </c>
      <c r="F167" s="15">
        <v>1</v>
      </c>
      <c r="G167" s="15">
        <v>30</v>
      </c>
      <c r="H167" s="16">
        <v>0.2</v>
      </c>
      <c r="I167" s="26">
        <v>10</v>
      </c>
      <c r="J167" s="15">
        <v>0</v>
      </c>
      <c r="K167" s="15">
        <v>0</v>
      </c>
      <c r="L167" s="15">
        <f t="shared" si="13"/>
        <v>16</v>
      </c>
      <c r="M167" s="15">
        <v>31</v>
      </c>
      <c r="N167" s="15">
        <v>0</v>
      </c>
      <c r="O167" s="15">
        <v>0</v>
      </c>
      <c r="P167" s="15">
        <f t="shared" si="14"/>
        <v>28</v>
      </c>
      <c r="Q167" s="15">
        <v>56</v>
      </c>
      <c r="R167" s="15">
        <f t="shared" si="15"/>
        <v>28</v>
      </c>
      <c r="S167" s="15">
        <v>56</v>
      </c>
      <c r="T167" s="16">
        <v>0</v>
      </c>
      <c r="U167" s="15">
        <v>0</v>
      </c>
      <c r="V167" s="15">
        <v>0</v>
      </c>
      <c r="W167" s="15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</row>
    <row r="168" s="4" customFormat="1" ht="20.1" customHeight="1" spans="2:223">
      <c r="B168" s="36">
        <v>15205001</v>
      </c>
      <c r="C168" s="37" t="s">
        <v>218</v>
      </c>
      <c r="D168" s="37">
        <v>1140003</v>
      </c>
      <c r="E168" s="37">
        <v>0</v>
      </c>
      <c r="F168" s="37">
        <v>1</v>
      </c>
      <c r="G168" s="37">
        <v>30</v>
      </c>
      <c r="H168" s="38">
        <v>0.2</v>
      </c>
      <c r="I168" s="26">
        <v>10</v>
      </c>
      <c r="J168" s="37">
        <v>0</v>
      </c>
      <c r="K168" s="37">
        <v>1560</v>
      </c>
      <c r="L168" s="37">
        <f t="shared" si="13"/>
        <v>23</v>
      </c>
      <c r="M168" s="37">
        <v>45</v>
      </c>
      <c r="N168" s="37">
        <v>0</v>
      </c>
      <c r="O168" s="37">
        <v>0</v>
      </c>
      <c r="P168" s="37">
        <f t="shared" si="14"/>
        <v>9</v>
      </c>
      <c r="Q168" s="37">
        <v>18</v>
      </c>
      <c r="R168" s="37">
        <f t="shared" si="15"/>
        <v>0</v>
      </c>
      <c r="S168" s="37">
        <v>0</v>
      </c>
      <c r="T168" s="38">
        <v>0</v>
      </c>
      <c r="U168" s="37">
        <v>0</v>
      </c>
      <c r="V168" s="37">
        <v>0</v>
      </c>
      <c r="W168" s="37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  <c r="DL168" s="42"/>
      <c r="DM168" s="42"/>
      <c r="DN168" s="42"/>
      <c r="DO168" s="42"/>
      <c r="DP168" s="42"/>
      <c r="DQ168" s="42"/>
      <c r="DR168" s="42"/>
      <c r="DS168" s="42"/>
      <c r="DT168" s="42"/>
      <c r="DU168" s="42"/>
      <c r="DV168" s="42"/>
      <c r="DW168" s="42"/>
      <c r="DX168" s="42"/>
      <c r="DY168" s="42"/>
      <c r="DZ168" s="42"/>
      <c r="EA168" s="42"/>
      <c r="EB168" s="42"/>
      <c r="EC168" s="42"/>
      <c r="ED168" s="42"/>
      <c r="EE168" s="42"/>
      <c r="EF168" s="42"/>
      <c r="EG168" s="42"/>
      <c r="EH168" s="42"/>
      <c r="EI168" s="42"/>
      <c r="EJ168" s="42"/>
      <c r="EK168" s="42"/>
      <c r="EL168" s="42"/>
      <c r="EM168" s="42"/>
      <c r="EN168" s="42"/>
      <c r="EO168" s="42"/>
      <c r="EP168" s="42"/>
      <c r="EQ168" s="42"/>
      <c r="ER168" s="42"/>
      <c r="ES168" s="42"/>
      <c r="ET168" s="42"/>
      <c r="EU168" s="42"/>
      <c r="EV168" s="42"/>
      <c r="EW168" s="42"/>
      <c r="EX168" s="42"/>
      <c r="EY168" s="42"/>
      <c r="EZ168" s="42"/>
      <c r="FA168" s="42"/>
      <c r="FB168" s="42"/>
      <c r="FC168" s="42"/>
      <c r="FD168" s="42"/>
      <c r="FE168" s="42"/>
      <c r="FF168" s="42"/>
      <c r="FG168" s="42"/>
      <c r="FH168" s="42"/>
      <c r="FI168" s="42"/>
      <c r="FJ168" s="42"/>
      <c r="FK168" s="42"/>
      <c r="FL168" s="42"/>
      <c r="FM168" s="42"/>
      <c r="FN168" s="42"/>
      <c r="FO168" s="42"/>
      <c r="FP168" s="42"/>
      <c r="FQ168" s="42"/>
      <c r="FR168" s="42"/>
      <c r="FS168" s="42"/>
      <c r="FT168" s="42"/>
      <c r="FU168" s="42"/>
      <c r="FV168" s="42"/>
      <c r="FW168" s="42"/>
      <c r="FX168" s="42"/>
      <c r="FY168" s="42"/>
      <c r="FZ168" s="42"/>
      <c r="GA168" s="42"/>
      <c r="GB168" s="42"/>
      <c r="GC168" s="42"/>
      <c r="GD168" s="42"/>
      <c r="GE168" s="42"/>
      <c r="GF168" s="42"/>
      <c r="GG168" s="42"/>
      <c r="GH168" s="42"/>
      <c r="GI168" s="42"/>
      <c r="GJ168" s="42"/>
      <c r="GK168" s="42"/>
      <c r="GL168" s="42"/>
      <c r="GM168" s="42"/>
      <c r="GN168" s="42"/>
      <c r="GO168" s="42"/>
      <c r="GP168" s="42"/>
      <c r="GQ168" s="42"/>
      <c r="GR168" s="42"/>
      <c r="GS168" s="42"/>
      <c r="GT168" s="42"/>
      <c r="GU168" s="42"/>
      <c r="GV168" s="42"/>
      <c r="GW168" s="42"/>
      <c r="GX168" s="42"/>
      <c r="GY168" s="42"/>
      <c r="GZ168" s="42"/>
      <c r="HA168" s="42"/>
      <c r="HB168" s="42"/>
      <c r="HC168" s="42"/>
      <c r="HD168" s="42"/>
      <c r="HE168" s="42"/>
      <c r="HF168" s="42"/>
      <c r="HG168" s="42"/>
      <c r="HH168" s="42"/>
      <c r="HI168" s="42"/>
      <c r="HJ168" s="42"/>
      <c r="HK168" s="42"/>
      <c r="HL168" s="42"/>
      <c r="HM168" s="42"/>
      <c r="HN168" s="42"/>
      <c r="HO168" s="42"/>
    </row>
    <row r="169" s="4" customFormat="1" ht="20.1" customHeight="1" spans="2:223">
      <c r="B169" s="36">
        <v>15205002</v>
      </c>
      <c r="C169" s="37" t="s">
        <v>219</v>
      </c>
      <c r="D169" s="37">
        <v>1140003</v>
      </c>
      <c r="E169" s="37">
        <v>12011</v>
      </c>
      <c r="F169" s="37">
        <v>1</v>
      </c>
      <c r="G169" s="37">
        <v>30</v>
      </c>
      <c r="H169" s="38">
        <v>0.2</v>
      </c>
      <c r="I169" s="26">
        <v>10</v>
      </c>
      <c r="J169" s="37">
        <v>0</v>
      </c>
      <c r="K169" s="37">
        <v>1950</v>
      </c>
      <c r="L169" s="37">
        <f t="shared" si="13"/>
        <v>28</v>
      </c>
      <c r="M169" s="37">
        <v>56</v>
      </c>
      <c r="N169" s="37">
        <v>0</v>
      </c>
      <c r="O169" s="37">
        <v>0</v>
      </c>
      <c r="P169" s="37">
        <f t="shared" si="14"/>
        <v>12</v>
      </c>
      <c r="Q169" s="37">
        <v>23</v>
      </c>
      <c r="R169" s="37">
        <f t="shared" si="15"/>
        <v>0</v>
      </c>
      <c r="S169" s="37">
        <v>0</v>
      </c>
      <c r="T169" s="38">
        <v>0</v>
      </c>
      <c r="U169" s="37">
        <v>0</v>
      </c>
      <c r="V169" s="37">
        <v>0</v>
      </c>
      <c r="W169" s="37">
        <v>0</v>
      </c>
      <c r="X169" s="38">
        <v>0</v>
      </c>
      <c r="Y169" s="38">
        <v>0</v>
      </c>
      <c r="Z169" s="38">
        <v>0</v>
      </c>
      <c r="AA169" s="38">
        <v>0</v>
      </c>
      <c r="AB169" s="38">
        <v>0</v>
      </c>
      <c r="AC169" s="38">
        <v>0</v>
      </c>
      <c r="AD169" s="38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42"/>
      <c r="CJ169" s="42"/>
      <c r="CK169" s="42"/>
      <c r="CL169" s="42"/>
      <c r="CM169" s="42"/>
      <c r="CN169" s="42"/>
      <c r="CO169" s="42"/>
      <c r="CP169" s="42"/>
      <c r="CQ169" s="42"/>
      <c r="CR169" s="42"/>
      <c r="CS169" s="42"/>
      <c r="CT169" s="42"/>
      <c r="CU169" s="42"/>
      <c r="CV169" s="42"/>
      <c r="CW169" s="42"/>
      <c r="CX169" s="42"/>
      <c r="CY169" s="42"/>
      <c r="CZ169" s="42"/>
      <c r="DA169" s="42"/>
      <c r="DB169" s="42"/>
      <c r="DC169" s="42"/>
      <c r="DD169" s="42"/>
      <c r="DE169" s="42"/>
      <c r="DF169" s="42"/>
      <c r="DG169" s="42"/>
      <c r="DH169" s="42"/>
      <c r="DI169" s="42"/>
      <c r="DJ169" s="42"/>
      <c r="DK169" s="42"/>
      <c r="DL169" s="42"/>
      <c r="DM169" s="42"/>
      <c r="DN169" s="42"/>
      <c r="DO169" s="42"/>
      <c r="DP169" s="42"/>
      <c r="DQ169" s="42"/>
      <c r="DR169" s="42"/>
      <c r="DS169" s="42"/>
      <c r="DT169" s="42"/>
      <c r="DU169" s="42"/>
      <c r="DV169" s="42"/>
      <c r="DW169" s="42"/>
      <c r="DX169" s="42"/>
      <c r="DY169" s="42"/>
      <c r="DZ169" s="42"/>
      <c r="EA169" s="42"/>
      <c r="EB169" s="42"/>
      <c r="EC169" s="42"/>
      <c r="ED169" s="42"/>
      <c r="EE169" s="42"/>
      <c r="EF169" s="42"/>
      <c r="EG169" s="42"/>
      <c r="EH169" s="42"/>
      <c r="EI169" s="42"/>
      <c r="EJ169" s="42"/>
      <c r="EK169" s="42"/>
      <c r="EL169" s="42"/>
      <c r="EM169" s="42"/>
      <c r="EN169" s="42"/>
      <c r="EO169" s="42"/>
      <c r="EP169" s="42"/>
      <c r="EQ169" s="42"/>
      <c r="ER169" s="42"/>
      <c r="ES169" s="42"/>
      <c r="ET169" s="42"/>
      <c r="EU169" s="42"/>
      <c r="EV169" s="42"/>
      <c r="EW169" s="42"/>
      <c r="EX169" s="42"/>
      <c r="EY169" s="42"/>
      <c r="EZ169" s="42"/>
      <c r="FA169" s="42"/>
      <c r="FB169" s="42"/>
      <c r="FC169" s="42"/>
      <c r="FD169" s="42"/>
      <c r="FE169" s="42"/>
      <c r="FF169" s="42"/>
      <c r="FG169" s="42"/>
      <c r="FH169" s="42"/>
      <c r="FI169" s="42"/>
      <c r="FJ169" s="42"/>
      <c r="FK169" s="42"/>
      <c r="FL169" s="42"/>
      <c r="FM169" s="42"/>
      <c r="FN169" s="42"/>
      <c r="FO169" s="42"/>
      <c r="FP169" s="42"/>
      <c r="FQ169" s="42"/>
      <c r="FR169" s="42"/>
      <c r="FS169" s="42"/>
      <c r="FT169" s="42"/>
      <c r="FU169" s="42"/>
      <c r="FV169" s="42"/>
      <c r="FW169" s="42"/>
      <c r="FX169" s="42"/>
      <c r="FY169" s="42"/>
      <c r="FZ169" s="42"/>
      <c r="GA169" s="42"/>
      <c r="GB169" s="42"/>
      <c r="GC169" s="42"/>
      <c r="GD169" s="42"/>
      <c r="GE169" s="42"/>
      <c r="GF169" s="42"/>
      <c r="GG169" s="42"/>
      <c r="GH169" s="42"/>
      <c r="GI169" s="42"/>
      <c r="GJ169" s="42"/>
      <c r="GK169" s="42"/>
      <c r="GL169" s="42"/>
      <c r="GM169" s="42"/>
      <c r="GN169" s="42"/>
      <c r="GO169" s="42"/>
      <c r="GP169" s="42"/>
      <c r="GQ169" s="42"/>
      <c r="GR169" s="42"/>
      <c r="GS169" s="42"/>
      <c r="GT169" s="42"/>
      <c r="GU169" s="42"/>
      <c r="GV169" s="42"/>
      <c r="GW169" s="42"/>
      <c r="GX169" s="42"/>
      <c r="GY169" s="42"/>
      <c r="GZ169" s="42"/>
      <c r="HA169" s="42"/>
      <c r="HB169" s="42"/>
      <c r="HC169" s="42"/>
      <c r="HD169" s="42"/>
      <c r="HE169" s="42"/>
      <c r="HF169" s="42"/>
      <c r="HG169" s="42"/>
      <c r="HH169" s="42"/>
      <c r="HI169" s="42"/>
      <c r="HJ169" s="42"/>
      <c r="HK169" s="42"/>
      <c r="HL169" s="42"/>
      <c r="HM169" s="42"/>
      <c r="HN169" s="42"/>
      <c r="HO169" s="42"/>
    </row>
    <row r="170" s="4" customFormat="1" ht="20.1" customHeight="1" spans="2:223">
      <c r="B170" s="36">
        <v>15205003</v>
      </c>
      <c r="C170" s="37" t="s">
        <v>220</v>
      </c>
      <c r="D170" s="37">
        <v>1140003</v>
      </c>
      <c r="E170" s="37">
        <v>0</v>
      </c>
      <c r="F170" s="37">
        <v>1</v>
      </c>
      <c r="G170" s="37">
        <v>30</v>
      </c>
      <c r="H170" s="38">
        <v>0.2</v>
      </c>
      <c r="I170" s="26">
        <v>10</v>
      </c>
      <c r="J170" s="37">
        <v>0</v>
      </c>
      <c r="K170" s="37">
        <v>784</v>
      </c>
      <c r="L170" s="37">
        <f t="shared" si="13"/>
        <v>31</v>
      </c>
      <c r="M170" s="37">
        <v>61</v>
      </c>
      <c r="N170" s="37">
        <v>0</v>
      </c>
      <c r="O170" s="37">
        <v>0</v>
      </c>
      <c r="P170" s="37">
        <f t="shared" si="14"/>
        <v>7</v>
      </c>
      <c r="Q170" s="37">
        <v>14</v>
      </c>
      <c r="R170" s="37">
        <f t="shared" si="15"/>
        <v>0</v>
      </c>
      <c r="S170" s="37">
        <v>0</v>
      </c>
      <c r="T170" s="38">
        <v>0</v>
      </c>
      <c r="U170" s="37">
        <v>0</v>
      </c>
      <c r="V170" s="37">
        <v>0</v>
      </c>
      <c r="W170" s="37">
        <v>0</v>
      </c>
      <c r="X170" s="38">
        <v>0</v>
      </c>
      <c r="Y170" s="38">
        <v>0</v>
      </c>
      <c r="Z170" s="38">
        <v>0</v>
      </c>
      <c r="AA170" s="38">
        <v>0</v>
      </c>
      <c r="AB170" s="38">
        <v>0</v>
      </c>
      <c r="AC170" s="38">
        <v>0</v>
      </c>
      <c r="AD170" s="38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42"/>
      <c r="CS170" s="42"/>
      <c r="CT170" s="42"/>
      <c r="CU170" s="42"/>
      <c r="CV170" s="42"/>
      <c r="CW170" s="42"/>
      <c r="CX170" s="42"/>
      <c r="CY170" s="42"/>
      <c r="CZ170" s="42"/>
      <c r="DA170" s="42"/>
      <c r="DB170" s="42"/>
      <c r="DC170" s="42"/>
      <c r="DD170" s="42"/>
      <c r="DE170" s="42"/>
      <c r="DF170" s="42"/>
      <c r="DG170" s="42"/>
      <c r="DH170" s="42"/>
      <c r="DI170" s="42"/>
      <c r="DJ170" s="42"/>
      <c r="DK170" s="42"/>
      <c r="DL170" s="42"/>
      <c r="DM170" s="42"/>
      <c r="DN170" s="42"/>
      <c r="DO170" s="42"/>
      <c r="DP170" s="42"/>
      <c r="DQ170" s="42"/>
      <c r="DR170" s="42"/>
      <c r="DS170" s="42"/>
      <c r="DT170" s="42"/>
      <c r="DU170" s="42"/>
      <c r="DV170" s="42"/>
      <c r="DW170" s="42"/>
      <c r="DX170" s="42"/>
      <c r="DY170" s="42"/>
      <c r="DZ170" s="42"/>
      <c r="EA170" s="42"/>
      <c r="EB170" s="42"/>
      <c r="EC170" s="42"/>
      <c r="ED170" s="42"/>
      <c r="EE170" s="42"/>
      <c r="EF170" s="42"/>
      <c r="EG170" s="42"/>
      <c r="EH170" s="42"/>
      <c r="EI170" s="42"/>
      <c r="EJ170" s="42"/>
      <c r="EK170" s="42"/>
      <c r="EL170" s="42"/>
      <c r="EM170" s="42"/>
      <c r="EN170" s="42"/>
      <c r="EO170" s="42"/>
      <c r="EP170" s="42"/>
      <c r="EQ170" s="42"/>
      <c r="ER170" s="42"/>
      <c r="ES170" s="42"/>
      <c r="ET170" s="42"/>
      <c r="EU170" s="42"/>
      <c r="EV170" s="42"/>
      <c r="EW170" s="42"/>
      <c r="EX170" s="42"/>
      <c r="EY170" s="42"/>
      <c r="EZ170" s="42"/>
      <c r="FA170" s="42"/>
      <c r="FB170" s="42"/>
      <c r="FC170" s="42"/>
      <c r="FD170" s="42"/>
      <c r="FE170" s="42"/>
      <c r="FF170" s="42"/>
      <c r="FG170" s="42"/>
      <c r="FH170" s="42"/>
      <c r="FI170" s="42"/>
      <c r="FJ170" s="42"/>
      <c r="FK170" s="42"/>
      <c r="FL170" s="42"/>
      <c r="FM170" s="42"/>
      <c r="FN170" s="42"/>
      <c r="FO170" s="42"/>
      <c r="FP170" s="42"/>
      <c r="FQ170" s="42"/>
      <c r="FR170" s="42"/>
      <c r="FS170" s="42"/>
      <c r="FT170" s="42"/>
      <c r="FU170" s="42"/>
      <c r="FV170" s="42"/>
      <c r="FW170" s="42"/>
      <c r="FX170" s="42"/>
      <c r="FY170" s="42"/>
      <c r="FZ170" s="42"/>
      <c r="GA170" s="42"/>
      <c r="GB170" s="42"/>
      <c r="GC170" s="42"/>
      <c r="GD170" s="42"/>
      <c r="GE170" s="42"/>
      <c r="GF170" s="42"/>
      <c r="GG170" s="42"/>
      <c r="GH170" s="42"/>
      <c r="GI170" s="42"/>
      <c r="GJ170" s="42"/>
      <c r="GK170" s="42"/>
      <c r="GL170" s="42"/>
      <c r="GM170" s="42"/>
      <c r="GN170" s="42"/>
      <c r="GO170" s="42"/>
      <c r="GP170" s="42"/>
      <c r="GQ170" s="42"/>
      <c r="GR170" s="42"/>
      <c r="GS170" s="42"/>
      <c r="GT170" s="42"/>
      <c r="GU170" s="42"/>
      <c r="GV170" s="42"/>
      <c r="GW170" s="42"/>
      <c r="GX170" s="42"/>
      <c r="GY170" s="42"/>
      <c r="GZ170" s="42"/>
      <c r="HA170" s="42"/>
      <c r="HB170" s="42"/>
      <c r="HC170" s="42"/>
      <c r="HD170" s="42"/>
      <c r="HE170" s="42"/>
      <c r="HF170" s="42"/>
      <c r="HG170" s="42"/>
      <c r="HH170" s="42"/>
      <c r="HI170" s="42"/>
      <c r="HJ170" s="42"/>
      <c r="HK170" s="42"/>
      <c r="HL170" s="42"/>
      <c r="HM170" s="42"/>
      <c r="HN170" s="42"/>
      <c r="HO170" s="42"/>
    </row>
    <row r="171" s="4" customFormat="1" ht="20.1" customHeight="1" spans="2:223">
      <c r="B171" s="36">
        <v>15205004</v>
      </c>
      <c r="C171" s="37" t="s">
        <v>221</v>
      </c>
      <c r="D171" s="37">
        <v>1140003</v>
      </c>
      <c r="E171" s="37">
        <v>12021</v>
      </c>
      <c r="F171" s="37">
        <v>1</v>
      </c>
      <c r="G171" s="37">
        <v>30</v>
      </c>
      <c r="H171" s="38">
        <v>0.2</v>
      </c>
      <c r="I171" s="26">
        <v>10</v>
      </c>
      <c r="J171" s="37">
        <v>0</v>
      </c>
      <c r="K171" s="37">
        <v>980</v>
      </c>
      <c r="L171" s="37">
        <f t="shared" si="13"/>
        <v>38</v>
      </c>
      <c r="M171" s="37">
        <v>76</v>
      </c>
      <c r="N171" s="37">
        <v>0</v>
      </c>
      <c r="O171" s="37">
        <v>0</v>
      </c>
      <c r="P171" s="37">
        <f t="shared" si="14"/>
        <v>9</v>
      </c>
      <c r="Q171" s="37">
        <v>17</v>
      </c>
      <c r="R171" s="37">
        <f t="shared" si="15"/>
        <v>0</v>
      </c>
      <c r="S171" s="37">
        <v>0</v>
      </c>
      <c r="T171" s="38">
        <v>0</v>
      </c>
      <c r="U171" s="37">
        <v>0</v>
      </c>
      <c r="V171" s="37">
        <v>0</v>
      </c>
      <c r="W171" s="37">
        <v>0</v>
      </c>
      <c r="X171" s="38">
        <v>0</v>
      </c>
      <c r="Y171" s="38">
        <v>0</v>
      </c>
      <c r="Z171" s="38">
        <v>0</v>
      </c>
      <c r="AA171" s="38">
        <v>0</v>
      </c>
      <c r="AB171" s="38">
        <v>0</v>
      </c>
      <c r="AC171" s="38">
        <v>0</v>
      </c>
      <c r="AD171" s="38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  <c r="CI171" s="42"/>
      <c r="CJ171" s="42"/>
      <c r="CK171" s="42"/>
      <c r="CL171" s="42"/>
      <c r="CM171" s="42"/>
      <c r="CN171" s="42"/>
      <c r="CO171" s="42"/>
      <c r="CP171" s="42"/>
      <c r="CQ171" s="42"/>
      <c r="CR171" s="42"/>
      <c r="CS171" s="42"/>
      <c r="CT171" s="42"/>
      <c r="CU171" s="42"/>
      <c r="CV171" s="42"/>
      <c r="CW171" s="42"/>
      <c r="CX171" s="42"/>
      <c r="CY171" s="42"/>
      <c r="CZ171" s="42"/>
      <c r="DA171" s="42"/>
      <c r="DB171" s="42"/>
      <c r="DC171" s="42"/>
      <c r="DD171" s="42"/>
      <c r="DE171" s="42"/>
      <c r="DF171" s="42"/>
      <c r="DG171" s="42"/>
      <c r="DH171" s="42"/>
      <c r="DI171" s="42"/>
      <c r="DJ171" s="42"/>
      <c r="DK171" s="42"/>
      <c r="DL171" s="42"/>
      <c r="DM171" s="42"/>
      <c r="DN171" s="42"/>
      <c r="DO171" s="42"/>
      <c r="DP171" s="42"/>
      <c r="DQ171" s="42"/>
      <c r="DR171" s="42"/>
      <c r="DS171" s="42"/>
      <c r="DT171" s="42"/>
      <c r="DU171" s="42"/>
      <c r="DV171" s="42"/>
      <c r="DW171" s="42"/>
      <c r="DX171" s="42"/>
      <c r="DY171" s="42"/>
      <c r="DZ171" s="42"/>
      <c r="EA171" s="42"/>
      <c r="EB171" s="42"/>
      <c r="EC171" s="42"/>
      <c r="ED171" s="42"/>
      <c r="EE171" s="42"/>
      <c r="EF171" s="42"/>
      <c r="EG171" s="42"/>
      <c r="EH171" s="42"/>
      <c r="EI171" s="42"/>
      <c r="EJ171" s="42"/>
      <c r="EK171" s="42"/>
      <c r="EL171" s="42"/>
      <c r="EM171" s="42"/>
      <c r="EN171" s="42"/>
      <c r="EO171" s="42"/>
      <c r="EP171" s="42"/>
      <c r="EQ171" s="42"/>
      <c r="ER171" s="42"/>
      <c r="ES171" s="42"/>
      <c r="ET171" s="42"/>
      <c r="EU171" s="42"/>
      <c r="EV171" s="42"/>
      <c r="EW171" s="42"/>
      <c r="EX171" s="42"/>
      <c r="EY171" s="42"/>
      <c r="EZ171" s="42"/>
      <c r="FA171" s="42"/>
      <c r="FB171" s="42"/>
      <c r="FC171" s="42"/>
      <c r="FD171" s="42"/>
      <c r="FE171" s="42"/>
      <c r="FF171" s="42"/>
      <c r="FG171" s="42"/>
      <c r="FH171" s="42"/>
      <c r="FI171" s="42"/>
      <c r="FJ171" s="42"/>
      <c r="FK171" s="42"/>
      <c r="FL171" s="42"/>
      <c r="FM171" s="42"/>
      <c r="FN171" s="42"/>
      <c r="FO171" s="42"/>
      <c r="FP171" s="42"/>
      <c r="FQ171" s="42"/>
      <c r="FR171" s="42"/>
      <c r="FS171" s="42"/>
      <c r="FT171" s="42"/>
      <c r="FU171" s="42"/>
      <c r="FV171" s="42"/>
      <c r="FW171" s="42"/>
      <c r="FX171" s="42"/>
      <c r="FY171" s="42"/>
      <c r="FZ171" s="42"/>
      <c r="GA171" s="42"/>
      <c r="GB171" s="42"/>
      <c r="GC171" s="42"/>
      <c r="GD171" s="42"/>
      <c r="GE171" s="42"/>
      <c r="GF171" s="42"/>
      <c r="GG171" s="42"/>
      <c r="GH171" s="42"/>
      <c r="GI171" s="42"/>
      <c r="GJ171" s="42"/>
      <c r="GK171" s="42"/>
      <c r="GL171" s="42"/>
      <c r="GM171" s="42"/>
      <c r="GN171" s="42"/>
      <c r="GO171" s="42"/>
      <c r="GP171" s="42"/>
      <c r="GQ171" s="42"/>
      <c r="GR171" s="42"/>
      <c r="GS171" s="42"/>
      <c r="GT171" s="42"/>
      <c r="GU171" s="42"/>
      <c r="GV171" s="42"/>
      <c r="GW171" s="42"/>
      <c r="GX171" s="42"/>
      <c r="GY171" s="42"/>
      <c r="GZ171" s="42"/>
      <c r="HA171" s="42"/>
      <c r="HB171" s="42"/>
      <c r="HC171" s="42"/>
      <c r="HD171" s="42"/>
      <c r="HE171" s="42"/>
      <c r="HF171" s="42"/>
      <c r="HG171" s="42"/>
      <c r="HH171" s="42"/>
      <c r="HI171" s="42"/>
      <c r="HJ171" s="42"/>
      <c r="HK171" s="42"/>
      <c r="HL171" s="42"/>
      <c r="HM171" s="42"/>
      <c r="HN171" s="42"/>
      <c r="HO171" s="42"/>
    </row>
    <row r="172" s="4" customFormat="1" ht="19.5" customHeight="1" spans="2:223">
      <c r="B172" s="36">
        <v>15205005</v>
      </c>
      <c r="C172" s="37" t="s">
        <v>222</v>
      </c>
      <c r="D172" s="37">
        <v>1140003</v>
      </c>
      <c r="E172" s="37">
        <v>0</v>
      </c>
      <c r="F172" s="37">
        <v>1</v>
      </c>
      <c r="G172" s="37">
        <v>30</v>
      </c>
      <c r="H172" s="38">
        <v>0.2</v>
      </c>
      <c r="I172" s="26">
        <v>10</v>
      </c>
      <c r="J172" s="37">
        <v>0</v>
      </c>
      <c r="K172" s="37">
        <f>K168*1.5</f>
        <v>2340</v>
      </c>
      <c r="L172" s="37">
        <f t="shared" si="13"/>
        <v>17</v>
      </c>
      <c r="M172" s="37">
        <v>34</v>
      </c>
      <c r="N172" s="37">
        <v>0</v>
      </c>
      <c r="O172" s="37">
        <v>0</v>
      </c>
      <c r="P172" s="37">
        <f t="shared" si="14"/>
        <v>12</v>
      </c>
      <c r="Q172" s="37">
        <v>23</v>
      </c>
      <c r="R172" s="37">
        <f t="shared" si="15"/>
        <v>0</v>
      </c>
      <c r="S172" s="37">
        <v>0</v>
      </c>
      <c r="T172" s="38">
        <v>0</v>
      </c>
      <c r="U172" s="37">
        <v>0</v>
      </c>
      <c r="V172" s="37">
        <v>0</v>
      </c>
      <c r="W172" s="37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  <c r="CI172" s="42"/>
      <c r="CJ172" s="42"/>
      <c r="CK172" s="42"/>
      <c r="CL172" s="42"/>
      <c r="CM172" s="42"/>
      <c r="CN172" s="42"/>
      <c r="CO172" s="42"/>
      <c r="CP172" s="42"/>
      <c r="CQ172" s="42"/>
      <c r="CR172" s="42"/>
      <c r="CS172" s="42"/>
      <c r="CT172" s="42"/>
      <c r="CU172" s="42"/>
      <c r="CV172" s="42"/>
      <c r="CW172" s="42"/>
      <c r="CX172" s="42"/>
      <c r="CY172" s="42"/>
      <c r="CZ172" s="42"/>
      <c r="DA172" s="42"/>
      <c r="DB172" s="42"/>
      <c r="DC172" s="42"/>
      <c r="DD172" s="42"/>
      <c r="DE172" s="42"/>
      <c r="DF172" s="42"/>
      <c r="DG172" s="42"/>
      <c r="DH172" s="42"/>
      <c r="DI172" s="42"/>
      <c r="DJ172" s="42"/>
      <c r="DK172" s="42"/>
      <c r="DL172" s="42"/>
      <c r="DM172" s="42"/>
      <c r="DN172" s="42"/>
      <c r="DO172" s="42"/>
      <c r="DP172" s="42"/>
      <c r="DQ172" s="42"/>
      <c r="DR172" s="42"/>
      <c r="DS172" s="42"/>
      <c r="DT172" s="42"/>
      <c r="DU172" s="42"/>
      <c r="DV172" s="42"/>
      <c r="DW172" s="42"/>
      <c r="DX172" s="42"/>
      <c r="DY172" s="42"/>
      <c r="DZ172" s="42"/>
      <c r="EA172" s="42"/>
      <c r="EB172" s="42"/>
      <c r="EC172" s="42"/>
      <c r="ED172" s="42"/>
      <c r="EE172" s="42"/>
      <c r="EF172" s="42"/>
      <c r="EG172" s="42"/>
      <c r="EH172" s="42"/>
      <c r="EI172" s="42"/>
      <c r="EJ172" s="42"/>
      <c r="EK172" s="42"/>
      <c r="EL172" s="42"/>
      <c r="EM172" s="42"/>
      <c r="EN172" s="42"/>
      <c r="EO172" s="42"/>
      <c r="EP172" s="42"/>
      <c r="EQ172" s="42"/>
      <c r="ER172" s="42"/>
      <c r="ES172" s="42"/>
      <c r="ET172" s="42"/>
      <c r="EU172" s="42"/>
      <c r="EV172" s="42"/>
      <c r="EW172" s="42"/>
      <c r="EX172" s="42"/>
      <c r="EY172" s="42"/>
      <c r="EZ172" s="42"/>
      <c r="FA172" s="42"/>
      <c r="FB172" s="42"/>
      <c r="FC172" s="42"/>
      <c r="FD172" s="42"/>
      <c r="FE172" s="42"/>
      <c r="FF172" s="42"/>
      <c r="FG172" s="42"/>
      <c r="FH172" s="42"/>
      <c r="FI172" s="42"/>
      <c r="FJ172" s="42"/>
      <c r="FK172" s="42"/>
      <c r="FL172" s="42"/>
      <c r="FM172" s="42"/>
      <c r="FN172" s="42"/>
      <c r="FO172" s="42"/>
      <c r="FP172" s="42"/>
      <c r="FQ172" s="42"/>
      <c r="FR172" s="42"/>
      <c r="FS172" s="42"/>
      <c r="FT172" s="42"/>
      <c r="FU172" s="42"/>
      <c r="FV172" s="42"/>
      <c r="FW172" s="42"/>
      <c r="FX172" s="42"/>
      <c r="FY172" s="42"/>
      <c r="FZ172" s="42"/>
      <c r="GA172" s="42"/>
      <c r="GB172" s="42"/>
      <c r="GC172" s="42"/>
      <c r="GD172" s="42"/>
      <c r="GE172" s="42"/>
      <c r="GF172" s="42"/>
      <c r="GG172" s="42"/>
      <c r="GH172" s="42"/>
      <c r="GI172" s="42"/>
      <c r="GJ172" s="42"/>
      <c r="GK172" s="42"/>
      <c r="GL172" s="42"/>
      <c r="GM172" s="42"/>
      <c r="GN172" s="42"/>
      <c r="GO172" s="42"/>
      <c r="GP172" s="42"/>
      <c r="GQ172" s="42"/>
      <c r="GR172" s="42"/>
      <c r="GS172" s="42"/>
      <c r="GT172" s="42"/>
      <c r="GU172" s="42"/>
      <c r="GV172" s="42"/>
      <c r="GW172" s="42"/>
      <c r="GX172" s="42"/>
      <c r="GY172" s="42"/>
      <c r="GZ172" s="42"/>
      <c r="HA172" s="42"/>
      <c r="HB172" s="42"/>
      <c r="HC172" s="42"/>
      <c r="HD172" s="42"/>
      <c r="HE172" s="42"/>
      <c r="HF172" s="42"/>
      <c r="HG172" s="42"/>
      <c r="HH172" s="42"/>
      <c r="HI172" s="42"/>
      <c r="HJ172" s="42"/>
      <c r="HK172" s="42"/>
      <c r="HL172" s="42"/>
      <c r="HM172" s="42"/>
      <c r="HN172" s="42"/>
      <c r="HO172" s="42"/>
    </row>
    <row r="173" s="4" customFormat="1" ht="20.1" customHeight="1" spans="2:223">
      <c r="B173" s="36">
        <v>15205006</v>
      </c>
      <c r="C173" s="37" t="s">
        <v>223</v>
      </c>
      <c r="D173" s="37">
        <v>1140003</v>
      </c>
      <c r="E173" s="37">
        <v>12031</v>
      </c>
      <c r="F173" s="37">
        <v>1</v>
      </c>
      <c r="G173" s="37">
        <v>30</v>
      </c>
      <c r="H173" s="38">
        <v>0.2</v>
      </c>
      <c r="I173" s="26">
        <v>10</v>
      </c>
      <c r="J173" s="37">
        <v>0</v>
      </c>
      <c r="K173" s="37">
        <v>2930</v>
      </c>
      <c r="L173" s="37">
        <f t="shared" si="13"/>
        <v>21</v>
      </c>
      <c r="M173" s="37">
        <v>42</v>
      </c>
      <c r="N173" s="37">
        <v>0</v>
      </c>
      <c r="O173" s="37">
        <v>0</v>
      </c>
      <c r="P173" s="37">
        <f t="shared" si="14"/>
        <v>15</v>
      </c>
      <c r="Q173" s="37">
        <v>29</v>
      </c>
      <c r="R173" s="37">
        <f t="shared" si="15"/>
        <v>0</v>
      </c>
      <c r="S173" s="37">
        <v>0</v>
      </c>
      <c r="T173" s="38">
        <v>0</v>
      </c>
      <c r="U173" s="37">
        <v>0</v>
      </c>
      <c r="V173" s="37">
        <v>0</v>
      </c>
      <c r="W173" s="37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42"/>
      <c r="CP173" s="42"/>
      <c r="CQ173" s="42"/>
      <c r="CR173" s="42"/>
      <c r="CS173" s="42"/>
      <c r="CT173" s="42"/>
      <c r="CU173" s="42"/>
      <c r="CV173" s="42"/>
      <c r="CW173" s="42"/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2"/>
      <c r="DJ173" s="42"/>
      <c r="DK173" s="42"/>
      <c r="DL173" s="42"/>
      <c r="DM173" s="42"/>
      <c r="DN173" s="42"/>
      <c r="DO173" s="42"/>
      <c r="DP173" s="42"/>
      <c r="DQ173" s="42"/>
      <c r="DR173" s="42"/>
      <c r="DS173" s="42"/>
      <c r="DT173" s="42"/>
      <c r="DU173" s="42"/>
      <c r="DV173" s="42"/>
      <c r="DW173" s="42"/>
      <c r="DX173" s="42"/>
      <c r="DY173" s="42"/>
      <c r="DZ173" s="42"/>
      <c r="EA173" s="42"/>
      <c r="EB173" s="42"/>
      <c r="EC173" s="42"/>
      <c r="ED173" s="42"/>
      <c r="EE173" s="42"/>
      <c r="EF173" s="42"/>
      <c r="EG173" s="42"/>
      <c r="EH173" s="42"/>
      <c r="EI173" s="42"/>
      <c r="EJ173" s="42"/>
      <c r="EK173" s="42"/>
      <c r="EL173" s="42"/>
      <c r="EM173" s="42"/>
      <c r="EN173" s="42"/>
      <c r="EO173" s="42"/>
      <c r="EP173" s="42"/>
      <c r="EQ173" s="42"/>
      <c r="ER173" s="42"/>
      <c r="ES173" s="42"/>
      <c r="ET173" s="42"/>
      <c r="EU173" s="42"/>
      <c r="EV173" s="42"/>
      <c r="EW173" s="42"/>
      <c r="EX173" s="42"/>
      <c r="EY173" s="42"/>
      <c r="EZ173" s="42"/>
      <c r="FA173" s="42"/>
      <c r="FB173" s="42"/>
      <c r="FC173" s="42"/>
      <c r="FD173" s="42"/>
      <c r="FE173" s="42"/>
      <c r="FF173" s="42"/>
      <c r="FG173" s="42"/>
      <c r="FH173" s="42"/>
      <c r="FI173" s="42"/>
      <c r="FJ173" s="42"/>
      <c r="FK173" s="42"/>
      <c r="FL173" s="42"/>
      <c r="FM173" s="42"/>
      <c r="FN173" s="42"/>
      <c r="FO173" s="42"/>
      <c r="FP173" s="42"/>
      <c r="FQ173" s="42"/>
      <c r="FR173" s="42"/>
      <c r="FS173" s="42"/>
      <c r="FT173" s="42"/>
      <c r="FU173" s="42"/>
      <c r="FV173" s="42"/>
      <c r="FW173" s="42"/>
      <c r="FX173" s="42"/>
      <c r="FY173" s="42"/>
      <c r="FZ173" s="42"/>
      <c r="GA173" s="42"/>
      <c r="GB173" s="42"/>
      <c r="GC173" s="42"/>
      <c r="GD173" s="42"/>
      <c r="GE173" s="42"/>
      <c r="GF173" s="42"/>
      <c r="GG173" s="42"/>
      <c r="GH173" s="42"/>
      <c r="GI173" s="42"/>
      <c r="GJ173" s="42"/>
      <c r="GK173" s="42"/>
      <c r="GL173" s="42"/>
      <c r="GM173" s="42"/>
      <c r="GN173" s="42"/>
      <c r="GO173" s="42"/>
      <c r="GP173" s="42"/>
      <c r="GQ173" s="42"/>
      <c r="GR173" s="42"/>
      <c r="GS173" s="42"/>
      <c r="GT173" s="42"/>
      <c r="GU173" s="42"/>
      <c r="GV173" s="42"/>
      <c r="GW173" s="42"/>
      <c r="GX173" s="42"/>
      <c r="GY173" s="42"/>
      <c r="GZ173" s="42"/>
      <c r="HA173" s="42"/>
      <c r="HB173" s="42"/>
      <c r="HC173" s="42"/>
      <c r="HD173" s="42"/>
      <c r="HE173" s="42"/>
      <c r="HF173" s="42"/>
      <c r="HG173" s="42"/>
      <c r="HH173" s="42"/>
      <c r="HI173" s="42"/>
      <c r="HJ173" s="42"/>
      <c r="HK173" s="42"/>
      <c r="HL173" s="42"/>
      <c r="HM173" s="42"/>
      <c r="HN173" s="42"/>
      <c r="HO173" s="42"/>
    </row>
    <row r="174" s="3" customFormat="1" ht="20.1" customHeight="1" spans="2:223">
      <c r="B174" s="20">
        <v>15205007</v>
      </c>
      <c r="C174" s="43" t="s">
        <v>224</v>
      </c>
      <c r="D174" s="22">
        <v>1140003</v>
      </c>
      <c r="E174" s="22">
        <v>0</v>
      </c>
      <c r="F174" s="22">
        <v>1</v>
      </c>
      <c r="G174" s="22">
        <v>30</v>
      </c>
      <c r="H174" s="23">
        <v>0.2</v>
      </c>
      <c r="I174" s="26">
        <v>10</v>
      </c>
      <c r="J174" s="22">
        <v>0</v>
      </c>
      <c r="K174" s="22">
        <v>3350</v>
      </c>
      <c r="L174" s="22">
        <f t="shared" ref="L174" si="27">ROUND(M174/2,0)</f>
        <v>25</v>
      </c>
      <c r="M174" s="22">
        <v>50</v>
      </c>
      <c r="N174" s="22">
        <v>0</v>
      </c>
      <c r="O174" s="22">
        <v>0</v>
      </c>
      <c r="P174" s="22">
        <f t="shared" ref="P174" si="28">ROUND(Q174/2,0)</f>
        <v>18</v>
      </c>
      <c r="Q174" s="22">
        <v>36</v>
      </c>
      <c r="R174" s="22">
        <f t="shared" ref="R174" si="29">ROUND(S174/2,0)</f>
        <v>0</v>
      </c>
      <c r="S174" s="22">
        <v>0</v>
      </c>
      <c r="T174" s="23">
        <v>0</v>
      </c>
      <c r="U174" s="22">
        <v>0</v>
      </c>
      <c r="V174" s="22">
        <v>0</v>
      </c>
      <c r="W174" s="22">
        <v>0</v>
      </c>
      <c r="X174" s="23">
        <v>0</v>
      </c>
      <c r="Y174" s="23">
        <v>0</v>
      </c>
      <c r="Z174" s="23">
        <v>0</v>
      </c>
      <c r="AA174" s="23">
        <v>120501</v>
      </c>
      <c r="AB174" s="23">
        <v>1</v>
      </c>
      <c r="AC174" s="23">
        <v>1</v>
      </c>
      <c r="AD174" s="23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</row>
    <row r="175" ht="20.1" customHeight="1" spans="2:223">
      <c r="B175" s="11">
        <v>15206001</v>
      </c>
      <c r="C175" s="15" t="s">
        <v>225</v>
      </c>
      <c r="D175" s="15">
        <v>1140002</v>
      </c>
      <c r="E175" s="15">
        <v>0</v>
      </c>
      <c r="F175" s="15">
        <v>1</v>
      </c>
      <c r="G175" s="15">
        <v>30</v>
      </c>
      <c r="H175" s="16">
        <v>0.2</v>
      </c>
      <c r="I175" s="26">
        <v>10</v>
      </c>
      <c r="J175" s="15">
        <v>0</v>
      </c>
      <c r="K175" s="15">
        <v>0</v>
      </c>
      <c r="L175" s="15">
        <f t="shared" si="13"/>
        <v>45</v>
      </c>
      <c r="M175" s="15">
        <v>90</v>
      </c>
      <c r="N175" s="15">
        <v>0</v>
      </c>
      <c r="O175" s="15">
        <v>0</v>
      </c>
      <c r="P175" s="15">
        <f t="shared" si="14"/>
        <v>13</v>
      </c>
      <c r="Q175" s="15">
        <v>25</v>
      </c>
      <c r="R175" s="15">
        <f t="shared" si="15"/>
        <v>0</v>
      </c>
      <c r="S175" s="15">
        <v>0</v>
      </c>
      <c r="T175" s="16">
        <v>0</v>
      </c>
      <c r="U175" s="15">
        <v>0</v>
      </c>
      <c r="V175" s="15">
        <v>0</v>
      </c>
      <c r="W175" s="15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</row>
    <row r="176" ht="20.1" customHeight="1" spans="2:223">
      <c r="B176" s="11">
        <v>15206002</v>
      </c>
      <c r="C176" s="15" t="s">
        <v>226</v>
      </c>
      <c r="D176" s="15">
        <v>1140002</v>
      </c>
      <c r="E176" s="15">
        <v>0</v>
      </c>
      <c r="F176" s="15">
        <v>1</v>
      </c>
      <c r="G176" s="15">
        <v>30</v>
      </c>
      <c r="H176" s="16">
        <v>0.2</v>
      </c>
      <c r="I176" s="26">
        <v>10</v>
      </c>
      <c r="J176" s="15">
        <v>0</v>
      </c>
      <c r="K176" s="15">
        <v>0</v>
      </c>
      <c r="L176" s="15">
        <f t="shared" si="13"/>
        <v>55</v>
      </c>
      <c r="M176" s="15">
        <v>110</v>
      </c>
      <c r="N176" s="15">
        <v>0</v>
      </c>
      <c r="O176" s="15">
        <v>0</v>
      </c>
      <c r="P176" s="15">
        <f t="shared" si="14"/>
        <v>17</v>
      </c>
      <c r="Q176" s="15">
        <v>34</v>
      </c>
      <c r="R176" s="15">
        <f t="shared" si="15"/>
        <v>0</v>
      </c>
      <c r="S176" s="15">
        <v>0</v>
      </c>
      <c r="T176" s="16">
        <v>0</v>
      </c>
      <c r="U176" s="15">
        <v>0</v>
      </c>
      <c r="V176" s="15">
        <v>0</v>
      </c>
      <c r="W176" s="15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</row>
    <row r="177" ht="20.1" customHeight="1" spans="2:223">
      <c r="B177" s="11">
        <v>15206003</v>
      </c>
      <c r="C177" s="39" t="s">
        <v>227</v>
      </c>
      <c r="D177" s="15">
        <v>1140002</v>
      </c>
      <c r="E177" s="15">
        <v>12051</v>
      </c>
      <c r="F177" s="15">
        <v>1</v>
      </c>
      <c r="G177" s="15">
        <v>30</v>
      </c>
      <c r="H177" s="16">
        <v>0.2</v>
      </c>
      <c r="I177" s="26">
        <v>10</v>
      </c>
      <c r="J177" s="15">
        <v>0</v>
      </c>
      <c r="K177" s="15">
        <v>0</v>
      </c>
      <c r="L177" s="15">
        <f t="shared" ref="L177" si="30">ROUND(M177/2,0)</f>
        <v>75</v>
      </c>
      <c r="M177" s="15">
        <v>150</v>
      </c>
      <c r="N177" s="15">
        <v>0</v>
      </c>
      <c r="O177" s="15">
        <v>0</v>
      </c>
      <c r="P177" s="15">
        <f t="shared" ref="P177" si="31">ROUND(Q177/2,0)</f>
        <v>23</v>
      </c>
      <c r="Q177" s="15">
        <v>45</v>
      </c>
      <c r="R177" s="15">
        <f t="shared" ref="R177" si="32">ROUND(S177/2,0)</f>
        <v>0</v>
      </c>
      <c r="S177" s="15">
        <v>0</v>
      </c>
      <c r="T177" s="16">
        <v>0</v>
      </c>
      <c r="U177" s="15">
        <v>0</v>
      </c>
      <c r="V177" s="15">
        <v>0</v>
      </c>
      <c r="W177" s="15">
        <v>0</v>
      </c>
      <c r="X177" s="16">
        <v>0</v>
      </c>
      <c r="Y177" s="16">
        <v>0</v>
      </c>
      <c r="Z177" s="16">
        <v>0</v>
      </c>
      <c r="AA177" s="16">
        <v>100403</v>
      </c>
      <c r="AB177" s="16">
        <v>100</v>
      </c>
      <c r="AC177" s="16">
        <v>1</v>
      </c>
      <c r="AD177" s="16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</row>
    <row r="178" ht="20.1" customHeight="1" spans="2:223">
      <c r="B178" s="11">
        <v>15207001</v>
      </c>
      <c r="C178" s="15" t="s">
        <v>228</v>
      </c>
      <c r="D178" s="15">
        <v>1140002</v>
      </c>
      <c r="E178" s="15">
        <v>0</v>
      </c>
      <c r="F178" s="15">
        <v>1</v>
      </c>
      <c r="G178" s="15">
        <v>30</v>
      </c>
      <c r="H178" s="16">
        <v>0.2</v>
      </c>
      <c r="I178" s="26">
        <v>10</v>
      </c>
      <c r="J178" s="15">
        <v>0</v>
      </c>
      <c r="K178" s="15">
        <v>0</v>
      </c>
      <c r="L178" s="15">
        <f t="shared" si="13"/>
        <v>45</v>
      </c>
      <c r="M178" s="15">
        <v>90</v>
      </c>
      <c r="N178" s="15">
        <v>0</v>
      </c>
      <c r="O178" s="15">
        <v>0</v>
      </c>
      <c r="P178" s="15">
        <f t="shared" si="14"/>
        <v>0</v>
      </c>
      <c r="Q178" s="15">
        <v>0</v>
      </c>
      <c r="R178" s="15">
        <f t="shared" si="15"/>
        <v>13</v>
      </c>
      <c r="S178" s="15">
        <v>25</v>
      </c>
      <c r="T178" s="16">
        <v>0</v>
      </c>
      <c r="U178" s="15">
        <v>0</v>
      </c>
      <c r="V178" s="15">
        <v>0</v>
      </c>
      <c r="W178" s="15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</row>
    <row r="179" ht="20.1" customHeight="1" spans="2:223">
      <c r="B179" s="11">
        <v>15207002</v>
      </c>
      <c r="C179" s="15" t="s">
        <v>229</v>
      </c>
      <c r="D179" s="15">
        <v>1140002</v>
      </c>
      <c r="E179" s="15">
        <v>0</v>
      </c>
      <c r="F179" s="15">
        <v>1</v>
      </c>
      <c r="G179" s="15">
        <v>30</v>
      </c>
      <c r="H179" s="16">
        <v>0.2</v>
      </c>
      <c r="I179" s="26">
        <v>10</v>
      </c>
      <c r="J179" s="15">
        <v>0</v>
      </c>
      <c r="K179" s="15">
        <v>0</v>
      </c>
      <c r="L179" s="15">
        <f t="shared" si="13"/>
        <v>55</v>
      </c>
      <c r="M179" s="15">
        <v>110</v>
      </c>
      <c r="N179" s="15">
        <v>0</v>
      </c>
      <c r="O179" s="15">
        <v>0</v>
      </c>
      <c r="P179" s="15">
        <f t="shared" si="14"/>
        <v>0</v>
      </c>
      <c r="Q179" s="15">
        <v>0</v>
      </c>
      <c r="R179" s="15">
        <f t="shared" si="15"/>
        <v>17</v>
      </c>
      <c r="S179" s="15">
        <v>34</v>
      </c>
      <c r="T179" s="16">
        <v>0</v>
      </c>
      <c r="U179" s="15">
        <v>0</v>
      </c>
      <c r="V179" s="15">
        <v>0</v>
      </c>
      <c r="W179" s="15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</row>
    <row r="180" s="3" customFormat="1" ht="20.1" customHeight="1" spans="2:223">
      <c r="B180" s="20">
        <v>15207003</v>
      </c>
      <c r="C180" s="22" t="s">
        <v>230</v>
      </c>
      <c r="D180" s="22">
        <v>1140002</v>
      </c>
      <c r="E180" s="22">
        <v>0</v>
      </c>
      <c r="F180" s="22">
        <v>1</v>
      </c>
      <c r="G180" s="22">
        <v>30</v>
      </c>
      <c r="H180" s="23">
        <v>0.2</v>
      </c>
      <c r="I180" s="26">
        <v>10</v>
      </c>
      <c r="J180" s="22">
        <v>0</v>
      </c>
      <c r="K180" s="22">
        <v>0</v>
      </c>
      <c r="L180" s="22">
        <f t="shared" ref="L180" si="33">ROUND(M180/2,0)</f>
        <v>65</v>
      </c>
      <c r="M180" s="22">
        <v>130</v>
      </c>
      <c r="N180" s="22">
        <v>0</v>
      </c>
      <c r="O180" s="22">
        <v>0</v>
      </c>
      <c r="P180" s="22">
        <f t="shared" ref="P180" si="34">ROUND(Q180/2,0)</f>
        <v>0</v>
      </c>
      <c r="Q180" s="22">
        <v>0</v>
      </c>
      <c r="R180" s="22">
        <f t="shared" ref="R180" si="35">ROUND(S180/2,0)</f>
        <v>23</v>
      </c>
      <c r="S180" s="22">
        <v>46</v>
      </c>
      <c r="T180" s="23">
        <v>0</v>
      </c>
      <c r="U180" s="22">
        <v>0</v>
      </c>
      <c r="V180" s="22">
        <v>0</v>
      </c>
      <c r="W180" s="22">
        <v>0</v>
      </c>
      <c r="X180" s="23">
        <v>0</v>
      </c>
      <c r="Y180" s="23">
        <v>0</v>
      </c>
      <c r="Z180" s="23">
        <v>0</v>
      </c>
      <c r="AA180" s="23">
        <v>100902</v>
      </c>
      <c r="AB180" s="23">
        <v>300</v>
      </c>
      <c r="AC180" s="23">
        <v>1</v>
      </c>
      <c r="AD180" s="23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L180" s="35"/>
      <c r="HM180" s="35"/>
      <c r="HN180" s="35"/>
      <c r="HO180" s="35"/>
    </row>
    <row r="181" ht="20.1" customHeight="1" spans="2:223">
      <c r="B181" s="11">
        <v>15208001</v>
      </c>
      <c r="C181" s="15" t="s">
        <v>157</v>
      </c>
      <c r="D181" s="15">
        <v>1140002</v>
      </c>
      <c r="E181" s="15">
        <v>0</v>
      </c>
      <c r="F181" s="15">
        <v>1</v>
      </c>
      <c r="G181" s="15">
        <v>30</v>
      </c>
      <c r="H181" s="16">
        <v>0.2</v>
      </c>
      <c r="I181" s="26">
        <v>10</v>
      </c>
      <c r="J181" s="15">
        <v>0</v>
      </c>
      <c r="K181" s="15">
        <v>0</v>
      </c>
      <c r="L181" s="15">
        <f t="shared" si="13"/>
        <v>10</v>
      </c>
      <c r="M181" s="15">
        <v>20</v>
      </c>
      <c r="N181" s="15">
        <v>0</v>
      </c>
      <c r="O181" s="15">
        <v>0</v>
      </c>
      <c r="P181" s="15">
        <f t="shared" si="14"/>
        <v>0</v>
      </c>
      <c r="Q181" s="15">
        <v>0</v>
      </c>
      <c r="R181" s="15">
        <f t="shared" si="15"/>
        <v>0</v>
      </c>
      <c r="S181" s="15">
        <v>0</v>
      </c>
      <c r="T181" s="16">
        <v>0</v>
      </c>
      <c r="U181" s="15">
        <v>0</v>
      </c>
      <c r="V181" s="15">
        <v>0</v>
      </c>
      <c r="W181" s="15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</row>
    <row r="182" ht="20.1" customHeight="1" spans="2:223">
      <c r="B182" s="11">
        <v>15208002</v>
      </c>
      <c r="C182" s="15" t="s">
        <v>231</v>
      </c>
      <c r="D182" s="15">
        <v>1140002</v>
      </c>
      <c r="E182" s="15">
        <v>0</v>
      </c>
      <c r="F182" s="15">
        <v>1</v>
      </c>
      <c r="G182" s="15">
        <v>30</v>
      </c>
      <c r="H182" s="16">
        <v>0.2</v>
      </c>
      <c r="I182" s="26">
        <v>10</v>
      </c>
      <c r="J182" s="15">
        <v>0</v>
      </c>
      <c r="K182" s="15">
        <v>0</v>
      </c>
      <c r="L182" s="15">
        <f t="shared" ref="L182:L271" si="36">ROUND(M182/2,0)</f>
        <v>13</v>
      </c>
      <c r="M182" s="15">
        <v>25</v>
      </c>
      <c r="N182" s="15">
        <v>0</v>
      </c>
      <c r="O182" s="15">
        <v>0</v>
      </c>
      <c r="P182" s="15">
        <f t="shared" ref="P182:P271" si="37">ROUND(Q182/2,0)</f>
        <v>0</v>
      </c>
      <c r="Q182" s="15">
        <v>0</v>
      </c>
      <c r="R182" s="15">
        <f t="shared" ref="R182:R271" si="38">ROUND(S182/2,0)</f>
        <v>0</v>
      </c>
      <c r="S182" s="15">
        <v>0</v>
      </c>
      <c r="T182" s="16">
        <v>0</v>
      </c>
      <c r="U182" s="15">
        <v>0</v>
      </c>
      <c r="V182" s="15">
        <v>0</v>
      </c>
      <c r="W182" s="15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</row>
    <row r="183" s="3" customFormat="1" ht="20.1" customHeight="1" spans="2:223">
      <c r="B183" s="20">
        <v>15208003</v>
      </c>
      <c r="C183" s="43" t="s">
        <v>232</v>
      </c>
      <c r="D183" s="22">
        <v>1140002</v>
      </c>
      <c r="E183" s="22">
        <v>0</v>
      </c>
      <c r="F183" s="22">
        <v>1</v>
      </c>
      <c r="G183" s="22">
        <v>30</v>
      </c>
      <c r="H183" s="23">
        <v>0.2</v>
      </c>
      <c r="I183" s="26">
        <v>10</v>
      </c>
      <c r="J183" s="22">
        <v>0</v>
      </c>
      <c r="K183" s="22">
        <v>0</v>
      </c>
      <c r="L183" s="22">
        <f t="shared" ref="L183" si="39">ROUND(M183/2,0)</f>
        <v>15</v>
      </c>
      <c r="M183" s="22">
        <v>30</v>
      </c>
      <c r="N183" s="22">
        <v>0</v>
      </c>
      <c r="O183" s="22">
        <v>0</v>
      </c>
      <c r="P183" s="22">
        <f t="shared" ref="P183" si="40">ROUND(Q183/2,0)</f>
        <v>0</v>
      </c>
      <c r="Q183" s="22">
        <v>0</v>
      </c>
      <c r="R183" s="22">
        <f t="shared" ref="R183" si="41">ROUND(S183/2,0)</f>
        <v>0</v>
      </c>
      <c r="S183" s="22">
        <v>0</v>
      </c>
      <c r="T183" s="23">
        <v>0</v>
      </c>
      <c r="U183" s="22">
        <v>0</v>
      </c>
      <c r="V183" s="22">
        <v>0</v>
      </c>
      <c r="W183" s="22">
        <v>0</v>
      </c>
      <c r="X183" s="23">
        <v>0</v>
      </c>
      <c r="Y183" s="23">
        <v>0</v>
      </c>
      <c r="Z183" s="23">
        <v>0</v>
      </c>
      <c r="AA183" s="23">
        <v>0</v>
      </c>
      <c r="AB183" s="23">
        <v>0</v>
      </c>
      <c r="AC183" s="23">
        <v>0</v>
      </c>
      <c r="AD183" s="23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35"/>
      <c r="HG183" s="35"/>
      <c r="HH183" s="35"/>
      <c r="HI183" s="35"/>
      <c r="HJ183" s="35"/>
      <c r="HK183" s="35"/>
      <c r="HL183" s="35"/>
      <c r="HM183" s="35"/>
      <c r="HN183" s="35"/>
      <c r="HO183" s="35"/>
    </row>
    <row r="184" ht="20.1" customHeight="1" spans="2:223">
      <c r="B184" s="11">
        <v>15209001</v>
      </c>
      <c r="C184" s="15" t="s">
        <v>233</v>
      </c>
      <c r="D184" s="15">
        <v>1140001</v>
      </c>
      <c r="E184" s="15">
        <v>0</v>
      </c>
      <c r="F184" s="15">
        <v>1</v>
      </c>
      <c r="G184" s="15">
        <v>30</v>
      </c>
      <c r="H184" s="16">
        <v>0.2</v>
      </c>
      <c r="I184" s="26">
        <v>10</v>
      </c>
      <c r="J184" s="15">
        <v>0</v>
      </c>
      <c r="K184" s="15">
        <v>2650</v>
      </c>
      <c r="L184" s="15">
        <f t="shared" si="36"/>
        <v>0</v>
      </c>
      <c r="M184" s="15">
        <v>0</v>
      </c>
      <c r="N184" s="15">
        <v>0</v>
      </c>
      <c r="O184" s="15">
        <v>0</v>
      </c>
      <c r="P184" s="15">
        <f t="shared" si="37"/>
        <v>0</v>
      </c>
      <c r="Q184" s="15">
        <v>0</v>
      </c>
      <c r="R184" s="15">
        <f t="shared" si="38"/>
        <v>0</v>
      </c>
      <c r="S184" s="15">
        <v>0</v>
      </c>
      <c r="T184" s="16">
        <v>0</v>
      </c>
      <c r="U184" s="15">
        <v>0</v>
      </c>
      <c r="V184" s="15">
        <v>0</v>
      </c>
      <c r="W184" s="15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</row>
    <row r="185" ht="20.1" customHeight="1" spans="2:223">
      <c r="B185" s="11">
        <v>15209002</v>
      </c>
      <c r="C185" s="15" t="s">
        <v>234</v>
      </c>
      <c r="D185" s="15">
        <v>1140001</v>
      </c>
      <c r="E185" s="15">
        <v>0</v>
      </c>
      <c r="F185" s="15">
        <v>1</v>
      </c>
      <c r="G185" s="15">
        <v>30</v>
      </c>
      <c r="H185" s="16">
        <v>0.2</v>
      </c>
      <c r="I185" s="26">
        <v>10</v>
      </c>
      <c r="J185" s="15">
        <v>0</v>
      </c>
      <c r="K185" s="15">
        <v>3150</v>
      </c>
      <c r="L185" s="15">
        <f t="shared" si="36"/>
        <v>0</v>
      </c>
      <c r="M185" s="15">
        <v>0</v>
      </c>
      <c r="N185" s="15">
        <v>0</v>
      </c>
      <c r="O185" s="15">
        <v>0</v>
      </c>
      <c r="P185" s="15">
        <f t="shared" si="37"/>
        <v>0</v>
      </c>
      <c r="Q185" s="15">
        <v>0</v>
      </c>
      <c r="R185" s="15">
        <f t="shared" si="38"/>
        <v>0</v>
      </c>
      <c r="S185" s="15">
        <v>0</v>
      </c>
      <c r="T185" s="16">
        <v>0</v>
      </c>
      <c r="U185" s="15">
        <v>0</v>
      </c>
      <c r="V185" s="15">
        <v>0</v>
      </c>
      <c r="W185" s="15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</row>
    <row r="186" s="3" customFormat="1" ht="20.1" customHeight="1" spans="2:223">
      <c r="B186" s="20">
        <v>15209003</v>
      </c>
      <c r="C186" s="22" t="s">
        <v>235</v>
      </c>
      <c r="D186" s="22">
        <v>1140001</v>
      </c>
      <c r="E186" s="22">
        <v>0</v>
      </c>
      <c r="F186" s="22">
        <v>1</v>
      </c>
      <c r="G186" s="22">
        <v>30</v>
      </c>
      <c r="H186" s="23">
        <v>0.2</v>
      </c>
      <c r="I186" s="26">
        <v>10</v>
      </c>
      <c r="J186" s="22">
        <v>0</v>
      </c>
      <c r="K186" s="22">
        <v>5250</v>
      </c>
      <c r="L186" s="22">
        <f t="shared" ref="L186" si="42">ROUND(M186/2,0)</f>
        <v>0</v>
      </c>
      <c r="M186" s="22">
        <v>0</v>
      </c>
      <c r="N186" s="22">
        <v>0</v>
      </c>
      <c r="O186" s="22">
        <v>0</v>
      </c>
      <c r="P186" s="22">
        <f t="shared" ref="P186" si="43">ROUND(Q186/2,0)</f>
        <v>0</v>
      </c>
      <c r="Q186" s="22">
        <v>0</v>
      </c>
      <c r="R186" s="22">
        <f t="shared" ref="R186" si="44">ROUND(S186/2,0)</f>
        <v>0</v>
      </c>
      <c r="S186" s="22">
        <v>0</v>
      </c>
      <c r="T186" s="23">
        <v>0</v>
      </c>
      <c r="U186" s="22">
        <v>0</v>
      </c>
      <c r="V186" s="22">
        <v>0</v>
      </c>
      <c r="W186" s="22">
        <v>0</v>
      </c>
      <c r="X186" s="23">
        <v>0</v>
      </c>
      <c r="Y186" s="23">
        <v>0</v>
      </c>
      <c r="Z186" s="23">
        <v>0</v>
      </c>
      <c r="AA186" s="23">
        <v>200301</v>
      </c>
      <c r="AB186" s="23">
        <v>300</v>
      </c>
      <c r="AC186" s="23">
        <v>1</v>
      </c>
      <c r="AD186" s="23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</row>
    <row r="187" ht="20.1" customHeight="1" spans="2:223">
      <c r="B187" s="11">
        <v>15210001</v>
      </c>
      <c r="C187" s="15" t="s">
        <v>236</v>
      </c>
      <c r="D187" s="15">
        <v>1140001</v>
      </c>
      <c r="E187" s="15">
        <v>0</v>
      </c>
      <c r="F187" s="15">
        <v>1</v>
      </c>
      <c r="G187" s="15">
        <v>30</v>
      </c>
      <c r="H187" s="16">
        <v>0.2</v>
      </c>
      <c r="I187" s="26">
        <v>10</v>
      </c>
      <c r="J187" s="15">
        <v>0</v>
      </c>
      <c r="K187" s="15">
        <v>0</v>
      </c>
      <c r="L187" s="15">
        <f t="shared" si="36"/>
        <v>128</v>
      </c>
      <c r="M187" s="15">
        <v>255</v>
      </c>
      <c r="N187" s="15">
        <v>0</v>
      </c>
      <c r="O187" s="15">
        <v>0</v>
      </c>
      <c r="P187" s="15">
        <f t="shared" si="37"/>
        <v>0</v>
      </c>
      <c r="Q187" s="15">
        <v>0</v>
      </c>
      <c r="R187" s="15">
        <f t="shared" si="38"/>
        <v>0</v>
      </c>
      <c r="S187" s="15">
        <v>0</v>
      </c>
      <c r="T187" s="16">
        <v>0</v>
      </c>
      <c r="U187" s="15">
        <v>0</v>
      </c>
      <c r="V187" s="15">
        <v>0</v>
      </c>
      <c r="W187" s="15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</row>
    <row r="188" ht="20.1" customHeight="1" spans="2:223">
      <c r="B188" s="11">
        <v>15210002</v>
      </c>
      <c r="C188" s="15" t="s">
        <v>237</v>
      </c>
      <c r="D188" s="15">
        <v>1140001</v>
      </c>
      <c r="E188" s="15">
        <v>0</v>
      </c>
      <c r="F188" s="15">
        <v>1</v>
      </c>
      <c r="G188" s="15">
        <v>30</v>
      </c>
      <c r="H188" s="16">
        <v>0.2</v>
      </c>
      <c r="I188" s="26">
        <v>10</v>
      </c>
      <c r="J188" s="15">
        <v>0</v>
      </c>
      <c r="K188" s="15">
        <v>0</v>
      </c>
      <c r="L188" s="15">
        <f t="shared" si="36"/>
        <v>158</v>
      </c>
      <c r="M188" s="15">
        <v>315</v>
      </c>
      <c r="N188" s="15">
        <v>0</v>
      </c>
      <c r="O188" s="15">
        <v>0</v>
      </c>
      <c r="P188" s="15">
        <f t="shared" si="37"/>
        <v>0</v>
      </c>
      <c r="Q188" s="15">
        <v>0</v>
      </c>
      <c r="R188" s="15">
        <f t="shared" si="38"/>
        <v>0</v>
      </c>
      <c r="S188" s="15">
        <v>0</v>
      </c>
      <c r="T188" s="16">
        <v>0</v>
      </c>
      <c r="U188" s="15">
        <v>0</v>
      </c>
      <c r="V188" s="15">
        <v>0</v>
      </c>
      <c r="W188" s="15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</row>
    <row r="189" ht="20.1" customHeight="1" spans="2:223">
      <c r="B189" s="11">
        <v>15210003</v>
      </c>
      <c r="C189" s="15" t="s">
        <v>238</v>
      </c>
      <c r="D189" s="15">
        <v>1140001</v>
      </c>
      <c r="E189" s="15">
        <v>0</v>
      </c>
      <c r="F189" s="15">
        <v>1</v>
      </c>
      <c r="G189" s="15">
        <v>30</v>
      </c>
      <c r="H189" s="16">
        <v>0.2</v>
      </c>
      <c r="I189" s="26">
        <v>10</v>
      </c>
      <c r="J189" s="15">
        <v>0</v>
      </c>
      <c r="K189" s="15">
        <v>0</v>
      </c>
      <c r="L189" s="15">
        <f t="shared" si="36"/>
        <v>128</v>
      </c>
      <c r="M189" s="15">
        <v>255</v>
      </c>
      <c r="N189" s="15">
        <v>0</v>
      </c>
      <c r="O189" s="15">
        <v>0</v>
      </c>
      <c r="P189" s="15">
        <f t="shared" si="37"/>
        <v>0</v>
      </c>
      <c r="Q189" s="15">
        <v>0</v>
      </c>
      <c r="R189" s="15">
        <f t="shared" si="38"/>
        <v>0</v>
      </c>
      <c r="S189" s="15">
        <v>0</v>
      </c>
      <c r="T189" s="16">
        <v>0</v>
      </c>
      <c r="U189" s="15">
        <v>0</v>
      </c>
      <c r="V189" s="15">
        <v>0</v>
      </c>
      <c r="W189" s="15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</row>
    <row r="190" ht="20.1" customHeight="1" spans="2:223">
      <c r="B190" s="11">
        <v>15210004</v>
      </c>
      <c r="C190" s="15" t="s">
        <v>239</v>
      </c>
      <c r="D190" s="15">
        <v>1140001</v>
      </c>
      <c r="E190" s="15">
        <v>0</v>
      </c>
      <c r="F190" s="15">
        <v>1</v>
      </c>
      <c r="G190" s="15">
        <v>30</v>
      </c>
      <c r="H190" s="16">
        <v>0.2</v>
      </c>
      <c r="I190" s="26">
        <v>10</v>
      </c>
      <c r="J190" s="15">
        <v>0</v>
      </c>
      <c r="K190" s="15">
        <v>0</v>
      </c>
      <c r="L190" s="15">
        <f t="shared" si="36"/>
        <v>158</v>
      </c>
      <c r="M190" s="15">
        <v>315</v>
      </c>
      <c r="N190" s="15">
        <v>0</v>
      </c>
      <c r="O190" s="15">
        <v>0</v>
      </c>
      <c r="P190" s="15">
        <f t="shared" si="37"/>
        <v>0</v>
      </c>
      <c r="Q190" s="15">
        <v>0</v>
      </c>
      <c r="R190" s="15">
        <f t="shared" si="38"/>
        <v>0</v>
      </c>
      <c r="S190" s="15">
        <v>0</v>
      </c>
      <c r="T190" s="16">
        <v>0</v>
      </c>
      <c r="U190" s="15">
        <v>0</v>
      </c>
      <c r="V190" s="15">
        <v>0</v>
      </c>
      <c r="W190" s="15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</row>
    <row r="191" ht="20.1" customHeight="1" spans="2:223">
      <c r="B191" s="11">
        <v>15210011</v>
      </c>
      <c r="C191" s="39" t="s">
        <v>240</v>
      </c>
      <c r="D191" s="15">
        <v>1140001</v>
      </c>
      <c r="E191" s="15">
        <v>12051</v>
      </c>
      <c r="F191" s="15">
        <v>1</v>
      </c>
      <c r="G191" s="15">
        <v>30</v>
      </c>
      <c r="H191" s="16">
        <v>0.2</v>
      </c>
      <c r="I191" s="26">
        <v>10</v>
      </c>
      <c r="J191" s="15">
        <v>0</v>
      </c>
      <c r="K191" s="15">
        <v>0</v>
      </c>
      <c r="L191" s="15">
        <f t="shared" ref="L191:L192" si="45">ROUND(M191/2,0)</f>
        <v>200</v>
      </c>
      <c r="M191" s="15">
        <v>400</v>
      </c>
      <c r="N191" s="15">
        <v>0</v>
      </c>
      <c r="O191" s="15">
        <v>0</v>
      </c>
      <c r="P191" s="15">
        <f t="shared" ref="P191:P192" si="46">ROUND(Q191/2,0)</f>
        <v>0</v>
      </c>
      <c r="Q191" s="15">
        <v>0</v>
      </c>
      <c r="R191" s="15">
        <f t="shared" ref="R191:R192" si="47">ROUND(S191/2,0)</f>
        <v>0</v>
      </c>
      <c r="S191" s="15">
        <v>0</v>
      </c>
      <c r="T191" s="16">
        <v>0</v>
      </c>
      <c r="U191" s="15">
        <v>0</v>
      </c>
      <c r="V191" s="15">
        <v>0</v>
      </c>
      <c r="W191" s="15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1</v>
      </c>
      <c r="AD191" s="16">
        <v>100001</v>
      </c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</row>
    <row r="192" ht="20.1" customHeight="1" spans="2:223">
      <c r="B192" s="11">
        <v>15210012</v>
      </c>
      <c r="C192" s="39" t="s">
        <v>241</v>
      </c>
      <c r="D192" s="15">
        <v>1140001</v>
      </c>
      <c r="E192" s="15">
        <v>12051</v>
      </c>
      <c r="F192" s="15">
        <v>1</v>
      </c>
      <c r="G192" s="15">
        <v>30</v>
      </c>
      <c r="H192" s="16">
        <v>0.2</v>
      </c>
      <c r="I192" s="26">
        <v>10</v>
      </c>
      <c r="J192" s="15">
        <v>0</v>
      </c>
      <c r="K192" s="15">
        <v>0</v>
      </c>
      <c r="L192" s="15">
        <f t="shared" si="45"/>
        <v>200</v>
      </c>
      <c r="M192" s="15">
        <v>400</v>
      </c>
      <c r="N192" s="15">
        <v>0</v>
      </c>
      <c r="O192" s="15">
        <v>0</v>
      </c>
      <c r="P192" s="15">
        <f t="shared" si="46"/>
        <v>0</v>
      </c>
      <c r="Q192" s="15">
        <v>0</v>
      </c>
      <c r="R192" s="15">
        <f t="shared" si="47"/>
        <v>0</v>
      </c>
      <c r="S192" s="15">
        <v>0</v>
      </c>
      <c r="T192" s="16">
        <v>0</v>
      </c>
      <c r="U192" s="15">
        <v>0</v>
      </c>
      <c r="V192" s="15">
        <v>0</v>
      </c>
      <c r="W192" s="15">
        <v>0</v>
      </c>
      <c r="X192" s="16">
        <v>0</v>
      </c>
      <c r="Y192" s="16">
        <v>0</v>
      </c>
      <c r="Z192" s="16">
        <v>0</v>
      </c>
      <c r="AA192" s="16">
        <v>200103</v>
      </c>
      <c r="AB192" s="16">
        <v>500</v>
      </c>
      <c r="AC192" s="16">
        <v>0</v>
      </c>
      <c r="AD192" s="16">
        <v>0</v>
      </c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</row>
    <row r="193" ht="20.1" customHeight="1" spans="2:223">
      <c r="B193" s="11">
        <v>15210111</v>
      </c>
      <c r="C193" s="39" t="s">
        <v>240</v>
      </c>
      <c r="D193" s="15">
        <v>1140001</v>
      </c>
      <c r="E193" s="15">
        <v>12051</v>
      </c>
      <c r="F193" s="15">
        <v>1</v>
      </c>
      <c r="G193" s="15">
        <v>30</v>
      </c>
      <c r="H193" s="16">
        <v>0.2</v>
      </c>
      <c r="I193" s="26">
        <v>10</v>
      </c>
      <c r="J193" s="15">
        <v>0</v>
      </c>
      <c r="K193" s="15">
        <v>0</v>
      </c>
      <c r="L193" s="15">
        <f t="shared" ref="L193:L197" si="48">ROUND(M193/2,0)</f>
        <v>200</v>
      </c>
      <c r="M193" s="15">
        <v>400</v>
      </c>
      <c r="N193" s="15">
        <v>0</v>
      </c>
      <c r="O193" s="15">
        <v>0</v>
      </c>
      <c r="P193" s="15">
        <f t="shared" ref="P193:P197" si="49">ROUND(Q193/2,0)</f>
        <v>0</v>
      </c>
      <c r="Q193" s="15">
        <v>0</v>
      </c>
      <c r="R193" s="15">
        <f t="shared" ref="R193:R197" si="50">ROUND(S193/2,0)</f>
        <v>0</v>
      </c>
      <c r="S193" s="15">
        <v>0</v>
      </c>
      <c r="T193" s="16">
        <v>0</v>
      </c>
      <c r="U193" s="15">
        <v>0</v>
      </c>
      <c r="V193" s="15">
        <v>0</v>
      </c>
      <c r="W193" s="15">
        <v>0</v>
      </c>
      <c r="X193" s="16">
        <v>0</v>
      </c>
      <c r="Y193" s="16">
        <v>0</v>
      </c>
      <c r="Z193" s="16">
        <v>0</v>
      </c>
      <c r="AA193" s="16">
        <v>200103</v>
      </c>
      <c r="AB193" s="16">
        <v>500</v>
      </c>
      <c r="AC193" s="16">
        <v>1</v>
      </c>
      <c r="AD193" s="16">
        <v>100002</v>
      </c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</row>
    <row r="194" ht="20.1" customHeight="1" spans="2:223">
      <c r="B194" s="11">
        <v>15210112</v>
      </c>
      <c r="C194" s="39" t="s">
        <v>241</v>
      </c>
      <c r="D194" s="15">
        <v>1140001</v>
      </c>
      <c r="E194" s="15">
        <v>12051</v>
      </c>
      <c r="F194" s="15">
        <v>1</v>
      </c>
      <c r="G194" s="15">
        <v>30</v>
      </c>
      <c r="H194" s="16">
        <v>0.2</v>
      </c>
      <c r="I194" s="26">
        <v>10</v>
      </c>
      <c r="J194" s="15">
        <v>0</v>
      </c>
      <c r="K194" s="15">
        <v>0</v>
      </c>
      <c r="L194" s="15">
        <f t="shared" si="48"/>
        <v>200</v>
      </c>
      <c r="M194" s="15">
        <v>400</v>
      </c>
      <c r="N194" s="15">
        <v>0</v>
      </c>
      <c r="O194" s="15">
        <v>0</v>
      </c>
      <c r="P194" s="15">
        <f t="shared" si="49"/>
        <v>0</v>
      </c>
      <c r="Q194" s="15">
        <v>0</v>
      </c>
      <c r="R194" s="15">
        <f t="shared" si="50"/>
        <v>0</v>
      </c>
      <c r="S194" s="15">
        <v>0</v>
      </c>
      <c r="T194" s="16">
        <v>0</v>
      </c>
      <c r="U194" s="15">
        <v>0</v>
      </c>
      <c r="V194" s="15">
        <v>0</v>
      </c>
      <c r="W194" s="15">
        <v>0</v>
      </c>
      <c r="X194" s="16">
        <v>0</v>
      </c>
      <c r="Y194" s="16">
        <v>0</v>
      </c>
      <c r="Z194" s="16">
        <v>0</v>
      </c>
      <c r="AA194" s="16">
        <v>202203</v>
      </c>
      <c r="AB194" s="16">
        <v>500</v>
      </c>
      <c r="AC194" s="16">
        <v>1</v>
      </c>
      <c r="AD194" s="46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</row>
    <row r="195" ht="20.1" customHeight="1" spans="2:223">
      <c r="B195" s="11">
        <v>15210201</v>
      </c>
      <c r="C195" s="15" t="s">
        <v>242</v>
      </c>
      <c r="D195" s="15">
        <v>1140001</v>
      </c>
      <c r="E195" s="15">
        <v>0</v>
      </c>
      <c r="F195" s="15">
        <v>1</v>
      </c>
      <c r="G195" s="15">
        <v>30</v>
      </c>
      <c r="H195" s="16">
        <v>0.2</v>
      </c>
      <c r="I195" s="26">
        <v>10</v>
      </c>
      <c r="J195" s="15">
        <v>0</v>
      </c>
      <c r="K195" s="15">
        <v>0</v>
      </c>
      <c r="L195" s="15">
        <f t="shared" si="48"/>
        <v>128</v>
      </c>
      <c r="M195" s="15">
        <v>255</v>
      </c>
      <c r="N195" s="15">
        <v>0</v>
      </c>
      <c r="O195" s="15">
        <v>0</v>
      </c>
      <c r="P195" s="15">
        <f t="shared" si="49"/>
        <v>0</v>
      </c>
      <c r="Q195" s="15">
        <v>0</v>
      </c>
      <c r="R195" s="15">
        <f t="shared" si="50"/>
        <v>0</v>
      </c>
      <c r="S195" s="15">
        <v>0</v>
      </c>
      <c r="T195" s="16">
        <v>0</v>
      </c>
      <c r="U195" s="15">
        <v>0</v>
      </c>
      <c r="V195" s="15">
        <v>0</v>
      </c>
      <c r="W195" s="15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</row>
    <row r="196" ht="20.1" customHeight="1" spans="2:223">
      <c r="B196" s="11">
        <v>15210202</v>
      </c>
      <c r="C196" s="15" t="s">
        <v>243</v>
      </c>
      <c r="D196" s="15">
        <v>1140001</v>
      </c>
      <c r="E196" s="15">
        <v>0</v>
      </c>
      <c r="F196" s="15">
        <v>1</v>
      </c>
      <c r="G196" s="15">
        <v>30</v>
      </c>
      <c r="H196" s="16">
        <v>0.2</v>
      </c>
      <c r="I196" s="26">
        <v>10</v>
      </c>
      <c r="J196" s="15">
        <v>0</v>
      </c>
      <c r="K196" s="15">
        <v>0</v>
      </c>
      <c r="L196" s="15">
        <f t="shared" si="48"/>
        <v>158</v>
      </c>
      <c r="M196" s="15">
        <v>315</v>
      </c>
      <c r="N196" s="15">
        <v>0</v>
      </c>
      <c r="O196" s="15">
        <v>0</v>
      </c>
      <c r="P196" s="15">
        <f t="shared" si="49"/>
        <v>0</v>
      </c>
      <c r="Q196" s="15">
        <v>0</v>
      </c>
      <c r="R196" s="15">
        <f t="shared" si="50"/>
        <v>0</v>
      </c>
      <c r="S196" s="15">
        <v>0</v>
      </c>
      <c r="T196" s="16">
        <v>0</v>
      </c>
      <c r="U196" s="15">
        <v>0</v>
      </c>
      <c r="V196" s="15">
        <v>0</v>
      </c>
      <c r="W196" s="15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</row>
    <row r="197" ht="20.1" customHeight="1" spans="2:223">
      <c r="B197" s="11">
        <v>15210211</v>
      </c>
      <c r="C197" s="39" t="s">
        <v>244</v>
      </c>
      <c r="D197" s="15">
        <v>1140001</v>
      </c>
      <c r="E197" s="15">
        <v>12051</v>
      </c>
      <c r="F197" s="15">
        <v>1</v>
      </c>
      <c r="G197" s="15">
        <v>30</v>
      </c>
      <c r="H197" s="16">
        <v>0.2</v>
      </c>
      <c r="I197" s="26">
        <v>10</v>
      </c>
      <c r="J197" s="15">
        <v>0</v>
      </c>
      <c r="K197" s="15">
        <v>0</v>
      </c>
      <c r="L197" s="15">
        <f t="shared" si="48"/>
        <v>200</v>
      </c>
      <c r="M197" s="15">
        <v>400</v>
      </c>
      <c r="N197" s="15">
        <v>0</v>
      </c>
      <c r="O197" s="15">
        <v>0</v>
      </c>
      <c r="P197" s="15">
        <f t="shared" si="49"/>
        <v>0</v>
      </c>
      <c r="Q197" s="15">
        <v>0</v>
      </c>
      <c r="R197" s="15">
        <f t="shared" si="50"/>
        <v>0</v>
      </c>
      <c r="S197" s="15">
        <v>0</v>
      </c>
      <c r="T197" s="16">
        <v>0</v>
      </c>
      <c r="U197" s="15">
        <v>0</v>
      </c>
      <c r="V197" s="15">
        <v>0</v>
      </c>
      <c r="W197" s="15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1</v>
      </c>
      <c r="AD197" s="16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</row>
    <row r="198" s="4" customFormat="1" ht="20.1" customHeight="1" spans="2:223">
      <c r="B198" s="36">
        <v>15211001</v>
      </c>
      <c r="C198" s="37" t="s">
        <v>245</v>
      </c>
      <c r="D198" s="37">
        <v>1140003</v>
      </c>
      <c r="E198" s="37">
        <v>0</v>
      </c>
      <c r="F198" s="37">
        <v>1</v>
      </c>
      <c r="G198" s="37">
        <v>30</v>
      </c>
      <c r="H198" s="38">
        <v>0.2</v>
      </c>
      <c r="I198" s="26">
        <v>10</v>
      </c>
      <c r="J198" s="15">
        <v>0</v>
      </c>
      <c r="K198" s="37">
        <v>1940</v>
      </c>
      <c r="L198" s="37">
        <f t="shared" si="36"/>
        <v>0</v>
      </c>
      <c r="M198" s="37">
        <v>0</v>
      </c>
      <c r="N198" s="37">
        <v>0</v>
      </c>
      <c r="O198" s="37">
        <v>0</v>
      </c>
      <c r="P198" s="37">
        <f t="shared" si="37"/>
        <v>23</v>
      </c>
      <c r="Q198" s="37">
        <v>45</v>
      </c>
      <c r="R198" s="37">
        <f t="shared" si="38"/>
        <v>23</v>
      </c>
      <c r="S198" s="37">
        <v>45</v>
      </c>
      <c r="T198" s="38">
        <v>0</v>
      </c>
      <c r="U198" s="37">
        <v>0</v>
      </c>
      <c r="V198" s="37">
        <v>0</v>
      </c>
      <c r="W198" s="37">
        <v>0</v>
      </c>
      <c r="X198" s="38">
        <v>0</v>
      </c>
      <c r="Y198" s="38">
        <v>0</v>
      </c>
      <c r="Z198" s="38">
        <v>0</v>
      </c>
      <c r="AA198" s="38">
        <v>0</v>
      </c>
      <c r="AB198" s="38">
        <v>0</v>
      </c>
      <c r="AC198" s="38">
        <v>0</v>
      </c>
      <c r="AD198" s="47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  <c r="CH198" s="42"/>
      <c r="CI198" s="42"/>
      <c r="CJ198" s="42"/>
      <c r="CK198" s="42"/>
      <c r="CL198" s="42"/>
      <c r="CM198" s="42"/>
      <c r="CN198" s="42"/>
      <c r="CO198" s="42"/>
      <c r="CP198" s="42"/>
      <c r="CQ198" s="42"/>
      <c r="CR198" s="42"/>
      <c r="CS198" s="42"/>
      <c r="CT198" s="42"/>
      <c r="CU198" s="42"/>
      <c r="CV198" s="42"/>
      <c r="CW198" s="42"/>
      <c r="CX198" s="42"/>
      <c r="CY198" s="42"/>
      <c r="CZ198" s="42"/>
      <c r="DA198" s="42"/>
      <c r="DB198" s="42"/>
      <c r="DC198" s="42"/>
      <c r="DD198" s="42"/>
      <c r="DE198" s="42"/>
      <c r="DF198" s="42"/>
      <c r="DG198" s="42"/>
      <c r="DH198" s="42"/>
      <c r="DI198" s="42"/>
      <c r="DJ198" s="42"/>
      <c r="DK198" s="42"/>
      <c r="DL198" s="42"/>
      <c r="DM198" s="42"/>
      <c r="DN198" s="42"/>
      <c r="DO198" s="42"/>
      <c r="DP198" s="42"/>
      <c r="DQ198" s="42"/>
      <c r="DR198" s="42"/>
      <c r="DS198" s="42"/>
      <c r="DT198" s="42"/>
      <c r="DU198" s="42"/>
      <c r="DV198" s="42"/>
      <c r="DW198" s="42"/>
      <c r="DX198" s="42"/>
      <c r="DY198" s="42"/>
      <c r="DZ198" s="42"/>
      <c r="EA198" s="42"/>
      <c r="EB198" s="42"/>
      <c r="EC198" s="42"/>
      <c r="ED198" s="42"/>
      <c r="EE198" s="42"/>
      <c r="EF198" s="42"/>
      <c r="EG198" s="42"/>
      <c r="EH198" s="42"/>
      <c r="EI198" s="42"/>
      <c r="EJ198" s="42"/>
      <c r="EK198" s="42"/>
      <c r="EL198" s="42"/>
      <c r="EM198" s="42"/>
      <c r="EN198" s="42"/>
      <c r="EO198" s="42"/>
      <c r="EP198" s="42"/>
      <c r="EQ198" s="42"/>
      <c r="ER198" s="42"/>
      <c r="ES198" s="42"/>
      <c r="ET198" s="42"/>
      <c r="EU198" s="42"/>
      <c r="EV198" s="42"/>
      <c r="EW198" s="42"/>
      <c r="EX198" s="42"/>
      <c r="EY198" s="42"/>
      <c r="EZ198" s="42"/>
      <c r="FA198" s="42"/>
      <c r="FB198" s="42"/>
      <c r="FC198" s="42"/>
      <c r="FD198" s="42"/>
      <c r="FE198" s="42"/>
      <c r="FF198" s="42"/>
      <c r="FG198" s="42"/>
      <c r="FH198" s="42"/>
      <c r="FI198" s="42"/>
      <c r="FJ198" s="42"/>
      <c r="FK198" s="42"/>
      <c r="FL198" s="42"/>
      <c r="FM198" s="42"/>
      <c r="FN198" s="42"/>
      <c r="FO198" s="42"/>
      <c r="FP198" s="42"/>
      <c r="FQ198" s="42"/>
      <c r="FR198" s="42"/>
      <c r="FS198" s="42"/>
      <c r="FT198" s="42"/>
      <c r="FU198" s="42"/>
      <c r="FV198" s="42"/>
      <c r="FW198" s="42"/>
      <c r="FX198" s="42"/>
      <c r="FY198" s="42"/>
      <c r="FZ198" s="42"/>
      <c r="GA198" s="42"/>
      <c r="GB198" s="42"/>
      <c r="GC198" s="42"/>
      <c r="GD198" s="42"/>
      <c r="GE198" s="42"/>
      <c r="GF198" s="42"/>
      <c r="GG198" s="42"/>
      <c r="GH198" s="42"/>
      <c r="GI198" s="42"/>
      <c r="GJ198" s="42"/>
      <c r="GK198" s="42"/>
      <c r="GL198" s="42"/>
      <c r="GM198" s="42"/>
      <c r="GN198" s="42"/>
      <c r="GO198" s="42"/>
      <c r="GP198" s="42"/>
      <c r="GQ198" s="42"/>
      <c r="GR198" s="42"/>
      <c r="GS198" s="42"/>
      <c r="GT198" s="42"/>
      <c r="GU198" s="42"/>
      <c r="GV198" s="42"/>
      <c r="GW198" s="42"/>
      <c r="GX198" s="42"/>
      <c r="GY198" s="42"/>
      <c r="GZ198" s="42"/>
      <c r="HA198" s="42"/>
      <c r="HB198" s="42"/>
      <c r="HC198" s="42"/>
      <c r="HD198" s="42"/>
      <c r="HE198" s="42"/>
      <c r="HF198" s="42"/>
      <c r="HG198" s="42"/>
      <c r="HH198" s="42"/>
      <c r="HI198" s="42"/>
      <c r="HJ198" s="42"/>
      <c r="HK198" s="42"/>
      <c r="HL198" s="42"/>
      <c r="HM198" s="42"/>
      <c r="HN198" s="42"/>
      <c r="HO198" s="42"/>
    </row>
    <row r="199" s="4" customFormat="1" ht="20.1" customHeight="1" spans="2:223">
      <c r="B199" s="36">
        <v>15211002</v>
      </c>
      <c r="C199" s="37" t="s">
        <v>246</v>
      </c>
      <c r="D199" s="37">
        <v>1140003</v>
      </c>
      <c r="E199" s="37">
        <v>12011</v>
      </c>
      <c r="F199" s="37">
        <v>1</v>
      </c>
      <c r="G199" s="37">
        <v>30</v>
      </c>
      <c r="H199" s="38">
        <v>0.2</v>
      </c>
      <c r="I199" s="26">
        <v>10</v>
      </c>
      <c r="J199" s="15">
        <v>0</v>
      </c>
      <c r="K199" s="37">
        <v>2340</v>
      </c>
      <c r="L199" s="37">
        <f t="shared" si="36"/>
        <v>0</v>
      </c>
      <c r="M199" s="37">
        <v>0</v>
      </c>
      <c r="N199" s="37">
        <v>0</v>
      </c>
      <c r="O199" s="37">
        <v>0</v>
      </c>
      <c r="P199" s="37">
        <f t="shared" si="37"/>
        <v>28</v>
      </c>
      <c r="Q199" s="37">
        <v>56</v>
      </c>
      <c r="R199" s="37">
        <f t="shared" si="38"/>
        <v>28</v>
      </c>
      <c r="S199" s="37">
        <v>56</v>
      </c>
      <c r="T199" s="38">
        <v>0</v>
      </c>
      <c r="U199" s="37">
        <v>0</v>
      </c>
      <c r="V199" s="37">
        <v>0</v>
      </c>
      <c r="W199" s="37">
        <v>0</v>
      </c>
      <c r="X199" s="38">
        <v>0</v>
      </c>
      <c r="Y199" s="38">
        <v>0</v>
      </c>
      <c r="Z199" s="38">
        <v>0</v>
      </c>
      <c r="AA199" s="38">
        <v>0</v>
      </c>
      <c r="AB199" s="38">
        <v>0</v>
      </c>
      <c r="AC199" s="38">
        <v>0</v>
      </c>
      <c r="AD199" s="47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2"/>
      <c r="CO199" s="42"/>
      <c r="CP199" s="42"/>
      <c r="CQ199" s="42"/>
      <c r="CR199" s="42"/>
      <c r="CS199" s="42"/>
      <c r="CT199" s="42"/>
      <c r="CU199" s="42"/>
      <c r="CV199" s="42"/>
      <c r="CW199" s="42"/>
      <c r="CX199" s="42"/>
      <c r="CY199" s="42"/>
      <c r="CZ199" s="42"/>
      <c r="DA199" s="42"/>
      <c r="DB199" s="42"/>
      <c r="DC199" s="42"/>
      <c r="DD199" s="42"/>
      <c r="DE199" s="42"/>
      <c r="DF199" s="42"/>
      <c r="DG199" s="42"/>
      <c r="DH199" s="42"/>
      <c r="DI199" s="42"/>
      <c r="DJ199" s="42"/>
      <c r="DK199" s="42"/>
      <c r="DL199" s="42"/>
      <c r="DM199" s="42"/>
      <c r="DN199" s="42"/>
      <c r="DO199" s="42"/>
      <c r="DP199" s="42"/>
      <c r="DQ199" s="42"/>
      <c r="DR199" s="42"/>
      <c r="DS199" s="42"/>
      <c r="DT199" s="42"/>
      <c r="DU199" s="42"/>
      <c r="DV199" s="42"/>
      <c r="DW199" s="42"/>
      <c r="DX199" s="42"/>
      <c r="DY199" s="42"/>
      <c r="DZ199" s="42"/>
      <c r="EA199" s="42"/>
      <c r="EB199" s="42"/>
      <c r="EC199" s="42"/>
      <c r="ED199" s="42"/>
      <c r="EE199" s="42"/>
      <c r="EF199" s="42"/>
      <c r="EG199" s="42"/>
      <c r="EH199" s="42"/>
      <c r="EI199" s="42"/>
      <c r="EJ199" s="42"/>
      <c r="EK199" s="42"/>
      <c r="EL199" s="42"/>
      <c r="EM199" s="42"/>
      <c r="EN199" s="42"/>
      <c r="EO199" s="42"/>
      <c r="EP199" s="42"/>
      <c r="EQ199" s="42"/>
      <c r="ER199" s="42"/>
      <c r="ES199" s="42"/>
      <c r="ET199" s="42"/>
      <c r="EU199" s="42"/>
      <c r="EV199" s="42"/>
      <c r="EW199" s="42"/>
      <c r="EX199" s="42"/>
      <c r="EY199" s="42"/>
      <c r="EZ199" s="42"/>
      <c r="FA199" s="42"/>
      <c r="FB199" s="42"/>
      <c r="FC199" s="42"/>
      <c r="FD199" s="42"/>
      <c r="FE199" s="42"/>
      <c r="FF199" s="42"/>
      <c r="FG199" s="42"/>
      <c r="FH199" s="42"/>
      <c r="FI199" s="42"/>
      <c r="FJ199" s="42"/>
      <c r="FK199" s="42"/>
      <c r="FL199" s="42"/>
      <c r="FM199" s="42"/>
      <c r="FN199" s="42"/>
      <c r="FO199" s="42"/>
      <c r="FP199" s="42"/>
      <c r="FQ199" s="42"/>
      <c r="FR199" s="42"/>
      <c r="FS199" s="42"/>
      <c r="FT199" s="42"/>
      <c r="FU199" s="42"/>
      <c r="FV199" s="42"/>
      <c r="FW199" s="42"/>
      <c r="FX199" s="42"/>
      <c r="FY199" s="42"/>
      <c r="FZ199" s="42"/>
      <c r="GA199" s="42"/>
      <c r="GB199" s="42"/>
      <c r="GC199" s="42"/>
      <c r="GD199" s="42"/>
      <c r="GE199" s="42"/>
      <c r="GF199" s="42"/>
      <c r="GG199" s="42"/>
      <c r="GH199" s="42"/>
      <c r="GI199" s="42"/>
      <c r="GJ199" s="42"/>
      <c r="GK199" s="42"/>
      <c r="GL199" s="42"/>
      <c r="GM199" s="42"/>
      <c r="GN199" s="42"/>
      <c r="GO199" s="42"/>
      <c r="GP199" s="42"/>
      <c r="GQ199" s="42"/>
      <c r="GR199" s="42"/>
      <c r="GS199" s="42"/>
      <c r="GT199" s="42"/>
      <c r="GU199" s="42"/>
      <c r="GV199" s="42"/>
      <c r="GW199" s="42"/>
      <c r="GX199" s="42"/>
      <c r="GY199" s="42"/>
      <c r="GZ199" s="42"/>
      <c r="HA199" s="42"/>
      <c r="HB199" s="42"/>
      <c r="HC199" s="42"/>
      <c r="HD199" s="42"/>
      <c r="HE199" s="42"/>
      <c r="HF199" s="42"/>
      <c r="HG199" s="42"/>
      <c r="HH199" s="42"/>
      <c r="HI199" s="42"/>
      <c r="HJ199" s="42"/>
      <c r="HK199" s="42"/>
      <c r="HL199" s="42"/>
      <c r="HM199" s="42"/>
      <c r="HN199" s="42"/>
      <c r="HO199" s="42"/>
    </row>
    <row r="200" s="4" customFormat="1" ht="20.1" customHeight="1" spans="2:223">
      <c r="B200" s="36">
        <v>15211003</v>
      </c>
      <c r="C200" s="37" t="s">
        <v>247</v>
      </c>
      <c r="D200" s="37">
        <v>1140003</v>
      </c>
      <c r="E200" s="37">
        <v>0</v>
      </c>
      <c r="F200" s="37">
        <v>1</v>
      </c>
      <c r="G200" s="37">
        <v>30</v>
      </c>
      <c r="H200" s="38">
        <v>0.2</v>
      </c>
      <c r="I200" s="26">
        <v>10</v>
      </c>
      <c r="J200" s="15">
        <v>0</v>
      </c>
      <c r="K200" s="37">
        <v>970</v>
      </c>
      <c r="L200" s="37">
        <f t="shared" si="36"/>
        <v>0</v>
      </c>
      <c r="M200" s="37">
        <v>0</v>
      </c>
      <c r="N200" s="37">
        <v>0</v>
      </c>
      <c r="O200" s="37">
        <v>0</v>
      </c>
      <c r="P200" s="37">
        <f t="shared" si="37"/>
        <v>17</v>
      </c>
      <c r="Q200" s="37">
        <v>34</v>
      </c>
      <c r="R200" s="37">
        <f t="shared" si="38"/>
        <v>17</v>
      </c>
      <c r="S200" s="37">
        <v>34</v>
      </c>
      <c r="T200" s="38">
        <v>0</v>
      </c>
      <c r="U200" s="37">
        <v>0</v>
      </c>
      <c r="V200" s="37">
        <v>0</v>
      </c>
      <c r="W200" s="37">
        <v>0</v>
      </c>
      <c r="X200" s="38">
        <v>0</v>
      </c>
      <c r="Y200" s="38">
        <v>0</v>
      </c>
      <c r="Z200" s="38">
        <v>0</v>
      </c>
      <c r="AA200" s="38">
        <v>0</v>
      </c>
      <c r="AB200" s="38">
        <v>0</v>
      </c>
      <c r="AC200" s="38">
        <v>0</v>
      </c>
      <c r="AD200" s="47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  <c r="CI200" s="42"/>
      <c r="CJ200" s="42"/>
      <c r="CK200" s="42"/>
      <c r="CL200" s="42"/>
      <c r="CM200" s="42"/>
      <c r="CN200" s="42"/>
      <c r="CO200" s="42"/>
      <c r="CP200" s="42"/>
      <c r="CQ200" s="42"/>
      <c r="CR200" s="42"/>
      <c r="CS200" s="42"/>
      <c r="CT200" s="42"/>
      <c r="CU200" s="42"/>
      <c r="CV200" s="42"/>
      <c r="CW200" s="42"/>
      <c r="CX200" s="42"/>
      <c r="CY200" s="42"/>
      <c r="CZ200" s="42"/>
      <c r="DA200" s="42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  <c r="DL200" s="42"/>
      <c r="DM200" s="42"/>
      <c r="DN200" s="42"/>
      <c r="DO200" s="42"/>
      <c r="DP200" s="42"/>
      <c r="DQ200" s="42"/>
      <c r="DR200" s="42"/>
      <c r="DS200" s="42"/>
      <c r="DT200" s="42"/>
      <c r="DU200" s="42"/>
      <c r="DV200" s="42"/>
      <c r="DW200" s="42"/>
      <c r="DX200" s="42"/>
      <c r="DY200" s="42"/>
      <c r="DZ200" s="42"/>
      <c r="EA200" s="42"/>
      <c r="EB200" s="42"/>
      <c r="EC200" s="42"/>
      <c r="ED200" s="42"/>
      <c r="EE200" s="42"/>
      <c r="EF200" s="42"/>
      <c r="EG200" s="42"/>
      <c r="EH200" s="42"/>
      <c r="EI200" s="42"/>
      <c r="EJ200" s="42"/>
      <c r="EK200" s="42"/>
      <c r="EL200" s="42"/>
      <c r="EM200" s="42"/>
      <c r="EN200" s="42"/>
      <c r="EO200" s="42"/>
      <c r="EP200" s="42"/>
      <c r="EQ200" s="42"/>
      <c r="ER200" s="42"/>
      <c r="ES200" s="42"/>
      <c r="ET200" s="42"/>
      <c r="EU200" s="42"/>
      <c r="EV200" s="42"/>
      <c r="EW200" s="42"/>
      <c r="EX200" s="42"/>
      <c r="EY200" s="42"/>
      <c r="EZ200" s="42"/>
      <c r="FA200" s="42"/>
      <c r="FB200" s="42"/>
      <c r="FC200" s="42"/>
      <c r="FD200" s="42"/>
      <c r="FE200" s="42"/>
      <c r="FF200" s="42"/>
      <c r="FG200" s="42"/>
      <c r="FH200" s="42"/>
      <c r="FI200" s="42"/>
      <c r="FJ200" s="42"/>
      <c r="FK200" s="42"/>
      <c r="FL200" s="42"/>
      <c r="FM200" s="42"/>
      <c r="FN200" s="42"/>
      <c r="FO200" s="42"/>
      <c r="FP200" s="42"/>
      <c r="FQ200" s="42"/>
      <c r="FR200" s="42"/>
      <c r="FS200" s="42"/>
      <c r="FT200" s="42"/>
      <c r="FU200" s="42"/>
      <c r="FV200" s="42"/>
      <c r="FW200" s="42"/>
      <c r="FX200" s="42"/>
      <c r="FY200" s="42"/>
      <c r="FZ200" s="42"/>
      <c r="GA200" s="42"/>
      <c r="GB200" s="42"/>
      <c r="GC200" s="42"/>
      <c r="GD200" s="42"/>
      <c r="GE200" s="42"/>
      <c r="GF200" s="42"/>
      <c r="GG200" s="42"/>
      <c r="GH200" s="42"/>
      <c r="GI200" s="42"/>
      <c r="GJ200" s="42"/>
      <c r="GK200" s="42"/>
      <c r="GL200" s="42"/>
      <c r="GM200" s="42"/>
      <c r="GN200" s="42"/>
      <c r="GO200" s="42"/>
      <c r="GP200" s="42"/>
      <c r="GQ200" s="42"/>
      <c r="GR200" s="42"/>
      <c r="GS200" s="42"/>
      <c r="GT200" s="42"/>
      <c r="GU200" s="42"/>
      <c r="GV200" s="42"/>
      <c r="GW200" s="42"/>
      <c r="GX200" s="42"/>
      <c r="GY200" s="42"/>
      <c r="GZ200" s="42"/>
      <c r="HA200" s="42"/>
      <c r="HB200" s="42"/>
      <c r="HC200" s="42"/>
      <c r="HD200" s="42"/>
      <c r="HE200" s="42"/>
      <c r="HF200" s="42"/>
      <c r="HG200" s="42"/>
      <c r="HH200" s="42"/>
      <c r="HI200" s="42"/>
      <c r="HJ200" s="42"/>
      <c r="HK200" s="42"/>
      <c r="HL200" s="42"/>
      <c r="HM200" s="42"/>
      <c r="HN200" s="42"/>
      <c r="HO200" s="42"/>
    </row>
    <row r="201" s="4" customFormat="1" ht="20.1" customHeight="1" spans="2:223">
      <c r="B201" s="36">
        <v>15211004</v>
      </c>
      <c r="C201" s="37" t="s">
        <v>248</v>
      </c>
      <c r="D201" s="37">
        <v>1140003</v>
      </c>
      <c r="E201" s="37">
        <v>12021</v>
      </c>
      <c r="F201" s="37">
        <v>1</v>
      </c>
      <c r="G201" s="37">
        <v>30</v>
      </c>
      <c r="H201" s="38">
        <v>0.2</v>
      </c>
      <c r="I201" s="26">
        <v>10</v>
      </c>
      <c r="J201" s="15">
        <v>0</v>
      </c>
      <c r="K201" s="37">
        <v>1180</v>
      </c>
      <c r="L201" s="37">
        <f t="shared" si="36"/>
        <v>0</v>
      </c>
      <c r="M201" s="37">
        <v>0</v>
      </c>
      <c r="N201" s="37">
        <v>0</v>
      </c>
      <c r="O201" s="37">
        <v>0</v>
      </c>
      <c r="P201" s="37">
        <f t="shared" si="37"/>
        <v>21</v>
      </c>
      <c r="Q201" s="37">
        <v>42</v>
      </c>
      <c r="R201" s="37">
        <f t="shared" si="38"/>
        <v>21</v>
      </c>
      <c r="S201" s="37">
        <v>42</v>
      </c>
      <c r="T201" s="38">
        <v>0</v>
      </c>
      <c r="U201" s="37">
        <v>0</v>
      </c>
      <c r="V201" s="37">
        <v>0</v>
      </c>
      <c r="W201" s="37">
        <v>0</v>
      </c>
      <c r="X201" s="38">
        <v>0</v>
      </c>
      <c r="Y201" s="38">
        <v>0</v>
      </c>
      <c r="Z201" s="38">
        <v>0</v>
      </c>
      <c r="AA201" s="38">
        <v>0</v>
      </c>
      <c r="AB201" s="38">
        <v>0</v>
      </c>
      <c r="AC201" s="38">
        <v>0</v>
      </c>
      <c r="AD201" s="47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42"/>
      <c r="CJ201" s="42"/>
      <c r="CK201" s="42"/>
      <c r="CL201" s="42"/>
      <c r="CM201" s="42"/>
      <c r="CN201" s="42"/>
      <c r="CO201" s="42"/>
      <c r="CP201" s="42"/>
      <c r="CQ201" s="42"/>
      <c r="CR201" s="42"/>
      <c r="CS201" s="42"/>
      <c r="CT201" s="42"/>
      <c r="CU201" s="42"/>
      <c r="CV201" s="42"/>
      <c r="CW201" s="42"/>
      <c r="CX201" s="42"/>
      <c r="CY201" s="42"/>
      <c r="CZ201" s="42"/>
      <c r="DA201" s="42"/>
      <c r="DB201" s="42"/>
      <c r="DC201" s="42"/>
      <c r="DD201" s="42"/>
      <c r="DE201" s="42"/>
      <c r="DF201" s="42"/>
      <c r="DG201" s="42"/>
      <c r="DH201" s="42"/>
      <c r="DI201" s="42"/>
      <c r="DJ201" s="42"/>
      <c r="DK201" s="42"/>
      <c r="DL201" s="42"/>
      <c r="DM201" s="42"/>
      <c r="DN201" s="42"/>
      <c r="DO201" s="42"/>
      <c r="DP201" s="42"/>
      <c r="DQ201" s="42"/>
      <c r="DR201" s="42"/>
      <c r="DS201" s="42"/>
      <c r="DT201" s="42"/>
      <c r="DU201" s="42"/>
      <c r="DV201" s="42"/>
      <c r="DW201" s="42"/>
      <c r="DX201" s="42"/>
      <c r="DY201" s="42"/>
      <c r="DZ201" s="42"/>
      <c r="EA201" s="42"/>
      <c r="EB201" s="42"/>
      <c r="EC201" s="42"/>
      <c r="ED201" s="42"/>
      <c r="EE201" s="42"/>
      <c r="EF201" s="42"/>
      <c r="EG201" s="42"/>
      <c r="EH201" s="42"/>
      <c r="EI201" s="42"/>
      <c r="EJ201" s="42"/>
      <c r="EK201" s="42"/>
      <c r="EL201" s="42"/>
      <c r="EM201" s="42"/>
      <c r="EN201" s="42"/>
      <c r="EO201" s="42"/>
      <c r="EP201" s="42"/>
      <c r="EQ201" s="42"/>
      <c r="ER201" s="42"/>
      <c r="ES201" s="42"/>
      <c r="ET201" s="42"/>
      <c r="EU201" s="42"/>
      <c r="EV201" s="42"/>
      <c r="EW201" s="42"/>
      <c r="EX201" s="42"/>
      <c r="EY201" s="42"/>
      <c r="EZ201" s="42"/>
      <c r="FA201" s="42"/>
      <c r="FB201" s="42"/>
      <c r="FC201" s="42"/>
      <c r="FD201" s="42"/>
      <c r="FE201" s="42"/>
      <c r="FF201" s="42"/>
      <c r="FG201" s="42"/>
      <c r="FH201" s="42"/>
      <c r="FI201" s="42"/>
      <c r="FJ201" s="42"/>
      <c r="FK201" s="42"/>
      <c r="FL201" s="42"/>
      <c r="FM201" s="42"/>
      <c r="FN201" s="42"/>
      <c r="FO201" s="42"/>
      <c r="FP201" s="42"/>
      <c r="FQ201" s="42"/>
      <c r="FR201" s="42"/>
      <c r="FS201" s="42"/>
      <c r="FT201" s="42"/>
      <c r="FU201" s="42"/>
      <c r="FV201" s="42"/>
      <c r="FW201" s="42"/>
      <c r="FX201" s="42"/>
      <c r="FY201" s="42"/>
      <c r="FZ201" s="42"/>
      <c r="GA201" s="42"/>
      <c r="GB201" s="42"/>
      <c r="GC201" s="42"/>
      <c r="GD201" s="42"/>
      <c r="GE201" s="42"/>
      <c r="GF201" s="42"/>
      <c r="GG201" s="42"/>
      <c r="GH201" s="42"/>
      <c r="GI201" s="42"/>
      <c r="GJ201" s="42"/>
      <c r="GK201" s="42"/>
      <c r="GL201" s="42"/>
      <c r="GM201" s="42"/>
      <c r="GN201" s="42"/>
      <c r="GO201" s="42"/>
      <c r="GP201" s="42"/>
      <c r="GQ201" s="42"/>
      <c r="GR201" s="42"/>
      <c r="GS201" s="42"/>
      <c r="GT201" s="42"/>
      <c r="GU201" s="42"/>
      <c r="GV201" s="42"/>
      <c r="GW201" s="42"/>
      <c r="GX201" s="42"/>
      <c r="GY201" s="42"/>
      <c r="GZ201" s="42"/>
      <c r="HA201" s="42"/>
      <c r="HB201" s="42"/>
      <c r="HC201" s="42"/>
      <c r="HD201" s="42"/>
      <c r="HE201" s="42"/>
      <c r="HF201" s="42"/>
      <c r="HG201" s="42"/>
      <c r="HH201" s="42"/>
      <c r="HI201" s="42"/>
      <c r="HJ201" s="42"/>
      <c r="HK201" s="42"/>
      <c r="HL201" s="42"/>
      <c r="HM201" s="42"/>
      <c r="HN201" s="42"/>
      <c r="HO201" s="42"/>
    </row>
    <row r="202" s="4" customFormat="1" ht="20.1" customHeight="1" spans="2:223">
      <c r="B202" s="36">
        <v>15211005</v>
      </c>
      <c r="C202" s="37" t="s">
        <v>249</v>
      </c>
      <c r="D202" s="37">
        <v>1140003</v>
      </c>
      <c r="E202" s="37">
        <v>0</v>
      </c>
      <c r="F202" s="37">
        <v>1</v>
      </c>
      <c r="G202" s="37">
        <v>30</v>
      </c>
      <c r="H202" s="38">
        <v>0.2</v>
      </c>
      <c r="I202" s="26">
        <v>10</v>
      </c>
      <c r="J202" s="15">
        <v>0</v>
      </c>
      <c r="K202" s="37">
        <v>2920</v>
      </c>
      <c r="L202" s="37">
        <f t="shared" si="36"/>
        <v>0</v>
      </c>
      <c r="M202" s="37">
        <v>0</v>
      </c>
      <c r="N202" s="37">
        <v>0</v>
      </c>
      <c r="O202" s="37">
        <v>0</v>
      </c>
      <c r="P202" s="37">
        <f t="shared" si="37"/>
        <v>28</v>
      </c>
      <c r="Q202" s="37">
        <v>56</v>
      </c>
      <c r="R202" s="37">
        <f t="shared" si="38"/>
        <v>28</v>
      </c>
      <c r="S202" s="37">
        <v>56</v>
      </c>
      <c r="T202" s="38">
        <v>0</v>
      </c>
      <c r="U202" s="37">
        <v>0</v>
      </c>
      <c r="V202" s="37">
        <v>0</v>
      </c>
      <c r="W202" s="37">
        <v>0</v>
      </c>
      <c r="X202" s="38">
        <v>0</v>
      </c>
      <c r="Y202" s="38">
        <v>0</v>
      </c>
      <c r="Z202" s="38">
        <v>0</v>
      </c>
      <c r="AA202" s="38">
        <v>0</v>
      </c>
      <c r="AB202" s="38">
        <v>0</v>
      </c>
      <c r="AC202" s="38">
        <v>0</v>
      </c>
      <c r="AD202" s="47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  <c r="CJ202" s="42"/>
      <c r="CK202" s="42"/>
      <c r="CL202" s="42"/>
      <c r="CM202" s="42"/>
      <c r="CN202" s="42"/>
      <c r="CO202" s="42"/>
      <c r="CP202" s="42"/>
      <c r="CQ202" s="42"/>
      <c r="CR202" s="42"/>
      <c r="CS202" s="42"/>
      <c r="CT202" s="42"/>
      <c r="CU202" s="42"/>
      <c r="CV202" s="42"/>
      <c r="CW202" s="42"/>
      <c r="CX202" s="42"/>
      <c r="CY202" s="42"/>
      <c r="CZ202" s="42"/>
      <c r="DA202" s="42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  <c r="DL202" s="42"/>
      <c r="DM202" s="42"/>
      <c r="DN202" s="42"/>
      <c r="DO202" s="42"/>
      <c r="DP202" s="42"/>
      <c r="DQ202" s="42"/>
      <c r="DR202" s="42"/>
      <c r="DS202" s="42"/>
      <c r="DT202" s="42"/>
      <c r="DU202" s="42"/>
      <c r="DV202" s="42"/>
      <c r="DW202" s="42"/>
      <c r="DX202" s="42"/>
      <c r="DY202" s="42"/>
      <c r="DZ202" s="42"/>
      <c r="EA202" s="42"/>
      <c r="EB202" s="42"/>
      <c r="EC202" s="42"/>
      <c r="ED202" s="42"/>
      <c r="EE202" s="42"/>
      <c r="EF202" s="42"/>
      <c r="EG202" s="42"/>
      <c r="EH202" s="42"/>
      <c r="EI202" s="42"/>
      <c r="EJ202" s="42"/>
      <c r="EK202" s="42"/>
      <c r="EL202" s="42"/>
      <c r="EM202" s="42"/>
      <c r="EN202" s="42"/>
      <c r="EO202" s="42"/>
      <c r="EP202" s="42"/>
      <c r="EQ202" s="42"/>
      <c r="ER202" s="42"/>
      <c r="ES202" s="42"/>
      <c r="ET202" s="42"/>
      <c r="EU202" s="42"/>
      <c r="EV202" s="42"/>
      <c r="EW202" s="42"/>
      <c r="EX202" s="42"/>
      <c r="EY202" s="42"/>
      <c r="EZ202" s="42"/>
      <c r="FA202" s="42"/>
      <c r="FB202" s="42"/>
      <c r="FC202" s="42"/>
      <c r="FD202" s="42"/>
      <c r="FE202" s="42"/>
      <c r="FF202" s="42"/>
      <c r="FG202" s="42"/>
      <c r="FH202" s="42"/>
      <c r="FI202" s="42"/>
      <c r="FJ202" s="42"/>
      <c r="FK202" s="42"/>
      <c r="FL202" s="42"/>
      <c r="FM202" s="42"/>
      <c r="FN202" s="42"/>
      <c r="FO202" s="42"/>
      <c r="FP202" s="42"/>
      <c r="FQ202" s="42"/>
      <c r="FR202" s="42"/>
      <c r="FS202" s="42"/>
      <c r="FT202" s="42"/>
      <c r="FU202" s="42"/>
      <c r="FV202" s="42"/>
      <c r="FW202" s="42"/>
      <c r="FX202" s="42"/>
      <c r="FY202" s="42"/>
      <c r="FZ202" s="42"/>
      <c r="GA202" s="42"/>
      <c r="GB202" s="42"/>
      <c r="GC202" s="42"/>
      <c r="GD202" s="42"/>
      <c r="GE202" s="42"/>
      <c r="GF202" s="42"/>
      <c r="GG202" s="42"/>
      <c r="GH202" s="42"/>
      <c r="GI202" s="42"/>
      <c r="GJ202" s="42"/>
      <c r="GK202" s="42"/>
      <c r="GL202" s="42"/>
      <c r="GM202" s="42"/>
      <c r="GN202" s="42"/>
      <c r="GO202" s="42"/>
      <c r="GP202" s="42"/>
      <c r="GQ202" s="42"/>
      <c r="GR202" s="42"/>
      <c r="GS202" s="42"/>
      <c r="GT202" s="42"/>
      <c r="GU202" s="42"/>
      <c r="GV202" s="42"/>
      <c r="GW202" s="42"/>
      <c r="GX202" s="42"/>
      <c r="GY202" s="42"/>
      <c r="GZ202" s="42"/>
      <c r="HA202" s="42"/>
      <c r="HB202" s="42"/>
      <c r="HC202" s="42"/>
      <c r="HD202" s="42"/>
      <c r="HE202" s="42"/>
      <c r="HF202" s="42"/>
      <c r="HG202" s="42"/>
      <c r="HH202" s="42"/>
      <c r="HI202" s="42"/>
      <c r="HJ202" s="42"/>
      <c r="HK202" s="42"/>
      <c r="HL202" s="42"/>
      <c r="HM202" s="42"/>
      <c r="HN202" s="42"/>
      <c r="HO202" s="42"/>
    </row>
    <row r="203" s="4" customFormat="1" ht="20.1" customHeight="1" spans="2:223">
      <c r="B203" s="36">
        <v>15211006</v>
      </c>
      <c r="C203" s="37" t="s">
        <v>250</v>
      </c>
      <c r="D203" s="37">
        <v>1140003</v>
      </c>
      <c r="E203" s="37">
        <v>12031</v>
      </c>
      <c r="F203" s="37">
        <v>1</v>
      </c>
      <c r="G203" s="37">
        <v>30</v>
      </c>
      <c r="H203" s="38">
        <v>0.2</v>
      </c>
      <c r="I203" s="26">
        <v>10</v>
      </c>
      <c r="J203" s="15">
        <v>0</v>
      </c>
      <c r="K203" s="37">
        <v>3510</v>
      </c>
      <c r="L203" s="37">
        <f t="shared" si="36"/>
        <v>0</v>
      </c>
      <c r="M203" s="37">
        <v>0</v>
      </c>
      <c r="N203" s="37">
        <v>0</v>
      </c>
      <c r="O203" s="37">
        <v>0</v>
      </c>
      <c r="P203" s="37">
        <f t="shared" si="37"/>
        <v>35</v>
      </c>
      <c r="Q203" s="37">
        <v>70</v>
      </c>
      <c r="R203" s="37">
        <f t="shared" si="38"/>
        <v>35</v>
      </c>
      <c r="S203" s="37">
        <v>70</v>
      </c>
      <c r="T203" s="38">
        <v>0</v>
      </c>
      <c r="U203" s="37">
        <v>0</v>
      </c>
      <c r="V203" s="37">
        <v>0</v>
      </c>
      <c r="W203" s="37">
        <v>0</v>
      </c>
      <c r="X203" s="38">
        <v>0</v>
      </c>
      <c r="Y203" s="38">
        <v>0</v>
      </c>
      <c r="Z203" s="38">
        <v>0</v>
      </c>
      <c r="AA203" s="38">
        <v>0</v>
      </c>
      <c r="AB203" s="38">
        <v>0</v>
      </c>
      <c r="AC203" s="38">
        <v>0</v>
      </c>
      <c r="AD203" s="47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  <c r="CH203" s="42"/>
      <c r="CI203" s="42"/>
      <c r="CJ203" s="42"/>
      <c r="CK203" s="42"/>
      <c r="CL203" s="42"/>
      <c r="CM203" s="42"/>
      <c r="CN203" s="42"/>
      <c r="CO203" s="42"/>
      <c r="CP203" s="42"/>
      <c r="CQ203" s="42"/>
      <c r="CR203" s="42"/>
      <c r="CS203" s="42"/>
      <c r="CT203" s="42"/>
      <c r="CU203" s="42"/>
      <c r="CV203" s="42"/>
      <c r="CW203" s="42"/>
      <c r="CX203" s="42"/>
      <c r="CY203" s="42"/>
      <c r="CZ203" s="42"/>
      <c r="DA203" s="42"/>
      <c r="DB203" s="42"/>
      <c r="DC203" s="42"/>
      <c r="DD203" s="42"/>
      <c r="DE203" s="42"/>
      <c r="DF203" s="42"/>
      <c r="DG203" s="42"/>
      <c r="DH203" s="42"/>
      <c r="DI203" s="42"/>
      <c r="DJ203" s="42"/>
      <c r="DK203" s="42"/>
      <c r="DL203" s="42"/>
      <c r="DM203" s="42"/>
      <c r="DN203" s="42"/>
      <c r="DO203" s="42"/>
      <c r="DP203" s="42"/>
      <c r="DQ203" s="42"/>
      <c r="DR203" s="42"/>
      <c r="DS203" s="42"/>
      <c r="DT203" s="42"/>
      <c r="DU203" s="42"/>
      <c r="DV203" s="42"/>
      <c r="DW203" s="42"/>
      <c r="DX203" s="42"/>
      <c r="DY203" s="42"/>
      <c r="DZ203" s="42"/>
      <c r="EA203" s="42"/>
      <c r="EB203" s="42"/>
      <c r="EC203" s="42"/>
      <c r="ED203" s="42"/>
      <c r="EE203" s="42"/>
      <c r="EF203" s="42"/>
      <c r="EG203" s="42"/>
      <c r="EH203" s="42"/>
      <c r="EI203" s="42"/>
      <c r="EJ203" s="42"/>
      <c r="EK203" s="42"/>
      <c r="EL203" s="42"/>
      <c r="EM203" s="42"/>
      <c r="EN203" s="42"/>
      <c r="EO203" s="42"/>
      <c r="EP203" s="42"/>
      <c r="EQ203" s="42"/>
      <c r="ER203" s="42"/>
      <c r="ES203" s="42"/>
      <c r="ET203" s="42"/>
      <c r="EU203" s="42"/>
      <c r="EV203" s="42"/>
      <c r="EW203" s="42"/>
      <c r="EX203" s="42"/>
      <c r="EY203" s="42"/>
      <c r="EZ203" s="42"/>
      <c r="FA203" s="42"/>
      <c r="FB203" s="42"/>
      <c r="FC203" s="42"/>
      <c r="FD203" s="42"/>
      <c r="FE203" s="42"/>
      <c r="FF203" s="42"/>
      <c r="FG203" s="42"/>
      <c r="FH203" s="42"/>
      <c r="FI203" s="42"/>
      <c r="FJ203" s="42"/>
      <c r="FK203" s="42"/>
      <c r="FL203" s="42"/>
      <c r="FM203" s="42"/>
      <c r="FN203" s="42"/>
      <c r="FO203" s="42"/>
      <c r="FP203" s="42"/>
      <c r="FQ203" s="42"/>
      <c r="FR203" s="42"/>
      <c r="FS203" s="42"/>
      <c r="FT203" s="42"/>
      <c r="FU203" s="42"/>
      <c r="FV203" s="42"/>
      <c r="FW203" s="42"/>
      <c r="FX203" s="42"/>
      <c r="FY203" s="42"/>
      <c r="FZ203" s="42"/>
      <c r="GA203" s="42"/>
      <c r="GB203" s="42"/>
      <c r="GC203" s="42"/>
      <c r="GD203" s="42"/>
      <c r="GE203" s="42"/>
      <c r="GF203" s="42"/>
      <c r="GG203" s="42"/>
      <c r="GH203" s="42"/>
      <c r="GI203" s="42"/>
      <c r="GJ203" s="42"/>
      <c r="GK203" s="42"/>
      <c r="GL203" s="42"/>
      <c r="GM203" s="42"/>
      <c r="GN203" s="42"/>
      <c r="GO203" s="42"/>
      <c r="GP203" s="42"/>
      <c r="GQ203" s="42"/>
      <c r="GR203" s="42"/>
      <c r="GS203" s="42"/>
      <c r="GT203" s="42"/>
      <c r="GU203" s="42"/>
      <c r="GV203" s="42"/>
      <c r="GW203" s="42"/>
      <c r="GX203" s="42"/>
      <c r="GY203" s="42"/>
      <c r="GZ203" s="42"/>
      <c r="HA203" s="42"/>
      <c r="HB203" s="42"/>
      <c r="HC203" s="42"/>
      <c r="HD203" s="42"/>
      <c r="HE203" s="42"/>
      <c r="HF203" s="42"/>
      <c r="HG203" s="42"/>
      <c r="HH203" s="42"/>
      <c r="HI203" s="42"/>
      <c r="HJ203" s="42"/>
      <c r="HK203" s="42"/>
      <c r="HL203" s="42"/>
      <c r="HM203" s="42"/>
      <c r="HN203" s="42"/>
      <c r="HO203" s="42"/>
    </row>
    <row r="204" ht="20.1" customHeight="1" spans="2:223">
      <c r="B204" s="11">
        <v>15211011</v>
      </c>
      <c r="C204" s="39" t="s">
        <v>251</v>
      </c>
      <c r="D204" s="15">
        <v>1140003</v>
      </c>
      <c r="E204" s="15">
        <v>12011</v>
      </c>
      <c r="F204" s="15">
        <v>1</v>
      </c>
      <c r="G204" s="15">
        <v>30</v>
      </c>
      <c r="H204" s="16">
        <v>0.2</v>
      </c>
      <c r="I204" s="26">
        <v>10</v>
      </c>
      <c r="J204" s="15">
        <v>0</v>
      </c>
      <c r="K204" s="15">
        <v>2690</v>
      </c>
      <c r="L204" s="15">
        <f t="shared" si="36"/>
        <v>0</v>
      </c>
      <c r="M204" s="15">
        <v>0</v>
      </c>
      <c r="N204" s="15">
        <v>0</v>
      </c>
      <c r="O204" s="15">
        <v>0</v>
      </c>
      <c r="P204" s="15">
        <v>36</v>
      </c>
      <c r="Q204" s="15">
        <v>73</v>
      </c>
      <c r="R204" s="15">
        <v>36</v>
      </c>
      <c r="S204" s="15">
        <v>73</v>
      </c>
      <c r="T204" s="16">
        <v>0</v>
      </c>
      <c r="U204" s="15">
        <v>0</v>
      </c>
      <c r="V204" s="15">
        <v>0</v>
      </c>
      <c r="W204" s="15">
        <v>0</v>
      </c>
      <c r="X204" s="16">
        <v>0</v>
      </c>
      <c r="Y204" s="16">
        <v>0</v>
      </c>
      <c r="Z204" s="16">
        <v>0</v>
      </c>
      <c r="AA204" s="16">
        <v>203603</v>
      </c>
      <c r="AB204" s="16">
        <v>500</v>
      </c>
      <c r="AC204" s="16">
        <v>1</v>
      </c>
      <c r="AD204" s="46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</row>
    <row r="205" ht="20.1" customHeight="1" spans="2:223">
      <c r="B205" s="11">
        <v>15211012</v>
      </c>
      <c r="C205" s="39" t="s">
        <v>252</v>
      </c>
      <c r="D205" s="15">
        <v>1140003</v>
      </c>
      <c r="E205" s="15">
        <v>12021</v>
      </c>
      <c r="F205" s="15">
        <v>1</v>
      </c>
      <c r="G205" s="15">
        <v>30</v>
      </c>
      <c r="H205" s="16">
        <v>0.2</v>
      </c>
      <c r="I205" s="26">
        <v>10</v>
      </c>
      <c r="J205" s="15">
        <v>0</v>
      </c>
      <c r="K205" s="15">
        <v>1360</v>
      </c>
      <c r="L205" s="15">
        <f t="shared" si="36"/>
        <v>0</v>
      </c>
      <c r="M205" s="15">
        <v>0</v>
      </c>
      <c r="N205" s="15">
        <v>0</v>
      </c>
      <c r="O205" s="15">
        <v>0</v>
      </c>
      <c r="P205" s="15">
        <v>27</v>
      </c>
      <c r="Q205" s="15">
        <v>55</v>
      </c>
      <c r="R205" s="15">
        <v>27</v>
      </c>
      <c r="S205" s="15">
        <v>55</v>
      </c>
      <c r="T205" s="16">
        <v>0</v>
      </c>
      <c r="U205" s="15">
        <v>0</v>
      </c>
      <c r="V205" s="15">
        <v>0</v>
      </c>
      <c r="W205" s="15">
        <v>0</v>
      </c>
      <c r="X205" s="16">
        <v>0</v>
      </c>
      <c r="Y205" s="16">
        <v>0</v>
      </c>
      <c r="Z205" s="16">
        <v>0</v>
      </c>
      <c r="AA205" s="16">
        <v>202703</v>
      </c>
      <c r="AB205" s="16">
        <v>1000</v>
      </c>
      <c r="AC205" s="16">
        <v>1</v>
      </c>
      <c r="AD205" s="46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</row>
    <row r="206" ht="20.1" customHeight="1" spans="2:223">
      <c r="B206" s="11">
        <v>15211013</v>
      </c>
      <c r="C206" s="39" t="s">
        <v>253</v>
      </c>
      <c r="D206" s="15">
        <v>1140003</v>
      </c>
      <c r="E206" s="15">
        <v>12031</v>
      </c>
      <c r="F206" s="15">
        <v>1</v>
      </c>
      <c r="G206" s="15">
        <v>30</v>
      </c>
      <c r="H206" s="16">
        <v>0.2</v>
      </c>
      <c r="I206" s="26">
        <v>10</v>
      </c>
      <c r="J206" s="15">
        <v>0</v>
      </c>
      <c r="K206" s="15">
        <v>4030</v>
      </c>
      <c r="L206" s="15">
        <f t="shared" si="36"/>
        <v>0</v>
      </c>
      <c r="M206" s="15">
        <v>0</v>
      </c>
      <c r="N206" s="15">
        <v>0</v>
      </c>
      <c r="O206" s="15">
        <v>0</v>
      </c>
      <c r="P206" s="15">
        <v>46</v>
      </c>
      <c r="Q206" s="15">
        <v>91</v>
      </c>
      <c r="R206" s="15">
        <v>46</v>
      </c>
      <c r="S206" s="15">
        <v>91</v>
      </c>
      <c r="T206" s="16">
        <v>0</v>
      </c>
      <c r="U206" s="15">
        <v>0</v>
      </c>
      <c r="V206" s="15">
        <v>0</v>
      </c>
      <c r="W206" s="15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46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</row>
    <row r="207" ht="20.1" customHeight="1" spans="2:223">
      <c r="B207" s="11">
        <v>15301001</v>
      </c>
      <c r="C207" s="15" t="s">
        <v>254</v>
      </c>
      <c r="D207" s="15">
        <v>1140003</v>
      </c>
      <c r="E207" s="15">
        <v>0</v>
      </c>
      <c r="F207" s="15">
        <v>1</v>
      </c>
      <c r="G207" s="15">
        <v>40</v>
      </c>
      <c r="H207" s="16">
        <v>0.2</v>
      </c>
      <c r="I207" s="26">
        <v>15</v>
      </c>
      <c r="J207" s="15">
        <v>0</v>
      </c>
      <c r="K207" s="15">
        <v>0</v>
      </c>
      <c r="L207" s="15">
        <f t="shared" si="36"/>
        <v>23</v>
      </c>
      <c r="M207" s="15">
        <v>45</v>
      </c>
      <c r="N207" s="15">
        <v>0</v>
      </c>
      <c r="O207" s="15">
        <v>0</v>
      </c>
      <c r="P207" s="15">
        <f t="shared" si="37"/>
        <v>14</v>
      </c>
      <c r="Q207" s="15">
        <v>28</v>
      </c>
      <c r="R207" s="15">
        <f t="shared" si="38"/>
        <v>14</v>
      </c>
      <c r="S207" s="15">
        <v>28</v>
      </c>
      <c r="T207" s="16">
        <v>0</v>
      </c>
      <c r="U207" s="15">
        <v>0</v>
      </c>
      <c r="V207" s="15">
        <v>0</v>
      </c>
      <c r="W207" s="15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46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</row>
    <row r="208" ht="20.1" customHeight="1" spans="2:223">
      <c r="B208" s="11">
        <v>15301002</v>
      </c>
      <c r="C208" s="44" t="s">
        <v>255</v>
      </c>
      <c r="D208" s="15">
        <v>1140003</v>
      </c>
      <c r="E208" s="15">
        <v>13011</v>
      </c>
      <c r="F208" s="15">
        <v>1</v>
      </c>
      <c r="G208" s="15">
        <v>40</v>
      </c>
      <c r="H208" s="16">
        <v>0.2</v>
      </c>
      <c r="I208" s="26">
        <v>15</v>
      </c>
      <c r="J208" s="15">
        <v>0</v>
      </c>
      <c r="K208" s="15">
        <v>0</v>
      </c>
      <c r="L208" s="15">
        <f t="shared" si="36"/>
        <v>28</v>
      </c>
      <c r="M208" s="15">
        <v>55</v>
      </c>
      <c r="N208" s="15">
        <v>0</v>
      </c>
      <c r="O208" s="15">
        <v>0</v>
      </c>
      <c r="P208" s="15">
        <f t="shared" si="37"/>
        <v>17</v>
      </c>
      <c r="Q208" s="15">
        <v>33</v>
      </c>
      <c r="R208" s="15">
        <f t="shared" si="38"/>
        <v>17</v>
      </c>
      <c r="S208" s="15">
        <v>33</v>
      </c>
      <c r="T208" s="16">
        <v>0</v>
      </c>
      <c r="U208" s="15">
        <v>0</v>
      </c>
      <c r="V208" s="15">
        <v>0</v>
      </c>
      <c r="W208" s="15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46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</row>
    <row r="209" ht="20.1" customHeight="1" spans="2:223">
      <c r="B209" s="11">
        <v>15301003</v>
      </c>
      <c r="C209" s="15" t="s">
        <v>256</v>
      </c>
      <c r="D209" s="15">
        <v>1140003</v>
      </c>
      <c r="E209" s="15">
        <v>0</v>
      </c>
      <c r="F209" s="15">
        <v>1</v>
      </c>
      <c r="G209" s="15">
        <v>40</v>
      </c>
      <c r="H209" s="16">
        <v>0.2</v>
      </c>
      <c r="I209" s="26">
        <v>15</v>
      </c>
      <c r="J209" s="15">
        <v>0</v>
      </c>
      <c r="K209" s="15">
        <v>0</v>
      </c>
      <c r="L209" s="15">
        <f t="shared" si="36"/>
        <v>31</v>
      </c>
      <c r="M209" s="15">
        <v>61</v>
      </c>
      <c r="N209" s="15">
        <v>0</v>
      </c>
      <c r="O209" s="15">
        <v>0</v>
      </c>
      <c r="P209" s="15">
        <f t="shared" si="37"/>
        <v>11</v>
      </c>
      <c r="Q209" s="15">
        <v>21</v>
      </c>
      <c r="R209" s="15">
        <f t="shared" si="38"/>
        <v>11</v>
      </c>
      <c r="S209" s="15">
        <v>21</v>
      </c>
      <c r="T209" s="16">
        <v>0</v>
      </c>
      <c r="U209" s="15">
        <v>0</v>
      </c>
      <c r="V209" s="15">
        <v>0</v>
      </c>
      <c r="W209" s="15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46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</row>
    <row r="210" ht="20.1" customHeight="1" spans="2:223">
      <c r="B210" s="11">
        <v>15301004</v>
      </c>
      <c r="C210" s="44" t="s">
        <v>257</v>
      </c>
      <c r="D210" s="15">
        <v>1140003</v>
      </c>
      <c r="E210" s="15">
        <v>13021</v>
      </c>
      <c r="F210" s="15">
        <v>1</v>
      </c>
      <c r="G210" s="15">
        <v>40</v>
      </c>
      <c r="H210" s="16">
        <v>0.2</v>
      </c>
      <c r="I210" s="26">
        <v>15</v>
      </c>
      <c r="J210" s="15">
        <v>0</v>
      </c>
      <c r="K210" s="15">
        <v>0</v>
      </c>
      <c r="L210" s="15">
        <f t="shared" si="36"/>
        <v>37</v>
      </c>
      <c r="M210" s="15">
        <v>74</v>
      </c>
      <c r="N210" s="15">
        <v>0</v>
      </c>
      <c r="O210" s="15">
        <v>0</v>
      </c>
      <c r="P210" s="15">
        <f t="shared" si="37"/>
        <v>13</v>
      </c>
      <c r="Q210" s="15">
        <v>25</v>
      </c>
      <c r="R210" s="15">
        <f t="shared" si="38"/>
        <v>13</v>
      </c>
      <c r="S210" s="15">
        <v>25</v>
      </c>
      <c r="T210" s="16">
        <v>0</v>
      </c>
      <c r="U210" s="15">
        <v>0</v>
      </c>
      <c r="V210" s="15">
        <v>0</v>
      </c>
      <c r="W210" s="15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46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</row>
    <row r="211" ht="20.1" customHeight="1" spans="2:223">
      <c r="B211" s="11">
        <v>15301005</v>
      </c>
      <c r="C211" s="15" t="s">
        <v>258</v>
      </c>
      <c r="D211" s="15">
        <v>1140003</v>
      </c>
      <c r="E211" s="15">
        <v>0</v>
      </c>
      <c r="F211" s="15">
        <v>1</v>
      </c>
      <c r="G211" s="15">
        <v>40</v>
      </c>
      <c r="H211" s="16">
        <v>0.2</v>
      </c>
      <c r="I211" s="26">
        <v>15</v>
      </c>
      <c r="J211" s="15">
        <v>0</v>
      </c>
      <c r="K211" s="15">
        <v>0</v>
      </c>
      <c r="L211" s="15">
        <f t="shared" si="36"/>
        <v>17</v>
      </c>
      <c r="M211" s="15">
        <v>34</v>
      </c>
      <c r="N211" s="15">
        <v>0</v>
      </c>
      <c r="O211" s="15">
        <v>0</v>
      </c>
      <c r="P211" s="15">
        <f t="shared" si="37"/>
        <v>18</v>
      </c>
      <c r="Q211" s="15">
        <v>35</v>
      </c>
      <c r="R211" s="15">
        <f t="shared" si="38"/>
        <v>18</v>
      </c>
      <c r="S211" s="15">
        <v>35</v>
      </c>
      <c r="T211" s="16">
        <v>0</v>
      </c>
      <c r="U211" s="15">
        <v>0</v>
      </c>
      <c r="V211" s="15">
        <v>0</v>
      </c>
      <c r="W211" s="15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46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</row>
    <row r="212" ht="20.1" customHeight="1" spans="2:223">
      <c r="B212" s="11">
        <v>15301006</v>
      </c>
      <c r="C212" s="44" t="s">
        <v>259</v>
      </c>
      <c r="D212" s="15">
        <v>1140003</v>
      </c>
      <c r="E212" s="15">
        <v>13031</v>
      </c>
      <c r="F212" s="15">
        <v>1</v>
      </c>
      <c r="G212" s="15">
        <v>40</v>
      </c>
      <c r="H212" s="16">
        <v>0.2</v>
      </c>
      <c r="I212" s="26">
        <v>15</v>
      </c>
      <c r="J212" s="15">
        <v>0</v>
      </c>
      <c r="K212" s="15">
        <v>0</v>
      </c>
      <c r="L212" s="15">
        <f t="shared" si="36"/>
        <v>21</v>
      </c>
      <c r="M212" s="15">
        <v>41</v>
      </c>
      <c r="N212" s="15">
        <v>0</v>
      </c>
      <c r="O212" s="15">
        <v>0</v>
      </c>
      <c r="P212" s="15">
        <f t="shared" si="37"/>
        <v>21</v>
      </c>
      <c r="Q212" s="15">
        <v>41</v>
      </c>
      <c r="R212" s="15">
        <f t="shared" si="38"/>
        <v>21</v>
      </c>
      <c r="S212" s="15">
        <v>41</v>
      </c>
      <c r="T212" s="16">
        <v>0</v>
      </c>
      <c r="U212" s="15">
        <v>0</v>
      </c>
      <c r="V212" s="15">
        <v>0</v>
      </c>
      <c r="W212" s="15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46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</row>
    <row r="213" ht="20.1" customHeight="1" spans="2:223">
      <c r="B213" s="11">
        <v>15302001</v>
      </c>
      <c r="C213" s="15" t="s">
        <v>260</v>
      </c>
      <c r="D213" s="15">
        <v>1140003</v>
      </c>
      <c r="E213" s="15">
        <v>0</v>
      </c>
      <c r="F213" s="15">
        <v>1</v>
      </c>
      <c r="G213" s="15">
        <v>40</v>
      </c>
      <c r="H213" s="16">
        <v>0.2</v>
      </c>
      <c r="I213" s="26">
        <v>15</v>
      </c>
      <c r="J213" s="15">
        <v>0</v>
      </c>
      <c r="K213" s="15">
        <v>0</v>
      </c>
      <c r="L213" s="15">
        <f t="shared" si="36"/>
        <v>28</v>
      </c>
      <c r="M213" s="15">
        <v>55</v>
      </c>
      <c r="N213" s="15">
        <v>0</v>
      </c>
      <c r="O213" s="15">
        <v>0</v>
      </c>
      <c r="P213" s="15">
        <f t="shared" si="37"/>
        <v>0</v>
      </c>
      <c r="Q213" s="15">
        <v>0</v>
      </c>
      <c r="R213" s="15">
        <f t="shared" si="38"/>
        <v>39</v>
      </c>
      <c r="S213" s="15">
        <v>78</v>
      </c>
      <c r="T213" s="16">
        <v>0</v>
      </c>
      <c r="U213" s="15">
        <v>0</v>
      </c>
      <c r="V213" s="15">
        <v>0</v>
      </c>
      <c r="W213" s="15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46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</row>
    <row r="214" ht="20.1" customHeight="1" spans="2:223">
      <c r="B214" s="11">
        <v>15302002</v>
      </c>
      <c r="C214" s="15" t="s">
        <v>261</v>
      </c>
      <c r="D214" s="15">
        <v>1140003</v>
      </c>
      <c r="E214" s="15">
        <v>13011</v>
      </c>
      <c r="F214" s="15">
        <v>1</v>
      </c>
      <c r="G214" s="15">
        <v>40</v>
      </c>
      <c r="H214" s="16">
        <v>0.2</v>
      </c>
      <c r="I214" s="26">
        <v>15</v>
      </c>
      <c r="J214" s="15">
        <v>0</v>
      </c>
      <c r="K214" s="15">
        <v>0</v>
      </c>
      <c r="L214" s="15">
        <f t="shared" si="36"/>
        <v>36</v>
      </c>
      <c r="M214" s="15">
        <v>72</v>
      </c>
      <c r="N214" s="15">
        <v>0</v>
      </c>
      <c r="O214" s="15">
        <v>0</v>
      </c>
      <c r="P214" s="15">
        <f t="shared" si="37"/>
        <v>0</v>
      </c>
      <c r="Q214" s="15">
        <v>0</v>
      </c>
      <c r="R214" s="15">
        <f t="shared" si="38"/>
        <v>50</v>
      </c>
      <c r="S214" s="15">
        <v>99</v>
      </c>
      <c r="T214" s="16">
        <v>0</v>
      </c>
      <c r="U214" s="15">
        <v>0</v>
      </c>
      <c r="V214" s="15">
        <v>0</v>
      </c>
      <c r="W214" s="15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46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</row>
    <row r="215" ht="20.1" customHeight="1" spans="2:223">
      <c r="B215" s="11">
        <v>15302003</v>
      </c>
      <c r="C215" s="15" t="s">
        <v>262</v>
      </c>
      <c r="D215" s="15">
        <v>1140003</v>
      </c>
      <c r="E215" s="15">
        <v>0</v>
      </c>
      <c r="F215" s="15">
        <v>1</v>
      </c>
      <c r="G215" s="15">
        <v>40</v>
      </c>
      <c r="H215" s="16">
        <v>0.2</v>
      </c>
      <c r="I215" s="26">
        <v>15</v>
      </c>
      <c r="J215" s="15">
        <v>0</v>
      </c>
      <c r="K215" s="15">
        <v>0</v>
      </c>
      <c r="L215" s="15">
        <f t="shared" si="36"/>
        <v>37</v>
      </c>
      <c r="M215" s="15">
        <v>74</v>
      </c>
      <c r="N215" s="15">
        <v>0</v>
      </c>
      <c r="O215" s="15">
        <v>0</v>
      </c>
      <c r="P215" s="15">
        <f t="shared" si="37"/>
        <v>0</v>
      </c>
      <c r="Q215" s="15">
        <v>0</v>
      </c>
      <c r="R215" s="15">
        <f t="shared" si="38"/>
        <v>30</v>
      </c>
      <c r="S215" s="15">
        <v>59</v>
      </c>
      <c r="T215" s="16">
        <v>0</v>
      </c>
      <c r="U215" s="15">
        <v>0</v>
      </c>
      <c r="V215" s="15">
        <v>0</v>
      </c>
      <c r="W215" s="15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46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</row>
    <row r="216" ht="20.1" customHeight="1" spans="2:223">
      <c r="B216" s="11">
        <v>15302004</v>
      </c>
      <c r="C216" s="15" t="s">
        <v>263</v>
      </c>
      <c r="D216" s="15">
        <v>1140003</v>
      </c>
      <c r="E216" s="15">
        <v>13021</v>
      </c>
      <c r="F216" s="15">
        <v>1</v>
      </c>
      <c r="G216" s="15">
        <v>40</v>
      </c>
      <c r="H216" s="16">
        <v>0.2</v>
      </c>
      <c r="I216" s="26">
        <v>15</v>
      </c>
      <c r="J216" s="15">
        <v>0</v>
      </c>
      <c r="K216" s="15">
        <v>0</v>
      </c>
      <c r="L216" s="15">
        <f t="shared" si="36"/>
        <v>49</v>
      </c>
      <c r="M216" s="15">
        <v>97</v>
      </c>
      <c r="N216" s="15">
        <v>0</v>
      </c>
      <c r="O216" s="15">
        <v>0</v>
      </c>
      <c r="P216" s="15">
        <f t="shared" si="37"/>
        <v>0</v>
      </c>
      <c r="Q216" s="15">
        <v>0</v>
      </c>
      <c r="R216" s="15">
        <f t="shared" si="38"/>
        <v>37</v>
      </c>
      <c r="S216" s="15">
        <v>74</v>
      </c>
      <c r="T216" s="16">
        <v>0</v>
      </c>
      <c r="U216" s="15">
        <v>0</v>
      </c>
      <c r="V216" s="15">
        <v>0</v>
      </c>
      <c r="W216" s="15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46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</row>
    <row r="217" ht="20.1" customHeight="1" spans="2:223">
      <c r="B217" s="11">
        <v>15302005</v>
      </c>
      <c r="C217" s="15" t="s">
        <v>264</v>
      </c>
      <c r="D217" s="15">
        <v>1140003</v>
      </c>
      <c r="E217" s="15">
        <v>0</v>
      </c>
      <c r="F217" s="15">
        <v>1</v>
      </c>
      <c r="G217" s="15">
        <v>40</v>
      </c>
      <c r="H217" s="16">
        <v>0.2</v>
      </c>
      <c r="I217" s="26">
        <v>15</v>
      </c>
      <c r="J217" s="15">
        <v>0</v>
      </c>
      <c r="K217" s="15">
        <v>0</v>
      </c>
      <c r="L217" s="15">
        <f t="shared" si="36"/>
        <v>21</v>
      </c>
      <c r="M217" s="15">
        <v>41</v>
      </c>
      <c r="N217" s="15">
        <v>0</v>
      </c>
      <c r="O217" s="15">
        <v>0</v>
      </c>
      <c r="P217" s="15">
        <f t="shared" si="37"/>
        <v>0</v>
      </c>
      <c r="Q217" s="15">
        <v>0</v>
      </c>
      <c r="R217" s="15">
        <f t="shared" si="38"/>
        <v>49</v>
      </c>
      <c r="S217" s="15">
        <v>98</v>
      </c>
      <c r="T217" s="16">
        <v>0</v>
      </c>
      <c r="U217" s="15">
        <v>0</v>
      </c>
      <c r="V217" s="15">
        <v>0</v>
      </c>
      <c r="W217" s="15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46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</row>
    <row r="218" ht="20.1" customHeight="1" spans="2:223">
      <c r="B218" s="11">
        <v>15302006</v>
      </c>
      <c r="C218" s="15" t="s">
        <v>265</v>
      </c>
      <c r="D218" s="15">
        <v>1140003</v>
      </c>
      <c r="E218" s="15">
        <v>13031</v>
      </c>
      <c r="F218" s="15">
        <v>1</v>
      </c>
      <c r="G218" s="15">
        <v>40</v>
      </c>
      <c r="H218" s="16">
        <v>0.2</v>
      </c>
      <c r="I218" s="26">
        <v>15</v>
      </c>
      <c r="J218" s="15">
        <v>0</v>
      </c>
      <c r="K218" s="15">
        <v>0</v>
      </c>
      <c r="L218" s="15">
        <f t="shared" si="36"/>
        <v>27</v>
      </c>
      <c r="M218" s="15">
        <v>54</v>
      </c>
      <c r="N218" s="15">
        <v>0</v>
      </c>
      <c r="O218" s="15">
        <v>0</v>
      </c>
      <c r="P218" s="15">
        <f t="shared" si="37"/>
        <v>0</v>
      </c>
      <c r="Q218" s="15">
        <v>0</v>
      </c>
      <c r="R218" s="15">
        <f t="shared" si="38"/>
        <v>62</v>
      </c>
      <c r="S218" s="15">
        <v>124</v>
      </c>
      <c r="T218" s="16">
        <v>0</v>
      </c>
      <c r="U218" s="15">
        <v>0</v>
      </c>
      <c r="V218" s="15">
        <v>0</v>
      </c>
      <c r="W218" s="15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46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</row>
    <row r="219" s="3" customFormat="1" ht="20.1" customHeight="1" spans="2:223">
      <c r="B219" s="20">
        <v>15302007</v>
      </c>
      <c r="C219" s="43" t="s">
        <v>266</v>
      </c>
      <c r="D219" s="22">
        <v>1140003</v>
      </c>
      <c r="E219" s="22">
        <v>0</v>
      </c>
      <c r="F219" s="22">
        <v>1</v>
      </c>
      <c r="G219" s="22">
        <v>40</v>
      </c>
      <c r="H219" s="23">
        <v>0.2</v>
      </c>
      <c r="I219" s="26">
        <v>15</v>
      </c>
      <c r="J219" s="22">
        <v>0</v>
      </c>
      <c r="K219" s="22">
        <v>0</v>
      </c>
      <c r="L219" s="22">
        <f t="shared" ref="L219" si="51">ROUND(M219/2,0)</f>
        <v>31</v>
      </c>
      <c r="M219" s="22">
        <v>62</v>
      </c>
      <c r="N219" s="22">
        <v>0</v>
      </c>
      <c r="O219" s="22">
        <v>0</v>
      </c>
      <c r="P219" s="22">
        <f t="shared" ref="P219" si="52">ROUND(Q219/2,0)</f>
        <v>0</v>
      </c>
      <c r="Q219" s="22">
        <v>0</v>
      </c>
      <c r="R219" s="22">
        <f t="shared" ref="R219" si="53">ROUND(S219/2,0)</f>
        <v>70</v>
      </c>
      <c r="S219" s="22">
        <v>140</v>
      </c>
      <c r="T219" s="23">
        <v>0</v>
      </c>
      <c r="U219" s="22">
        <v>0</v>
      </c>
      <c r="V219" s="22">
        <v>0</v>
      </c>
      <c r="W219" s="22">
        <v>0</v>
      </c>
      <c r="X219" s="23">
        <v>0</v>
      </c>
      <c r="Y219" s="23">
        <v>0</v>
      </c>
      <c r="Z219" s="23">
        <v>0</v>
      </c>
      <c r="AA219" s="23">
        <v>205001</v>
      </c>
      <c r="AB219" s="23">
        <v>300</v>
      </c>
      <c r="AC219" s="23">
        <v>1</v>
      </c>
      <c r="AD219" s="48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</row>
    <row r="220" ht="20.1" customHeight="1" spans="2:223">
      <c r="B220" s="11">
        <v>15303001</v>
      </c>
      <c r="C220" s="15" t="s">
        <v>267</v>
      </c>
      <c r="D220" s="15">
        <v>1140003</v>
      </c>
      <c r="E220" s="15">
        <v>0</v>
      </c>
      <c r="F220" s="15">
        <v>1</v>
      </c>
      <c r="G220" s="15">
        <v>40</v>
      </c>
      <c r="H220" s="16">
        <v>0.2</v>
      </c>
      <c r="I220" s="26">
        <v>15</v>
      </c>
      <c r="J220" s="15">
        <v>0</v>
      </c>
      <c r="K220" s="15">
        <v>980</v>
      </c>
      <c r="L220" s="15">
        <f t="shared" si="36"/>
        <v>15</v>
      </c>
      <c r="M220" s="15">
        <v>30</v>
      </c>
      <c r="N220" s="15">
        <v>0</v>
      </c>
      <c r="O220" s="15">
        <v>0</v>
      </c>
      <c r="P220" s="15">
        <f t="shared" si="37"/>
        <v>25</v>
      </c>
      <c r="Q220" s="15">
        <v>50</v>
      </c>
      <c r="R220" s="15">
        <f t="shared" si="38"/>
        <v>0</v>
      </c>
      <c r="S220" s="15">
        <v>0</v>
      </c>
      <c r="T220" s="16">
        <v>0</v>
      </c>
      <c r="U220" s="15">
        <v>0</v>
      </c>
      <c r="V220" s="15">
        <v>0</v>
      </c>
      <c r="W220" s="15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46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</row>
    <row r="221" ht="20.1" customHeight="1" spans="2:223">
      <c r="B221" s="11">
        <v>15303002</v>
      </c>
      <c r="C221" s="15" t="s">
        <v>268</v>
      </c>
      <c r="D221" s="15">
        <v>1140003</v>
      </c>
      <c r="E221" s="15">
        <v>13011</v>
      </c>
      <c r="F221" s="15">
        <v>1</v>
      </c>
      <c r="G221" s="15">
        <v>40</v>
      </c>
      <c r="H221" s="16">
        <v>0.2</v>
      </c>
      <c r="I221" s="26">
        <v>15</v>
      </c>
      <c r="J221" s="15">
        <v>0</v>
      </c>
      <c r="K221" s="15">
        <v>1155</v>
      </c>
      <c r="L221" s="15">
        <f t="shared" si="36"/>
        <v>20</v>
      </c>
      <c r="M221" s="15">
        <v>39</v>
      </c>
      <c r="N221" s="15">
        <v>0</v>
      </c>
      <c r="O221" s="15">
        <v>0</v>
      </c>
      <c r="P221" s="15">
        <f t="shared" si="37"/>
        <v>33</v>
      </c>
      <c r="Q221" s="15">
        <v>66</v>
      </c>
      <c r="R221" s="15">
        <f t="shared" si="38"/>
        <v>0</v>
      </c>
      <c r="S221" s="15">
        <v>0</v>
      </c>
      <c r="T221" s="16">
        <v>0</v>
      </c>
      <c r="U221" s="15">
        <v>0</v>
      </c>
      <c r="V221" s="15">
        <v>0</v>
      </c>
      <c r="W221" s="15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46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</row>
    <row r="222" ht="20.1" customHeight="1" spans="2:223">
      <c r="B222" s="11">
        <v>15303003</v>
      </c>
      <c r="C222" s="15" t="s">
        <v>269</v>
      </c>
      <c r="D222" s="15">
        <v>1140003</v>
      </c>
      <c r="E222" s="15">
        <v>0</v>
      </c>
      <c r="F222" s="15">
        <v>1</v>
      </c>
      <c r="G222" s="15">
        <v>40</v>
      </c>
      <c r="H222" s="16">
        <v>0.2</v>
      </c>
      <c r="I222" s="26">
        <v>15</v>
      </c>
      <c r="J222" s="15">
        <v>0</v>
      </c>
      <c r="K222" s="15">
        <v>490</v>
      </c>
      <c r="L222" s="15">
        <f t="shared" si="36"/>
        <v>21</v>
      </c>
      <c r="M222" s="15">
        <v>41</v>
      </c>
      <c r="N222" s="15">
        <v>0</v>
      </c>
      <c r="O222" s="15">
        <v>0</v>
      </c>
      <c r="P222" s="15">
        <f t="shared" si="37"/>
        <v>19</v>
      </c>
      <c r="Q222" s="15">
        <v>38</v>
      </c>
      <c r="R222" s="15">
        <f t="shared" si="38"/>
        <v>0</v>
      </c>
      <c r="S222" s="15">
        <v>0</v>
      </c>
      <c r="T222" s="16">
        <v>0</v>
      </c>
      <c r="U222" s="15">
        <v>0</v>
      </c>
      <c r="V222" s="15">
        <v>0</v>
      </c>
      <c r="W222" s="15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46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</row>
    <row r="223" ht="20.1" customHeight="1" spans="2:223">
      <c r="B223" s="11">
        <v>15303004</v>
      </c>
      <c r="C223" s="15" t="s">
        <v>270</v>
      </c>
      <c r="D223" s="15">
        <v>1140003</v>
      </c>
      <c r="E223" s="15">
        <v>13021</v>
      </c>
      <c r="F223" s="15">
        <v>1</v>
      </c>
      <c r="G223" s="15">
        <v>40</v>
      </c>
      <c r="H223" s="16">
        <v>0.2</v>
      </c>
      <c r="I223" s="26">
        <v>15</v>
      </c>
      <c r="J223" s="15">
        <v>0</v>
      </c>
      <c r="K223" s="15">
        <v>580</v>
      </c>
      <c r="L223" s="15">
        <f t="shared" si="36"/>
        <v>27</v>
      </c>
      <c r="M223" s="15">
        <v>53</v>
      </c>
      <c r="N223" s="15">
        <v>0</v>
      </c>
      <c r="O223" s="15">
        <v>0</v>
      </c>
      <c r="P223" s="15">
        <f t="shared" si="37"/>
        <v>25</v>
      </c>
      <c r="Q223" s="15">
        <v>50</v>
      </c>
      <c r="R223" s="15">
        <f t="shared" si="38"/>
        <v>0</v>
      </c>
      <c r="S223" s="15">
        <v>0</v>
      </c>
      <c r="T223" s="16">
        <v>0</v>
      </c>
      <c r="U223" s="15">
        <v>0</v>
      </c>
      <c r="V223" s="15">
        <v>0</v>
      </c>
      <c r="W223" s="15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46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</row>
    <row r="224" ht="20.1" customHeight="1" spans="2:223">
      <c r="B224" s="11">
        <v>15303005</v>
      </c>
      <c r="C224" s="15" t="s">
        <v>271</v>
      </c>
      <c r="D224" s="15">
        <v>1140003</v>
      </c>
      <c r="E224" s="15">
        <v>0</v>
      </c>
      <c r="F224" s="15">
        <v>1</v>
      </c>
      <c r="G224" s="15">
        <v>40</v>
      </c>
      <c r="H224" s="16">
        <v>0.2</v>
      </c>
      <c r="I224" s="26">
        <v>15</v>
      </c>
      <c r="J224" s="15">
        <v>0</v>
      </c>
      <c r="K224" s="15">
        <v>1470</v>
      </c>
      <c r="L224" s="15">
        <f t="shared" si="36"/>
        <v>12</v>
      </c>
      <c r="M224" s="15">
        <v>23</v>
      </c>
      <c r="N224" s="15">
        <v>0</v>
      </c>
      <c r="O224" s="15">
        <v>0</v>
      </c>
      <c r="P224" s="15">
        <f t="shared" si="37"/>
        <v>32</v>
      </c>
      <c r="Q224" s="15">
        <v>63</v>
      </c>
      <c r="R224" s="15">
        <f t="shared" si="38"/>
        <v>0</v>
      </c>
      <c r="S224" s="15">
        <v>0</v>
      </c>
      <c r="T224" s="16">
        <v>0</v>
      </c>
      <c r="U224" s="15">
        <v>0</v>
      </c>
      <c r="V224" s="15">
        <v>0</v>
      </c>
      <c r="W224" s="15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46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</row>
    <row r="225" ht="20.1" customHeight="1" spans="2:223">
      <c r="B225" s="11">
        <v>15303006</v>
      </c>
      <c r="C225" s="15" t="s">
        <v>272</v>
      </c>
      <c r="D225" s="15">
        <v>1140003</v>
      </c>
      <c r="E225" s="15">
        <v>13031</v>
      </c>
      <c r="F225" s="15">
        <v>1</v>
      </c>
      <c r="G225" s="15">
        <v>40</v>
      </c>
      <c r="H225" s="16">
        <v>0.2</v>
      </c>
      <c r="I225" s="26">
        <v>15</v>
      </c>
      <c r="J225" s="15">
        <v>0</v>
      </c>
      <c r="K225" s="15">
        <v>1730</v>
      </c>
      <c r="L225" s="15">
        <f t="shared" si="36"/>
        <v>15</v>
      </c>
      <c r="M225" s="15">
        <v>29</v>
      </c>
      <c r="N225" s="15">
        <v>0</v>
      </c>
      <c r="O225" s="15">
        <v>0</v>
      </c>
      <c r="P225" s="15">
        <f t="shared" si="37"/>
        <v>42</v>
      </c>
      <c r="Q225" s="15">
        <v>83</v>
      </c>
      <c r="R225" s="15">
        <f t="shared" si="38"/>
        <v>0</v>
      </c>
      <c r="S225" s="15">
        <v>0</v>
      </c>
      <c r="T225" s="16">
        <v>0</v>
      </c>
      <c r="U225" s="15">
        <v>0</v>
      </c>
      <c r="V225" s="15">
        <v>0</v>
      </c>
      <c r="W225" s="15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46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</row>
    <row r="226" ht="20.1" customHeight="1" spans="2:223">
      <c r="B226" s="11">
        <v>15304001</v>
      </c>
      <c r="C226" s="15" t="s">
        <v>273</v>
      </c>
      <c r="D226" s="15">
        <v>1140003</v>
      </c>
      <c r="E226" s="15">
        <v>0</v>
      </c>
      <c r="F226" s="15">
        <v>1</v>
      </c>
      <c r="G226" s="15">
        <v>40</v>
      </c>
      <c r="H226" s="16">
        <v>0.2</v>
      </c>
      <c r="I226" s="26">
        <v>15</v>
      </c>
      <c r="J226" s="15">
        <v>0</v>
      </c>
      <c r="K226" s="15">
        <v>0</v>
      </c>
      <c r="L226" s="15">
        <f t="shared" si="36"/>
        <v>25</v>
      </c>
      <c r="M226" s="15">
        <v>50</v>
      </c>
      <c r="N226" s="15">
        <v>0</v>
      </c>
      <c r="O226" s="15">
        <v>0</v>
      </c>
      <c r="P226" s="15">
        <f t="shared" si="37"/>
        <v>26</v>
      </c>
      <c r="Q226" s="15">
        <v>52</v>
      </c>
      <c r="R226" s="15">
        <f t="shared" si="38"/>
        <v>26</v>
      </c>
      <c r="S226" s="15">
        <v>52</v>
      </c>
      <c r="T226" s="16">
        <v>0</v>
      </c>
      <c r="U226" s="15">
        <v>0</v>
      </c>
      <c r="V226" s="15">
        <v>0</v>
      </c>
      <c r="W226" s="15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46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</row>
    <row r="227" ht="20.1" customHeight="1" spans="2:223">
      <c r="B227" s="11">
        <v>15304002</v>
      </c>
      <c r="C227" s="15" t="s">
        <v>274</v>
      </c>
      <c r="D227" s="15">
        <v>1140003</v>
      </c>
      <c r="E227" s="15">
        <v>13011</v>
      </c>
      <c r="F227" s="15">
        <v>1</v>
      </c>
      <c r="G227" s="15">
        <v>40</v>
      </c>
      <c r="H227" s="16">
        <v>0.2</v>
      </c>
      <c r="I227" s="26">
        <v>15</v>
      </c>
      <c r="J227" s="15">
        <v>0</v>
      </c>
      <c r="K227" s="15">
        <v>0</v>
      </c>
      <c r="L227" s="15">
        <f t="shared" si="36"/>
        <v>31</v>
      </c>
      <c r="M227" s="15">
        <v>61</v>
      </c>
      <c r="N227" s="15">
        <v>0</v>
      </c>
      <c r="O227" s="15">
        <v>0</v>
      </c>
      <c r="P227" s="15">
        <f t="shared" si="37"/>
        <v>33</v>
      </c>
      <c r="Q227" s="15">
        <v>66</v>
      </c>
      <c r="R227" s="15">
        <f t="shared" si="38"/>
        <v>33</v>
      </c>
      <c r="S227" s="15">
        <v>66</v>
      </c>
      <c r="T227" s="16">
        <v>0</v>
      </c>
      <c r="U227" s="15">
        <v>0</v>
      </c>
      <c r="V227" s="15">
        <v>0</v>
      </c>
      <c r="W227" s="15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46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</row>
    <row r="228" ht="20.1" customHeight="1" spans="2:223">
      <c r="B228" s="11">
        <v>15304003</v>
      </c>
      <c r="C228" s="15" t="s">
        <v>275</v>
      </c>
      <c r="D228" s="15">
        <v>1140003</v>
      </c>
      <c r="E228" s="15">
        <v>0</v>
      </c>
      <c r="F228" s="15">
        <v>1</v>
      </c>
      <c r="G228" s="15">
        <v>40</v>
      </c>
      <c r="H228" s="16">
        <v>0.2</v>
      </c>
      <c r="I228" s="26">
        <v>15</v>
      </c>
      <c r="J228" s="15">
        <v>0</v>
      </c>
      <c r="K228" s="15">
        <v>0</v>
      </c>
      <c r="L228" s="15">
        <f t="shared" si="36"/>
        <v>34</v>
      </c>
      <c r="M228" s="15">
        <v>68</v>
      </c>
      <c r="N228" s="15">
        <v>0</v>
      </c>
      <c r="O228" s="15">
        <v>0</v>
      </c>
      <c r="P228" s="15">
        <f t="shared" si="37"/>
        <v>20</v>
      </c>
      <c r="Q228" s="15">
        <v>39</v>
      </c>
      <c r="R228" s="15">
        <f t="shared" si="38"/>
        <v>20</v>
      </c>
      <c r="S228" s="15">
        <v>39</v>
      </c>
      <c r="T228" s="16">
        <v>0</v>
      </c>
      <c r="U228" s="15">
        <v>0</v>
      </c>
      <c r="V228" s="15">
        <v>0</v>
      </c>
      <c r="W228" s="15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46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</row>
    <row r="229" ht="20.1" customHeight="1" spans="2:223">
      <c r="B229" s="11">
        <v>15304004</v>
      </c>
      <c r="C229" s="15" t="s">
        <v>276</v>
      </c>
      <c r="D229" s="15">
        <v>1140003</v>
      </c>
      <c r="E229" s="15">
        <v>13021</v>
      </c>
      <c r="F229" s="15">
        <v>1</v>
      </c>
      <c r="G229" s="15">
        <v>40</v>
      </c>
      <c r="H229" s="16">
        <v>0.2</v>
      </c>
      <c r="I229" s="26">
        <v>15</v>
      </c>
      <c r="J229" s="15">
        <v>0</v>
      </c>
      <c r="K229" s="15">
        <v>0</v>
      </c>
      <c r="L229" s="15">
        <f t="shared" si="36"/>
        <v>41</v>
      </c>
      <c r="M229" s="15">
        <v>82</v>
      </c>
      <c r="N229" s="15">
        <v>0</v>
      </c>
      <c r="O229" s="15">
        <v>0</v>
      </c>
      <c r="P229" s="15">
        <f t="shared" si="37"/>
        <v>25</v>
      </c>
      <c r="Q229" s="15">
        <v>50</v>
      </c>
      <c r="R229" s="15">
        <f t="shared" si="38"/>
        <v>25</v>
      </c>
      <c r="S229" s="15">
        <v>50</v>
      </c>
      <c r="T229" s="16">
        <v>0</v>
      </c>
      <c r="U229" s="15">
        <v>0</v>
      </c>
      <c r="V229" s="15">
        <v>0</v>
      </c>
      <c r="W229" s="15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46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</row>
    <row r="230" ht="20.1" customHeight="1" spans="2:223">
      <c r="B230" s="11">
        <v>15304005</v>
      </c>
      <c r="C230" s="15" t="s">
        <v>277</v>
      </c>
      <c r="D230" s="15">
        <v>1140003</v>
      </c>
      <c r="E230" s="15">
        <v>0</v>
      </c>
      <c r="F230" s="15">
        <v>1</v>
      </c>
      <c r="G230" s="15">
        <v>40</v>
      </c>
      <c r="H230" s="16">
        <v>0.2</v>
      </c>
      <c r="I230" s="26">
        <v>15</v>
      </c>
      <c r="J230" s="15">
        <v>0</v>
      </c>
      <c r="K230" s="15">
        <v>0</v>
      </c>
      <c r="L230" s="15">
        <f t="shared" si="36"/>
        <v>19</v>
      </c>
      <c r="M230" s="15">
        <v>38</v>
      </c>
      <c r="N230" s="15">
        <v>0</v>
      </c>
      <c r="O230" s="15">
        <v>0</v>
      </c>
      <c r="P230" s="15">
        <f t="shared" si="37"/>
        <v>33</v>
      </c>
      <c r="Q230" s="15">
        <v>65</v>
      </c>
      <c r="R230" s="15">
        <f t="shared" si="38"/>
        <v>33</v>
      </c>
      <c r="S230" s="15">
        <v>65</v>
      </c>
      <c r="T230" s="16">
        <v>0</v>
      </c>
      <c r="U230" s="15">
        <v>0</v>
      </c>
      <c r="V230" s="15">
        <v>0</v>
      </c>
      <c r="W230" s="15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46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</row>
    <row r="231" ht="20.1" customHeight="1" spans="2:223">
      <c r="B231" s="11">
        <v>15304006</v>
      </c>
      <c r="C231" s="15" t="s">
        <v>278</v>
      </c>
      <c r="D231" s="15">
        <v>1140003</v>
      </c>
      <c r="E231" s="15">
        <v>13031</v>
      </c>
      <c r="F231" s="15">
        <v>1</v>
      </c>
      <c r="G231" s="15">
        <v>40</v>
      </c>
      <c r="H231" s="16">
        <v>0.2</v>
      </c>
      <c r="I231" s="26">
        <v>15</v>
      </c>
      <c r="J231" s="15">
        <v>0</v>
      </c>
      <c r="K231" s="15">
        <v>0</v>
      </c>
      <c r="L231" s="15">
        <f t="shared" si="36"/>
        <v>23</v>
      </c>
      <c r="M231" s="15">
        <v>46</v>
      </c>
      <c r="N231" s="15">
        <v>0</v>
      </c>
      <c r="O231" s="15">
        <v>0</v>
      </c>
      <c r="P231" s="15">
        <f t="shared" si="37"/>
        <v>42</v>
      </c>
      <c r="Q231" s="15">
        <v>83</v>
      </c>
      <c r="R231" s="15">
        <f t="shared" si="38"/>
        <v>42</v>
      </c>
      <c r="S231" s="15">
        <v>83</v>
      </c>
      <c r="T231" s="16">
        <v>0</v>
      </c>
      <c r="U231" s="15">
        <v>0</v>
      </c>
      <c r="V231" s="15">
        <v>0</v>
      </c>
      <c r="W231" s="15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46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</row>
    <row r="232" ht="20.1" customHeight="1" spans="2:223">
      <c r="B232" s="11">
        <v>15305001</v>
      </c>
      <c r="C232" s="15" t="s">
        <v>279</v>
      </c>
      <c r="D232" s="15">
        <v>1140003</v>
      </c>
      <c r="E232" s="15">
        <v>0</v>
      </c>
      <c r="F232" s="15">
        <v>1</v>
      </c>
      <c r="G232" s="15">
        <v>40</v>
      </c>
      <c r="H232" s="16">
        <v>0.2</v>
      </c>
      <c r="I232" s="26">
        <v>15</v>
      </c>
      <c r="J232" s="15">
        <v>0</v>
      </c>
      <c r="K232" s="15">
        <v>2450</v>
      </c>
      <c r="L232" s="15">
        <f t="shared" si="36"/>
        <v>33</v>
      </c>
      <c r="M232" s="15">
        <v>65</v>
      </c>
      <c r="N232" s="15">
        <v>0</v>
      </c>
      <c r="O232" s="15">
        <v>0</v>
      </c>
      <c r="P232" s="15">
        <f t="shared" si="37"/>
        <v>13</v>
      </c>
      <c r="Q232" s="15">
        <v>25</v>
      </c>
      <c r="R232" s="15">
        <f t="shared" si="38"/>
        <v>0</v>
      </c>
      <c r="S232" s="15">
        <v>0</v>
      </c>
      <c r="T232" s="16">
        <v>0</v>
      </c>
      <c r="U232" s="15">
        <v>0</v>
      </c>
      <c r="V232" s="15">
        <v>0</v>
      </c>
      <c r="W232" s="15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46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</row>
    <row r="233" ht="20.1" customHeight="1" spans="2:223">
      <c r="B233" s="11">
        <v>15305002</v>
      </c>
      <c r="C233" s="15" t="s">
        <v>280</v>
      </c>
      <c r="D233" s="15">
        <v>1140003</v>
      </c>
      <c r="E233" s="15">
        <v>13011</v>
      </c>
      <c r="F233" s="15">
        <v>1</v>
      </c>
      <c r="G233" s="15">
        <v>40</v>
      </c>
      <c r="H233" s="16">
        <v>0.2</v>
      </c>
      <c r="I233" s="26">
        <v>15</v>
      </c>
      <c r="J233" s="15">
        <v>0</v>
      </c>
      <c r="K233" s="15">
        <v>2880</v>
      </c>
      <c r="L233" s="15">
        <f t="shared" si="36"/>
        <v>42</v>
      </c>
      <c r="M233" s="15">
        <v>83</v>
      </c>
      <c r="N233" s="15">
        <v>0</v>
      </c>
      <c r="O233" s="15">
        <v>0</v>
      </c>
      <c r="P233" s="15">
        <f t="shared" si="37"/>
        <v>17</v>
      </c>
      <c r="Q233" s="15">
        <v>33</v>
      </c>
      <c r="R233" s="15">
        <f t="shared" si="38"/>
        <v>0</v>
      </c>
      <c r="S233" s="15">
        <v>0</v>
      </c>
      <c r="T233" s="16">
        <v>0</v>
      </c>
      <c r="U233" s="15">
        <v>0</v>
      </c>
      <c r="V233" s="15">
        <v>0</v>
      </c>
      <c r="W233" s="15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46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</row>
    <row r="234" ht="20.1" customHeight="1" spans="2:223">
      <c r="B234" s="11">
        <v>15305003</v>
      </c>
      <c r="C234" s="15" t="s">
        <v>281</v>
      </c>
      <c r="D234" s="15">
        <v>1140003</v>
      </c>
      <c r="E234" s="15">
        <v>0</v>
      </c>
      <c r="F234" s="15">
        <v>1</v>
      </c>
      <c r="G234" s="15">
        <v>40</v>
      </c>
      <c r="H234" s="16">
        <v>0.2</v>
      </c>
      <c r="I234" s="26">
        <v>15</v>
      </c>
      <c r="J234" s="15">
        <v>0</v>
      </c>
      <c r="K234" s="15">
        <v>1230</v>
      </c>
      <c r="L234" s="15">
        <f t="shared" si="36"/>
        <v>44</v>
      </c>
      <c r="M234" s="15">
        <v>88</v>
      </c>
      <c r="N234" s="15">
        <v>0</v>
      </c>
      <c r="O234" s="15">
        <v>0</v>
      </c>
      <c r="P234" s="15">
        <f t="shared" si="37"/>
        <v>10</v>
      </c>
      <c r="Q234" s="15">
        <v>19</v>
      </c>
      <c r="R234" s="15">
        <f t="shared" si="38"/>
        <v>0</v>
      </c>
      <c r="S234" s="15">
        <v>0</v>
      </c>
      <c r="T234" s="16">
        <v>0</v>
      </c>
      <c r="U234" s="15">
        <v>0</v>
      </c>
      <c r="V234" s="15">
        <v>0</v>
      </c>
      <c r="W234" s="15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46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</row>
    <row r="235" ht="20.1" customHeight="1" spans="2:223">
      <c r="B235" s="11">
        <v>15305004</v>
      </c>
      <c r="C235" s="15" t="s">
        <v>282</v>
      </c>
      <c r="D235" s="15">
        <v>1140003</v>
      </c>
      <c r="E235" s="15">
        <v>13021</v>
      </c>
      <c r="F235" s="15">
        <v>1</v>
      </c>
      <c r="G235" s="15">
        <v>40</v>
      </c>
      <c r="H235" s="16">
        <v>0.2</v>
      </c>
      <c r="I235" s="26">
        <v>15</v>
      </c>
      <c r="J235" s="15">
        <v>0</v>
      </c>
      <c r="K235" s="15">
        <v>1440</v>
      </c>
      <c r="L235" s="15">
        <f t="shared" si="36"/>
        <v>56</v>
      </c>
      <c r="M235" s="15">
        <v>112</v>
      </c>
      <c r="N235" s="15">
        <v>0</v>
      </c>
      <c r="O235" s="15">
        <v>0</v>
      </c>
      <c r="P235" s="15">
        <f t="shared" si="37"/>
        <v>13</v>
      </c>
      <c r="Q235" s="15">
        <v>25</v>
      </c>
      <c r="R235" s="15">
        <f t="shared" si="38"/>
        <v>0</v>
      </c>
      <c r="S235" s="15">
        <v>0</v>
      </c>
      <c r="T235" s="16">
        <v>0</v>
      </c>
      <c r="U235" s="15">
        <v>0</v>
      </c>
      <c r="V235" s="15">
        <v>0</v>
      </c>
      <c r="W235" s="15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46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</row>
    <row r="236" ht="20.1" customHeight="1" spans="2:223">
      <c r="B236" s="11">
        <v>15305005</v>
      </c>
      <c r="C236" s="15" t="s">
        <v>283</v>
      </c>
      <c r="D236" s="15">
        <v>1140003</v>
      </c>
      <c r="E236" s="15">
        <v>0</v>
      </c>
      <c r="F236" s="15">
        <v>1</v>
      </c>
      <c r="G236" s="15">
        <v>40</v>
      </c>
      <c r="H236" s="16">
        <v>0.2</v>
      </c>
      <c r="I236" s="26">
        <v>15</v>
      </c>
      <c r="J236" s="15">
        <v>0</v>
      </c>
      <c r="K236" s="15">
        <v>3680</v>
      </c>
      <c r="L236" s="15">
        <f t="shared" si="36"/>
        <v>25</v>
      </c>
      <c r="M236" s="15">
        <v>49</v>
      </c>
      <c r="N236" s="15">
        <v>0</v>
      </c>
      <c r="O236" s="15">
        <v>0</v>
      </c>
      <c r="P236" s="15">
        <f t="shared" si="37"/>
        <v>16</v>
      </c>
      <c r="Q236" s="15">
        <v>31</v>
      </c>
      <c r="R236" s="15">
        <f t="shared" si="38"/>
        <v>0</v>
      </c>
      <c r="S236" s="15">
        <v>0</v>
      </c>
      <c r="T236" s="16">
        <v>0</v>
      </c>
      <c r="U236" s="15">
        <v>0</v>
      </c>
      <c r="V236" s="15">
        <v>0</v>
      </c>
      <c r="W236" s="15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46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</row>
    <row r="237" ht="20.1" customHeight="1" spans="2:223">
      <c r="B237" s="11">
        <v>15305006</v>
      </c>
      <c r="C237" s="15" t="s">
        <v>284</v>
      </c>
      <c r="D237" s="15">
        <v>1140003</v>
      </c>
      <c r="E237" s="15">
        <v>13031</v>
      </c>
      <c r="F237" s="15">
        <v>1</v>
      </c>
      <c r="G237" s="15">
        <v>40</v>
      </c>
      <c r="H237" s="16">
        <v>0.2</v>
      </c>
      <c r="I237" s="26">
        <v>15</v>
      </c>
      <c r="J237" s="15">
        <v>0</v>
      </c>
      <c r="K237" s="15">
        <v>4320</v>
      </c>
      <c r="L237" s="15">
        <f t="shared" si="36"/>
        <v>31</v>
      </c>
      <c r="M237" s="15">
        <v>62</v>
      </c>
      <c r="N237" s="15">
        <v>0</v>
      </c>
      <c r="O237" s="15">
        <v>0</v>
      </c>
      <c r="P237" s="15">
        <f t="shared" si="37"/>
        <v>21</v>
      </c>
      <c r="Q237" s="15">
        <v>41</v>
      </c>
      <c r="R237" s="15">
        <f t="shared" si="38"/>
        <v>0</v>
      </c>
      <c r="S237" s="15">
        <v>0</v>
      </c>
      <c r="T237" s="16">
        <v>0</v>
      </c>
      <c r="U237" s="15">
        <v>0</v>
      </c>
      <c r="V237" s="15">
        <v>0</v>
      </c>
      <c r="W237" s="15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46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</row>
    <row r="238" ht="20.1" customHeight="1" spans="2:223">
      <c r="B238" s="11">
        <v>15306001</v>
      </c>
      <c r="C238" s="15" t="s">
        <v>148</v>
      </c>
      <c r="D238" s="15">
        <v>1140002</v>
      </c>
      <c r="E238" s="15">
        <v>0</v>
      </c>
      <c r="F238" s="15">
        <v>1</v>
      </c>
      <c r="G238" s="15">
        <v>40</v>
      </c>
      <c r="H238" s="16">
        <v>0.2</v>
      </c>
      <c r="I238" s="26">
        <v>15</v>
      </c>
      <c r="J238" s="15">
        <v>0</v>
      </c>
      <c r="K238" s="15">
        <v>0</v>
      </c>
      <c r="L238" s="15">
        <f t="shared" si="36"/>
        <v>64</v>
      </c>
      <c r="M238" s="15">
        <v>128</v>
      </c>
      <c r="N238" s="15">
        <v>0</v>
      </c>
      <c r="O238" s="15">
        <v>0</v>
      </c>
      <c r="P238" s="15">
        <f t="shared" si="37"/>
        <v>20</v>
      </c>
      <c r="Q238" s="15">
        <v>40</v>
      </c>
      <c r="R238" s="15">
        <f t="shared" si="38"/>
        <v>0</v>
      </c>
      <c r="S238" s="15">
        <v>0</v>
      </c>
      <c r="T238" s="16">
        <v>0</v>
      </c>
      <c r="U238" s="15">
        <v>0</v>
      </c>
      <c r="V238" s="15">
        <v>0</v>
      </c>
      <c r="W238" s="15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46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</row>
    <row r="239" ht="20.1" customHeight="1" spans="2:223">
      <c r="B239" s="11">
        <v>15306002</v>
      </c>
      <c r="C239" s="15" t="s">
        <v>285</v>
      </c>
      <c r="D239" s="15">
        <v>1140002</v>
      </c>
      <c r="E239" s="15">
        <v>0</v>
      </c>
      <c r="F239" s="15">
        <v>1</v>
      </c>
      <c r="G239" s="15">
        <v>40</v>
      </c>
      <c r="H239" s="16">
        <v>0.2</v>
      </c>
      <c r="I239" s="26">
        <v>15</v>
      </c>
      <c r="J239" s="15">
        <v>0</v>
      </c>
      <c r="K239" s="15">
        <v>0</v>
      </c>
      <c r="L239" s="15">
        <f t="shared" si="36"/>
        <v>83</v>
      </c>
      <c r="M239" s="15">
        <v>165</v>
      </c>
      <c r="N239" s="15">
        <v>0</v>
      </c>
      <c r="O239" s="15">
        <v>0</v>
      </c>
      <c r="P239" s="15">
        <f t="shared" si="37"/>
        <v>25</v>
      </c>
      <c r="Q239" s="15">
        <v>50</v>
      </c>
      <c r="R239" s="15">
        <f t="shared" si="38"/>
        <v>0</v>
      </c>
      <c r="S239" s="15">
        <v>0</v>
      </c>
      <c r="T239" s="16">
        <v>0</v>
      </c>
      <c r="U239" s="15">
        <v>0</v>
      </c>
      <c r="V239" s="15">
        <v>0</v>
      </c>
      <c r="W239" s="15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46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</row>
    <row r="240" ht="20.1" customHeight="1" spans="2:223">
      <c r="B240" s="11">
        <v>15306003</v>
      </c>
      <c r="C240" s="39" t="s">
        <v>286</v>
      </c>
      <c r="D240" s="15">
        <v>1140002</v>
      </c>
      <c r="E240" s="15">
        <v>13051</v>
      </c>
      <c r="F240" s="15">
        <v>1</v>
      </c>
      <c r="G240" s="15">
        <v>40</v>
      </c>
      <c r="H240" s="16">
        <v>0.2</v>
      </c>
      <c r="I240" s="26">
        <v>15</v>
      </c>
      <c r="J240" s="15">
        <v>0</v>
      </c>
      <c r="K240" s="15">
        <v>0</v>
      </c>
      <c r="L240" s="15">
        <f t="shared" ref="L240" si="54">ROUND(M240/2,0)</f>
        <v>110</v>
      </c>
      <c r="M240" s="15">
        <v>220</v>
      </c>
      <c r="N240" s="15">
        <v>0</v>
      </c>
      <c r="O240" s="15">
        <v>0</v>
      </c>
      <c r="P240" s="15">
        <f t="shared" ref="P240" si="55">ROUND(Q240/2,0)</f>
        <v>30</v>
      </c>
      <c r="Q240" s="15">
        <v>60</v>
      </c>
      <c r="R240" s="15">
        <f t="shared" ref="R240" si="56">ROUND(S240/2,0)</f>
        <v>0</v>
      </c>
      <c r="S240" s="15">
        <v>0</v>
      </c>
      <c r="T240" s="16">
        <v>0</v>
      </c>
      <c r="U240" s="15">
        <v>0</v>
      </c>
      <c r="V240" s="15">
        <v>0</v>
      </c>
      <c r="W240" s="15">
        <v>0</v>
      </c>
      <c r="X240" s="16">
        <v>0</v>
      </c>
      <c r="Y240" s="16">
        <v>0</v>
      </c>
      <c r="Z240" s="16">
        <v>0</v>
      </c>
      <c r="AA240" s="16">
        <v>100902</v>
      </c>
      <c r="AB240" s="16">
        <v>500</v>
      </c>
      <c r="AC240" s="16">
        <v>1</v>
      </c>
      <c r="AD240" s="46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</row>
    <row r="241" ht="20.1" customHeight="1" spans="2:223">
      <c r="B241" s="11">
        <v>15307001</v>
      </c>
      <c r="C241" s="15" t="s">
        <v>287</v>
      </c>
      <c r="D241" s="15">
        <v>1140002</v>
      </c>
      <c r="E241" s="15">
        <v>0</v>
      </c>
      <c r="F241" s="15">
        <v>1</v>
      </c>
      <c r="G241" s="15">
        <v>40</v>
      </c>
      <c r="H241" s="16">
        <v>0.2</v>
      </c>
      <c r="I241" s="26">
        <v>15</v>
      </c>
      <c r="J241" s="15">
        <v>0</v>
      </c>
      <c r="K241" s="15">
        <v>0</v>
      </c>
      <c r="L241" s="15">
        <f t="shared" si="36"/>
        <v>64</v>
      </c>
      <c r="M241" s="15">
        <v>128</v>
      </c>
      <c r="N241" s="15">
        <v>0</v>
      </c>
      <c r="O241" s="15">
        <v>0</v>
      </c>
      <c r="P241" s="15">
        <f t="shared" si="37"/>
        <v>0</v>
      </c>
      <c r="Q241" s="15">
        <v>0</v>
      </c>
      <c r="R241" s="15">
        <f t="shared" si="38"/>
        <v>20</v>
      </c>
      <c r="S241" s="15">
        <v>40</v>
      </c>
      <c r="T241" s="16">
        <v>0</v>
      </c>
      <c r="U241" s="15">
        <v>0</v>
      </c>
      <c r="V241" s="15">
        <v>0</v>
      </c>
      <c r="W241" s="15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46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</row>
    <row r="242" ht="20.1" customHeight="1" spans="2:223">
      <c r="B242" s="11">
        <v>15307002</v>
      </c>
      <c r="C242" s="15" t="s">
        <v>288</v>
      </c>
      <c r="D242" s="15">
        <v>1140002</v>
      </c>
      <c r="E242" s="15">
        <v>0</v>
      </c>
      <c r="F242" s="15">
        <v>1</v>
      </c>
      <c r="G242" s="15">
        <v>40</v>
      </c>
      <c r="H242" s="16">
        <v>0.2</v>
      </c>
      <c r="I242" s="26">
        <v>15</v>
      </c>
      <c r="J242" s="15">
        <v>0</v>
      </c>
      <c r="K242" s="15">
        <v>0</v>
      </c>
      <c r="L242" s="15">
        <f t="shared" si="36"/>
        <v>83</v>
      </c>
      <c r="M242" s="15">
        <v>165</v>
      </c>
      <c r="N242" s="15">
        <v>0</v>
      </c>
      <c r="O242" s="15">
        <v>0</v>
      </c>
      <c r="P242" s="15">
        <f t="shared" si="37"/>
        <v>0</v>
      </c>
      <c r="Q242" s="15">
        <v>0</v>
      </c>
      <c r="R242" s="15">
        <f t="shared" si="38"/>
        <v>25</v>
      </c>
      <c r="S242" s="15">
        <v>50</v>
      </c>
      <c r="T242" s="16">
        <v>0</v>
      </c>
      <c r="U242" s="15">
        <v>0</v>
      </c>
      <c r="V242" s="15">
        <v>0</v>
      </c>
      <c r="W242" s="15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46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</row>
    <row r="243" ht="20.1" customHeight="1" spans="2:223">
      <c r="B243" s="11">
        <v>15308001</v>
      </c>
      <c r="C243" s="15" t="s">
        <v>157</v>
      </c>
      <c r="D243" s="15">
        <v>1140002</v>
      </c>
      <c r="E243" s="15">
        <v>0</v>
      </c>
      <c r="F243" s="15">
        <v>1</v>
      </c>
      <c r="G243" s="15">
        <v>40</v>
      </c>
      <c r="H243" s="16">
        <v>0.2</v>
      </c>
      <c r="I243" s="26">
        <v>15</v>
      </c>
      <c r="J243" s="15">
        <v>0</v>
      </c>
      <c r="K243" s="15">
        <v>0</v>
      </c>
      <c r="L243" s="15">
        <v>12</v>
      </c>
      <c r="M243" s="15">
        <v>25</v>
      </c>
      <c r="N243" s="15">
        <v>0</v>
      </c>
      <c r="O243" s="15">
        <v>0</v>
      </c>
      <c r="P243" s="15">
        <f t="shared" si="37"/>
        <v>0</v>
      </c>
      <c r="Q243" s="15">
        <v>0</v>
      </c>
      <c r="R243" s="15">
        <f t="shared" si="38"/>
        <v>0</v>
      </c>
      <c r="S243" s="15">
        <v>0</v>
      </c>
      <c r="T243" s="16">
        <v>0</v>
      </c>
      <c r="U243" s="15">
        <v>0</v>
      </c>
      <c r="V243" s="15">
        <v>0</v>
      </c>
      <c r="W243" s="15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46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</row>
    <row r="244" ht="20.1" customHeight="1" spans="2:223">
      <c r="B244" s="11">
        <v>15308002</v>
      </c>
      <c r="C244" s="15" t="s">
        <v>289</v>
      </c>
      <c r="D244" s="15">
        <v>1140002</v>
      </c>
      <c r="E244" s="15">
        <v>0</v>
      </c>
      <c r="F244" s="15">
        <v>1</v>
      </c>
      <c r="G244" s="15">
        <v>40</v>
      </c>
      <c r="H244" s="16">
        <v>0.2</v>
      </c>
      <c r="I244" s="26">
        <v>15</v>
      </c>
      <c r="J244" s="15">
        <v>0</v>
      </c>
      <c r="K244" s="15">
        <v>0</v>
      </c>
      <c r="L244" s="15">
        <v>15</v>
      </c>
      <c r="M244" s="15">
        <v>32</v>
      </c>
      <c r="N244" s="15">
        <v>0</v>
      </c>
      <c r="O244" s="15">
        <v>0</v>
      </c>
      <c r="P244" s="15">
        <f t="shared" si="37"/>
        <v>0</v>
      </c>
      <c r="Q244" s="15">
        <v>0</v>
      </c>
      <c r="R244" s="15">
        <f t="shared" si="38"/>
        <v>0</v>
      </c>
      <c r="S244" s="15">
        <v>0</v>
      </c>
      <c r="T244" s="16">
        <v>0</v>
      </c>
      <c r="U244" s="15">
        <v>0</v>
      </c>
      <c r="V244" s="15">
        <v>0</v>
      </c>
      <c r="W244" s="15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46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</row>
    <row r="245" s="3" customFormat="1" ht="20.1" customHeight="1" spans="2:223">
      <c r="B245" s="20">
        <v>15308003</v>
      </c>
      <c r="C245" s="45" t="s">
        <v>290</v>
      </c>
      <c r="D245" s="22">
        <v>1140002</v>
      </c>
      <c r="E245" s="22">
        <v>0</v>
      </c>
      <c r="F245" s="22">
        <v>1</v>
      </c>
      <c r="G245" s="22">
        <v>40</v>
      </c>
      <c r="H245" s="23">
        <v>0.2</v>
      </c>
      <c r="I245" s="26">
        <v>15</v>
      </c>
      <c r="J245" s="22">
        <v>0</v>
      </c>
      <c r="K245" s="22">
        <v>0</v>
      </c>
      <c r="L245" s="22">
        <v>20</v>
      </c>
      <c r="M245" s="22">
        <v>40</v>
      </c>
      <c r="N245" s="22">
        <v>0</v>
      </c>
      <c r="O245" s="22">
        <v>0</v>
      </c>
      <c r="P245" s="22">
        <f t="shared" ref="P245" si="57">ROUND(Q245/2,0)</f>
        <v>0</v>
      </c>
      <c r="Q245" s="22">
        <v>0</v>
      </c>
      <c r="R245" s="22">
        <f t="shared" ref="R245" si="58">ROUND(S245/2,0)</f>
        <v>0</v>
      </c>
      <c r="S245" s="22">
        <v>0</v>
      </c>
      <c r="T245" s="23">
        <v>0</v>
      </c>
      <c r="U245" s="22">
        <v>0</v>
      </c>
      <c r="V245" s="22">
        <v>0</v>
      </c>
      <c r="W245" s="22">
        <v>0</v>
      </c>
      <c r="X245" s="23">
        <v>0</v>
      </c>
      <c r="Y245" s="23">
        <v>0</v>
      </c>
      <c r="Z245" s="23">
        <v>0</v>
      </c>
      <c r="AA245" s="23">
        <v>0</v>
      </c>
      <c r="AB245" s="23">
        <v>0</v>
      </c>
      <c r="AC245" s="23">
        <v>0</v>
      </c>
      <c r="AD245" s="48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</row>
    <row r="246" s="3" customFormat="1" ht="19.5" customHeight="1" spans="2:223">
      <c r="B246" s="20">
        <v>15308004</v>
      </c>
      <c r="C246" s="45" t="s">
        <v>291</v>
      </c>
      <c r="D246" s="22">
        <v>1140002</v>
      </c>
      <c r="E246" s="22">
        <v>0</v>
      </c>
      <c r="F246" s="22">
        <v>1</v>
      </c>
      <c r="G246" s="22">
        <v>40</v>
      </c>
      <c r="H246" s="23">
        <v>0.2</v>
      </c>
      <c r="I246" s="26">
        <v>15</v>
      </c>
      <c r="J246" s="22">
        <v>0</v>
      </c>
      <c r="K246" s="22">
        <v>0</v>
      </c>
      <c r="L246" s="22">
        <v>20</v>
      </c>
      <c r="M246" s="22">
        <v>40</v>
      </c>
      <c r="N246" s="22">
        <v>0</v>
      </c>
      <c r="O246" s="22">
        <v>0</v>
      </c>
      <c r="P246" s="22">
        <f t="shared" ref="P246" si="59">ROUND(Q246/2,0)</f>
        <v>0</v>
      </c>
      <c r="Q246" s="22">
        <v>0</v>
      </c>
      <c r="R246" s="22">
        <f t="shared" ref="R246" si="60">ROUND(S246/2,0)</f>
        <v>0</v>
      </c>
      <c r="S246" s="22">
        <v>0</v>
      </c>
      <c r="T246" s="23">
        <v>0</v>
      </c>
      <c r="U246" s="22">
        <v>0</v>
      </c>
      <c r="V246" s="22">
        <v>0</v>
      </c>
      <c r="W246" s="22">
        <v>0</v>
      </c>
      <c r="X246" s="23">
        <v>0</v>
      </c>
      <c r="Y246" s="23">
        <v>0</v>
      </c>
      <c r="Z246" s="23">
        <v>0</v>
      </c>
      <c r="AA246" s="23">
        <v>0</v>
      </c>
      <c r="AB246" s="23">
        <v>0</v>
      </c>
      <c r="AC246" s="23">
        <v>0</v>
      </c>
      <c r="AD246" s="48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L246" s="35"/>
      <c r="HM246" s="35"/>
      <c r="HN246" s="35"/>
      <c r="HO246" s="35"/>
    </row>
    <row r="247" ht="20.1" customHeight="1" spans="2:223">
      <c r="B247" s="11">
        <v>15309001</v>
      </c>
      <c r="C247" s="15" t="s">
        <v>161</v>
      </c>
      <c r="D247" s="15">
        <v>1140001</v>
      </c>
      <c r="E247" s="15">
        <v>0</v>
      </c>
      <c r="F247" s="15">
        <v>1</v>
      </c>
      <c r="G247" s="15">
        <v>40</v>
      </c>
      <c r="H247" s="16">
        <v>0.2</v>
      </c>
      <c r="I247" s="26">
        <v>15</v>
      </c>
      <c r="J247" s="15">
        <v>0</v>
      </c>
      <c r="K247" s="15">
        <v>3820</v>
      </c>
      <c r="L247" s="15">
        <f t="shared" si="36"/>
        <v>0</v>
      </c>
      <c r="M247" s="15">
        <v>0</v>
      </c>
      <c r="N247" s="15">
        <v>0</v>
      </c>
      <c r="O247" s="15">
        <v>0</v>
      </c>
      <c r="P247" s="15">
        <f t="shared" si="37"/>
        <v>0</v>
      </c>
      <c r="Q247" s="15">
        <v>0</v>
      </c>
      <c r="R247" s="15">
        <f t="shared" si="38"/>
        <v>0</v>
      </c>
      <c r="S247" s="15">
        <v>0</v>
      </c>
      <c r="T247" s="16">
        <v>0</v>
      </c>
      <c r="U247" s="15">
        <v>0</v>
      </c>
      <c r="V247" s="15">
        <v>0</v>
      </c>
      <c r="W247" s="15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46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</row>
    <row r="248" ht="20.1" customHeight="1" spans="2:223">
      <c r="B248" s="11">
        <v>15309002</v>
      </c>
      <c r="C248" s="15" t="s">
        <v>292</v>
      </c>
      <c r="D248" s="15">
        <v>1140001</v>
      </c>
      <c r="E248" s="15">
        <v>0</v>
      </c>
      <c r="F248" s="15">
        <v>1</v>
      </c>
      <c r="G248" s="15">
        <v>40</v>
      </c>
      <c r="H248" s="16">
        <v>0.2</v>
      </c>
      <c r="I248" s="26">
        <v>15</v>
      </c>
      <c r="J248" s="15">
        <v>0</v>
      </c>
      <c r="K248" s="15">
        <v>4620</v>
      </c>
      <c r="L248" s="15">
        <f t="shared" si="36"/>
        <v>0</v>
      </c>
      <c r="M248" s="15">
        <v>0</v>
      </c>
      <c r="N248" s="15">
        <v>0</v>
      </c>
      <c r="O248" s="15">
        <v>0</v>
      </c>
      <c r="P248" s="15">
        <f t="shared" si="37"/>
        <v>0</v>
      </c>
      <c r="Q248" s="15">
        <v>0</v>
      </c>
      <c r="R248" s="15">
        <f t="shared" si="38"/>
        <v>0</v>
      </c>
      <c r="S248" s="15">
        <v>0</v>
      </c>
      <c r="T248" s="16">
        <v>0</v>
      </c>
      <c r="U248" s="15">
        <v>0</v>
      </c>
      <c r="V248" s="15">
        <v>0</v>
      </c>
      <c r="W248" s="15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46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</row>
    <row r="249" ht="20.1" customHeight="1" spans="2:223">
      <c r="B249" s="11">
        <v>15310001</v>
      </c>
      <c r="C249" s="11" t="s">
        <v>293</v>
      </c>
      <c r="D249" s="15">
        <v>1140001</v>
      </c>
      <c r="E249" s="15">
        <v>0</v>
      </c>
      <c r="F249" s="15">
        <v>1</v>
      </c>
      <c r="G249" s="15">
        <v>40</v>
      </c>
      <c r="H249" s="16">
        <v>0.2</v>
      </c>
      <c r="I249" s="26">
        <v>15</v>
      </c>
      <c r="J249" s="15">
        <v>0</v>
      </c>
      <c r="K249" s="15">
        <v>0</v>
      </c>
      <c r="L249" s="15">
        <f t="shared" si="36"/>
        <v>193</v>
      </c>
      <c r="M249" s="15">
        <v>385</v>
      </c>
      <c r="N249" s="15">
        <v>0</v>
      </c>
      <c r="O249" s="15">
        <v>0</v>
      </c>
      <c r="P249" s="15">
        <f t="shared" si="37"/>
        <v>0</v>
      </c>
      <c r="Q249" s="15">
        <v>0</v>
      </c>
      <c r="R249" s="15">
        <f t="shared" si="38"/>
        <v>0</v>
      </c>
      <c r="S249" s="15">
        <v>0</v>
      </c>
      <c r="T249" s="16">
        <v>0</v>
      </c>
      <c r="U249" s="15">
        <v>0</v>
      </c>
      <c r="V249" s="15">
        <v>0</v>
      </c>
      <c r="W249" s="15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46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</row>
    <row r="250" ht="20.1" customHeight="1" spans="2:223">
      <c r="B250" s="11">
        <v>15310002</v>
      </c>
      <c r="C250" s="11" t="s">
        <v>294</v>
      </c>
      <c r="D250" s="15">
        <v>1140001</v>
      </c>
      <c r="E250" s="15">
        <v>0</v>
      </c>
      <c r="F250" s="15">
        <v>1</v>
      </c>
      <c r="G250" s="15">
        <v>40</v>
      </c>
      <c r="H250" s="16">
        <v>0.2</v>
      </c>
      <c r="I250" s="26">
        <v>15</v>
      </c>
      <c r="J250" s="15">
        <v>0</v>
      </c>
      <c r="K250" s="15">
        <v>0</v>
      </c>
      <c r="L250" s="15">
        <f t="shared" si="36"/>
        <v>230</v>
      </c>
      <c r="M250" s="15">
        <v>460</v>
      </c>
      <c r="N250" s="15">
        <v>0</v>
      </c>
      <c r="O250" s="15">
        <v>0</v>
      </c>
      <c r="P250" s="15">
        <f t="shared" si="37"/>
        <v>0</v>
      </c>
      <c r="Q250" s="15">
        <v>0</v>
      </c>
      <c r="R250" s="15">
        <f t="shared" si="38"/>
        <v>0</v>
      </c>
      <c r="S250" s="15">
        <v>0</v>
      </c>
      <c r="T250" s="16">
        <v>0</v>
      </c>
      <c r="U250" s="15">
        <v>0</v>
      </c>
      <c r="V250" s="15">
        <v>0</v>
      </c>
      <c r="W250" s="15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46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</row>
    <row r="251" ht="20.1" customHeight="1" spans="2:223">
      <c r="B251" s="11">
        <v>15310003</v>
      </c>
      <c r="C251" s="11" t="s">
        <v>295</v>
      </c>
      <c r="D251" s="15">
        <v>1140001</v>
      </c>
      <c r="E251" s="15">
        <v>0</v>
      </c>
      <c r="F251" s="15">
        <v>1</v>
      </c>
      <c r="G251" s="15">
        <v>40</v>
      </c>
      <c r="H251" s="16">
        <v>0.2</v>
      </c>
      <c r="I251" s="26">
        <v>15</v>
      </c>
      <c r="J251" s="15">
        <v>0</v>
      </c>
      <c r="K251" s="15">
        <v>0</v>
      </c>
      <c r="L251" s="15">
        <f t="shared" si="36"/>
        <v>193</v>
      </c>
      <c r="M251" s="15">
        <v>385</v>
      </c>
      <c r="N251" s="15">
        <v>0</v>
      </c>
      <c r="O251" s="15">
        <v>0</v>
      </c>
      <c r="P251" s="15">
        <f t="shared" si="37"/>
        <v>0</v>
      </c>
      <c r="Q251" s="15">
        <v>0</v>
      </c>
      <c r="R251" s="15">
        <f t="shared" si="38"/>
        <v>0</v>
      </c>
      <c r="S251" s="15">
        <v>0</v>
      </c>
      <c r="T251" s="16">
        <v>0</v>
      </c>
      <c r="U251" s="15">
        <v>0</v>
      </c>
      <c r="V251" s="15">
        <v>0</v>
      </c>
      <c r="W251" s="15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46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</row>
    <row r="252" ht="20.1" customHeight="1" spans="2:223">
      <c r="B252" s="11">
        <v>15310004</v>
      </c>
      <c r="C252" s="11" t="s">
        <v>296</v>
      </c>
      <c r="D252" s="15">
        <v>1140001</v>
      </c>
      <c r="E252" s="15">
        <v>0</v>
      </c>
      <c r="F252" s="15">
        <v>1</v>
      </c>
      <c r="G252" s="15">
        <v>40</v>
      </c>
      <c r="H252" s="16">
        <v>0.2</v>
      </c>
      <c r="I252" s="26">
        <v>15</v>
      </c>
      <c r="J252" s="15">
        <v>0</v>
      </c>
      <c r="K252" s="15">
        <v>0</v>
      </c>
      <c r="L252" s="15">
        <f t="shared" si="36"/>
        <v>230</v>
      </c>
      <c r="M252" s="15">
        <v>460</v>
      </c>
      <c r="N252" s="15">
        <v>0</v>
      </c>
      <c r="O252" s="15">
        <v>0</v>
      </c>
      <c r="P252" s="15">
        <f t="shared" si="37"/>
        <v>0</v>
      </c>
      <c r="Q252" s="15">
        <v>0</v>
      </c>
      <c r="R252" s="15">
        <f t="shared" si="38"/>
        <v>0</v>
      </c>
      <c r="S252" s="15">
        <v>0</v>
      </c>
      <c r="T252" s="16">
        <v>0</v>
      </c>
      <c r="U252" s="15">
        <v>0</v>
      </c>
      <c r="V252" s="15">
        <v>0</v>
      </c>
      <c r="W252" s="15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46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</row>
    <row r="253" ht="19.5" customHeight="1" spans="2:223">
      <c r="B253" s="11">
        <v>15310011</v>
      </c>
      <c r="C253" s="39" t="s">
        <v>297</v>
      </c>
      <c r="D253" s="15">
        <v>1140001</v>
      </c>
      <c r="E253" s="15">
        <v>13051</v>
      </c>
      <c r="F253" s="15">
        <v>1</v>
      </c>
      <c r="G253" s="15">
        <v>40</v>
      </c>
      <c r="H253" s="16">
        <v>0.2</v>
      </c>
      <c r="I253" s="26">
        <v>15</v>
      </c>
      <c r="J253" s="15">
        <v>0</v>
      </c>
      <c r="K253" s="15">
        <v>0</v>
      </c>
      <c r="L253" s="15">
        <f t="shared" ref="L253:L254" si="61">ROUND(M253/2,0)</f>
        <v>290</v>
      </c>
      <c r="M253" s="15">
        <v>580</v>
      </c>
      <c r="N253" s="15">
        <v>0</v>
      </c>
      <c r="O253" s="15">
        <v>0</v>
      </c>
      <c r="P253" s="15">
        <f t="shared" ref="P253:P254" si="62">ROUND(Q253/2,0)</f>
        <v>0</v>
      </c>
      <c r="Q253" s="15">
        <v>0</v>
      </c>
      <c r="R253" s="15">
        <f t="shared" ref="R253:R254" si="63">ROUND(S253/2,0)</f>
        <v>0</v>
      </c>
      <c r="S253" s="15">
        <v>0</v>
      </c>
      <c r="T253" s="16">
        <v>0</v>
      </c>
      <c r="U253" s="15">
        <v>0</v>
      </c>
      <c r="V253" s="15">
        <v>0</v>
      </c>
      <c r="W253" s="15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49">
        <v>100004</v>
      </c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</row>
    <row r="254" ht="20.1" customHeight="1" spans="2:223">
      <c r="B254" s="11">
        <v>15310012</v>
      </c>
      <c r="C254" s="39" t="s">
        <v>298</v>
      </c>
      <c r="D254" s="15">
        <v>1140001</v>
      </c>
      <c r="E254" s="15">
        <v>13051</v>
      </c>
      <c r="F254" s="15">
        <v>1</v>
      </c>
      <c r="G254" s="15">
        <v>40</v>
      </c>
      <c r="H254" s="16">
        <v>0.2</v>
      </c>
      <c r="I254" s="26">
        <v>15</v>
      </c>
      <c r="J254" s="15">
        <v>0</v>
      </c>
      <c r="K254" s="15">
        <v>0</v>
      </c>
      <c r="L254" s="15">
        <f t="shared" si="61"/>
        <v>290</v>
      </c>
      <c r="M254" s="15">
        <v>580</v>
      </c>
      <c r="N254" s="15">
        <v>0</v>
      </c>
      <c r="O254" s="15">
        <v>0</v>
      </c>
      <c r="P254" s="15">
        <f t="shared" si="62"/>
        <v>0</v>
      </c>
      <c r="Q254" s="15">
        <v>0</v>
      </c>
      <c r="R254" s="15">
        <f t="shared" si="63"/>
        <v>0</v>
      </c>
      <c r="S254" s="15">
        <v>0</v>
      </c>
      <c r="T254" s="16">
        <v>0</v>
      </c>
      <c r="U254" s="15">
        <v>0</v>
      </c>
      <c r="V254" s="15">
        <v>0</v>
      </c>
      <c r="W254" s="15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49">
        <v>100003</v>
      </c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</row>
    <row r="255" ht="20.1" customHeight="1" spans="2:223">
      <c r="B255" s="11">
        <v>15310111</v>
      </c>
      <c r="C255" s="39" t="s">
        <v>297</v>
      </c>
      <c r="D255" s="15">
        <v>1140001</v>
      </c>
      <c r="E255" s="15">
        <v>13051</v>
      </c>
      <c r="F255" s="15">
        <v>1</v>
      </c>
      <c r="G255" s="15">
        <v>40</v>
      </c>
      <c r="H255" s="16">
        <v>0.2</v>
      </c>
      <c r="I255" s="26">
        <v>15</v>
      </c>
      <c r="J255" s="15">
        <v>0</v>
      </c>
      <c r="K255" s="15">
        <v>0</v>
      </c>
      <c r="L255" s="15">
        <f t="shared" ref="L255:L259" si="64">ROUND(M255/2,0)</f>
        <v>290</v>
      </c>
      <c r="M255" s="15">
        <v>580</v>
      </c>
      <c r="N255" s="15">
        <v>0</v>
      </c>
      <c r="O255" s="15">
        <v>0</v>
      </c>
      <c r="P255" s="15">
        <f t="shared" ref="P255:P259" si="65">ROUND(Q255/2,0)</f>
        <v>0</v>
      </c>
      <c r="Q255" s="15">
        <v>0</v>
      </c>
      <c r="R255" s="15">
        <f t="shared" ref="R255:R259" si="66">ROUND(S255/2,0)</f>
        <v>0</v>
      </c>
      <c r="S255" s="15">
        <v>0</v>
      </c>
      <c r="T255" s="16">
        <v>0</v>
      </c>
      <c r="U255" s="15">
        <v>0</v>
      </c>
      <c r="V255" s="15">
        <v>0</v>
      </c>
      <c r="W255" s="15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46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</row>
    <row r="256" ht="20.1" customHeight="1" spans="2:223">
      <c r="B256" s="11">
        <v>15310112</v>
      </c>
      <c r="C256" s="39" t="s">
        <v>298</v>
      </c>
      <c r="D256" s="15">
        <v>1140001</v>
      </c>
      <c r="E256" s="15">
        <v>13051</v>
      </c>
      <c r="F256" s="15">
        <v>1</v>
      </c>
      <c r="G256" s="15">
        <v>40</v>
      </c>
      <c r="H256" s="16">
        <v>0.2</v>
      </c>
      <c r="I256" s="26">
        <v>15</v>
      </c>
      <c r="J256" s="15">
        <v>0</v>
      </c>
      <c r="K256" s="15">
        <v>0</v>
      </c>
      <c r="L256" s="15">
        <f t="shared" si="64"/>
        <v>290</v>
      </c>
      <c r="M256" s="15">
        <v>580</v>
      </c>
      <c r="N256" s="15">
        <v>0</v>
      </c>
      <c r="O256" s="15">
        <v>0</v>
      </c>
      <c r="P256" s="15">
        <f t="shared" si="65"/>
        <v>0</v>
      </c>
      <c r="Q256" s="15">
        <v>0</v>
      </c>
      <c r="R256" s="15">
        <f t="shared" si="66"/>
        <v>0</v>
      </c>
      <c r="S256" s="15">
        <v>0</v>
      </c>
      <c r="T256" s="16">
        <v>0</v>
      </c>
      <c r="U256" s="15">
        <v>0</v>
      </c>
      <c r="V256" s="15">
        <v>0</v>
      </c>
      <c r="W256" s="15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49">
        <v>100005</v>
      </c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</row>
    <row r="257" ht="20.1" customHeight="1" spans="2:223">
      <c r="B257" s="11">
        <v>15310201</v>
      </c>
      <c r="C257" s="11" t="s">
        <v>299</v>
      </c>
      <c r="D257" s="15">
        <v>1140001</v>
      </c>
      <c r="E257" s="15">
        <v>0</v>
      </c>
      <c r="F257" s="15">
        <v>1</v>
      </c>
      <c r="G257" s="15">
        <v>40</v>
      </c>
      <c r="H257" s="16">
        <v>0.2</v>
      </c>
      <c r="I257" s="26">
        <v>15</v>
      </c>
      <c r="J257" s="15">
        <v>0</v>
      </c>
      <c r="K257" s="15">
        <v>0</v>
      </c>
      <c r="L257" s="15">
        <f t="shared" si="64"/>
        <v>193</v>
      </c>
      <c r="M257" s="15">
        <v>385</v>
      </c>
      <c r="N257" s="15">
        <v>0</v>
      </c>
      <c r="O257" s="15">
        <v>0</v>
      </c>
      <c r="P257" s="15">
        <f t="shared" si="65"/>
        <v>0</v>
      </c>
      <c r="Q257" s="15">
        <v>0</v>
      </c>
      <c r="R257" s="15">
        <f t="shared" si="66"/>
        <v>0</v>
      </c>
      <c r="S257" s="15">
        <v>0</v>
      </c>
      <c r="T257" s="16">
        <v>0</v>
      </c>
      <c r="U257" s="15">
        <v>0</v>
      </c>
      <c r="V257" s="15">
        <v>0</v>
      </c>
      <c r="W257" s="15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46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</row>
    <row r="258" ht="20.1" customHeight="1" spans="2:223">
      <c r="B258" s="11">
        <v>15310202</v>
      </c>
      <c r="C258" s="11" t="s">
        <v>300</v>
      </c>
      <c r="D258" s="15">
        <v>1140001</v>
      </c>
      <c r="E258" s="15">
        <v>0</v>
      </c>
      <c r="F258" s="15">
        <v>1</v>
      </c>
      <c r="G258" s="15">
        <v>40</v>
      </c>
      <c r="H258" s="16">
        <v>0.2</v>
      </c>
      <c r="I258" s="26">
        <v>15</v>
      </c>
      <c r="J258" s="15">
        <v>0</v>
      </c>
      <c r="K258" s="15">
        <v>0</v>
      </c>
      <c r="L258" s="15">
        <f t="shared" si="64"/>
        <v>230</v>
      </c>
      <c r="M258" s="15">
        <v>460</v>
      </c>
      <c r="N258" s="15">
        <v>0</v>
      </c>
      <c r="O258" s="15">
        <v>0</v>
      </c>
      <c r="P258" s="15">
        <f t="shared" si="65"/>
        <v>0</v>
      </c>
      <c r="Q258" s="15">
        <v>0</v>
      </c>
      <c r="R258" s="15">
        <f t="shared" si="66"/>
        <v>0</v>
      </c>
      <c r="S258" s="15">
        <v>0</v>
      </c>
      <c r="T258" s="16">
        <v>0</v>
      </c>
      <c r="U258" s="15">
        <v>0</v>
      </c>
      <c r="V258" s="15">
        <v>0</v>
      </c>
      <c r="W258" s="15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46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</row>
    <row r="259" ht="19.5" customHeight="1" spans="2:223">
      <c r="B259" s="11">
        <v>15310211</v>
      </c>
      <c r="C259" s="39" t="s">
        <v>301</v>
      </c>
      <c r="D259" s="15">
        <v>1140001</v>
      </c>
      <c r="E259" s="15">
        <v>13051</v>
      </c>
      <c r="F259" s="15">
        <v>1</v>
      </c>
      <c r="G259" s="15">
        <v>40</v>
      </c>
      <c r="H259" s="16">
        <v>0.2</v>
      </c>
      <c r="I259" s="26">
        <v>15</v>
      </c>
      <c r="J259" s="15">
        <v>0</v>
      </c>
      <c r="K259" s="15">
        <v>0</v>
      </c>
      <c r="L259" s="15">
        <f t="shared" si="64"/>
        <v>290</v>
      </c>
      <c r="M259" s="15">
        <v>580</v>
      </c>
      <c r="N259" s="15">
        <v>0</v>
      </c>
      <c r="O259" s="15">
        <v>0</v>
      </c>
      <c r="P259" s="15">
        <f t="shared" si="65"/>
        <v>0</v>
      </c>
      <c r="Q259" s="15">
        <v>0</v>
      </c>
      <c r="R259" s="15">
        <f t="shared" si="66"/>
        <v>0</v>
      </c>
      <c r="S259" s="15">
        <v>0</v>
      </c>
      <c r="T259" s="16">
        <v>0</v>
      </c>
      <c r="U259" s="15">
        <v>0</v>
      </c>
      <c r="V259" s="15">
        <v>0</v>
      </c>
      <c r="W259" s="15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49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</row>
    <row r="260" ht="20.1" customHeight="1" spans="2:223">
      <c r="B260" s="11">
        <v>15311001</v>
      </c>
      <c r="C260" s="15" t="s">
        <v>302</v>
      </c>
      <c r="D260" s="15">
        <v>1140003</v>
      </c>
      <c r="E260" s="15">
        <v>0</v>
      </c>
      <c r="F260" s="15">
        <v>1</v>
      </c>
      <c r="G260" s="15">
        <v>40</v>
      </c>
      <c r="H260" s="16">
        <v>0.2</v>
      </c>
      <c r="I260" s="26">
        <v>15</v>
      </c>
      <c r="J260" s="15">
        <v>0</v>
      </c>
      <c r="K260" s="15">
        <v>2700</v>
      </c>
      <c r="L260" s="15">
        <f t="shared" si="36"/>
        <v>0</v>
      </c>
      <c r="M260" s="15">
        <v>0</v>
      </c>
      <c r="N260" s="15">
        <v>0</v>
      </c>
      <c r="O260" s="15">
        <v>0</v>
      </c>
      <c r="P260" s="15">
        <f t="shared" si="37"/>
        <v>33</v>
      </c>
      <c r="Q260" s="15">
        <v>65</v>
      </c>
      <c r="R260" s="15">
        <f t="shared" si="38"/>
        <v>33</v>
      </c>
      <c r="S260" s="15">
        <v>65</v>
      </c>
      <c r="T260" s="16">
        <v>0</v>
      </c>
      <c r="U260" s="15">
        <v>0</v>
      </c>
      <c r="V260" s="15">
        <v>0</v>
      </c>
      <c r="W260" s="15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46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</row>
    <row r="261" ht="20.1" customHeight="1" spans="2:223">
      <c r="B261" s="11">
        <v>15311002</v>
      </c>
      <c r="C261" s="15" t="s">
        <v>303</v>
      </c>
      <c r="D261" s="15">
        <v>1140003</v>
      </c>
      <c r="E261" s="15">
        <v>13011</v>
      </c>
      <c r="F261" s="15">
        <v>1</v>
      </c>
      <c r="G261" s="15">
        <v>40</v>
      </c>
      <c r="H261" s="16">
        <v>0.2</v>
      </c>
      <c r="I261" s="26">
        <v>15</v>
      </c>
      <c r="J261" s="15">
        <v>0</v>
      </c>
      <c r="K261" s="15">
        <v>3180</v>
      </c>
      <c r="L261" s="15">
        <f t="shared" si="36"/>
        <v>0</v>
      </c>
      <c r="M261" s="15">
        <v>0</v>
      </c>
      <c r="N261" s="15">
        <v>0</v>
      </c>
      <c r="O261" s="15">
        <v>0</v>
      </c>
      <c r="P261" s="15">
        <f t="shared" si="37"/>
        <v>42</v>
      </c>
      <c r="Q261" s="15">
        <v>83</v>
      </c>
      <c r="R261" s="15">
        <f t="shared" si="38"/>
        <v>42</v>
      </c>
      <c r="S261" s="15">
        <v>83</v>
      </c>
      <c r="T261" s="16">
        <v>0</v>
      </c>
      <c r="U261" s="15">
        <v>0</v>
      </c>
      <c r="V261" s="15">
        <v>0</v>
      </c>
      <c r="W261" s="15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46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</row>
    <row r="262" ht="20.1" customHeight="1" spans="2:223">
      <c r="B262" s="11">
        <v>15311003</v>
      </c>
      <c r="C262" s="15" t="s">
        <v>304</v>
      </c>
      <c r="D262" s="15">
        <v>1140003</v>
      </c>
      <c r="E262" s="15">
        <v>0</v>
      </c>
      <c r="F262" s="15">
        <v>1</v>
      </c>
      <c r="G262" s="15">
        <v>40</v>
      </c>
      <c r="H262" s="16">
        <v>0.2</v>
      </c>
      <c r="I262" s="26">
        <v>15</v>
      </c>
      <c r="J262" s="15">
        <v>0</v>
      </c>
      <c r="K262" s="15">
        <v>1360</v>
      </c>
      <c r="L262" s="15">
        <f t="shared" si="36"/>
        <v>0</v>
      </c>
      <c r="M262" s="15">
        <v>0</v>
      </c>
      <c r="N262" s="15">
        <v>0</v>
      </c>
      <c r="O262" s="15">
        <v>0</v>
      </c>
      <c r="P262" s="15">
        <f t="shared" si="37"/>
        <v>25</v>
      </c>
      <c r="Q262" s="15">
        <v>49</v>
      </c>
      <c r="R262" s="15">
        <f t="shared" si="38"/>
        <v>25</v>
      </c>
      <c r="S262" s="15">
        <v>49</v>
      </c>
      <c r="T262" s="16">
        <v>0</v>
      </c>
      <c r="U262" s="15">
        <v>0</v>
      </c>
      <c r="V262" s="15">
        <v>0</v>
      </c>
      <c r="W262" s="15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46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</row>
    <row r="263" ht="20.1" customHeight="1" spans="2:223">
      <c r="B263" s="11">
        <v>15311004</v>
      </c>
      <c r="C263" s="15" t="s">
        <v>305</v>
      </c>
      <c r="D263" s="15">
        <v>1140003</v>
      </c>
      <c r="E263" s="15">
        <v>13021</v>
      </c>
      <c r="F263" s="15">
        <v>1</v>
      </c>
      <c r="G263" s="15">
        <v>40</v>
      </c>
      <c r="H263" s="16">
        <v>0.2</v>
      </c>
      <c r="I263" s="26">
        <v>15</v>
      </c>
      <c r="J263" s="15">
        <v>0</v>
      </c>
      <c r="K263" s="15">
        <v>1600</v>
      </c>
      <c r="L263" s="15">
        <f t="shared" si="36"/>
        <v>0</v>
      </c>
      <c r="M263" s="15">
        <v>0</v>
      </c>
      <c r="N263" s="15">
        <v>0</v>
      </c>
      <c r="O263" s="15">
        <v>0</v>
      </c>
      <c r="P263" s="15">
        <f t="shared" si="37"/>
        <v>31</v>
      </c>
      <c r="Q263" s="15">
        <v>62</v>
      </c>
      <c r="R263" s="15">
        <f t="shared" si="38"/>
        <v>31</v>
      </c>
      <c r="S263" s="15">
        <v>62</v>
      </c>
      <c r="T263" s="16">
        <v>0</v>
      </c>
      <c r="U263" s="15">
        <v>0</v>
      </c>
      <c r="V263" s="15">
        <v>0</v>
      </c>
      <c r="W263" s="15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46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</row>
    <row r="264" ht="20.1" customHeight="1" spans="2:223">
      <c r="B264" s="11">
        <v>15311005</v>
      </c>
      <c r="C264" s="15" t="s">
        <v>306</v>
      </c>
      <c r="D264" s="15">
        <v>1140003</v>
      </c>
      <c r="E264" s="15">
        <v>0</v>
      </c>
      <c r="F264" s="15">
        <v>1</v>
      </c>
      <c r="G264" s="15">
        <v>40</v>
      </c>
      <c r="H264" s="16">
        <v>0.2</v>
      </c>
      <c r="I264" s="26">
        <v>15</v>
      </c>
      <c r="J264" s="15">
        <v>0</v>
      </c>
      <c r="K264" s="15">
        <v>4050</v>
      </c>
      <c r="L264" s="15">
        <f t="shared" si="36"/>
        <v>0</v>
      </c>
      <c r="M264" s="15">
        <v>0</v>
      </c>
      <c r="N264" s="15">
        <v>0</v>
      </c>
      <c r="O264" s="15">
        <v>0</v>
      </c>
      <c r="P264" s="15">
        <f t="shared" si="37"/>
        <v>41</v>
      </c>
      <c r="Q264" s="15">
        <v>81</v>
      </c>
      <c r="R264" s="15">
        <f t="shared" si="38"/>
        <v>41</v>
      </c>
      <c r="S264" s="15">
        <v>81</v>
      </c>
      <c r="T264" s="16">
        <v>0</v>
      </c>
      <c r="U264" s="15">
        <v>0</v>
      </c>
      <c r="V264" s="15">
        <v>0</v>
      </c>
      <c r="W264" s="15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46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</row>
    <row r="265" ht="20.1" customHeight="1" spans="2:223">
      <c r="B265" s="11">
        <v>15311006</v>
      </c>
      <c r="C265" s="15" t="s">
        <v>307</v>
      </c>
      <c r="D265" s="15">
        <v>1140003</v>
      </c>
      <c r="E265" s="15">
        <v>13031</v>
      </c>
      <c r="F265" s="15">
        <v>1</v>
      </c>
      <c r="G265" s="15">
        <v>40</v>
      </c>
      <c r="H265" s="16">
        <v>0.2</v>
      </c>
      <c r="I265" s="26">
        <v>15</v>
      </c>
      <c r="J265" s="15">
        <v>0</v>
      </c>
      <c r="K265" s="15">
        <v>4770</v>
      </c>
      <c r="L265" s="15">
        <f t="shared" si="36"/>
        <v>0</v>
      </c>
      <c r="M265" s="15">
        <v>0</v>
      </c>
      <c r="N265" s="15">
        <v>0</v>
      </c>
      <c r="O265" s="15">
        <v>0</v>
      </c>
      <c r="P265" s="15">
        <f t="shared" si="37"/>
        <v>52</v>
      </c>
      <c r="Q265" s="15">
        <v>104</v>
      </c>
      <c r="R265" s="15">
        <f t="shared" si="38"/>
        <v>52</v>
      </c>
      <c r="S265" s="15">
        <v>104</v>
      </c>
      <c r="T265" s="16">
        <v>0</v>
      </c>
      <c r="U265" s="15">
        <v>0</v>
      </c>
      <c r="V265" s="15">
        <v>0</v>
      </c>
      <c r="W265" s="15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46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</row>
    <row r="266" ht="20.1" customHeight="1" spans="2:223">
      <c r="B266" s="11">
        <v>15311011</v>
      </c>
      <c r="C266" s="39" t="s">
        <v>308</v>
      </c>
      <c r="D266" s="15">
        <v>1140003</v>
      </c>
      <c r="E266" s="15">
        <v>13011</v>
      </c>
      <c r="F266" s="15">
        <v>1</v>
      </c>
      <c r="G266" s="15">
        <v>40</v>
      </c>
      <c r="H266" s="16">
        <v>0.2</v>
      </c>
      <c r="I266" s="26">
        <v>15</v>
      </c>
      <c r="J266" s="15">
        <v>0</v>
      </c>
      <c r="K266" s="15">
        <v>3660</v>
      </c>
      <c r="L266" s="15">
        <f t="shared" si="36"/>
        <v>0</v>
      </c>
      <c r="M266" s="15">
        <v>0</v>
      </c>
      <c r="N266" s="15">
        <v>0</v>
      </c>
      <c r="O266" s="15">
        <v>0</v>
      </c>
      <c r="P266" s="15">
        <v>47</v>
      </c>
      <c r="Q266" s="15">
        <v>95</v>
      </c>
      <c r="R266" s="15">
        <v>47</v>
      </c>
      <c r="S266" s="15">
        <v>95</v>
      </c>
      <c r="T266" s="16">
        <v>0</v>
      </c>
      <c r="U266" s="15">
        <v>0</v>
      </c>
      <c r="V266" s="15">
        <v>0</v>
      </c>
      <c r="W266" s="15">
        <v>0</v>
      </c>
      <c r="X266" s="16">
        <v>0</v>
      </c>
      <c r="Y266" s="16">
        <v>0</v>
      </c>
      <c r="Z266" s="16">
        <v>0</v>
      </c>
      <c r="AA266" s="16">
        <v>200103</v>
      </c>
      <c r="AB266" s="16">
        <v>500</v>
      </c>
      <c r="AC266" s="16">
        <v>1</v>
      </c>
      <c r="AD266" s="46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</row>
    <row r="267" ht="20.1" customHeight="1" spans="2:223">
      <c r="B267" s="11">
        <v>15311012</v>
      </c>
      <c r="C267" s="39" t="s">
        <v>309</v>
      </c>
      <c r="D267" s="15">
        <v>1140003</v>
      </c>
      <c r="E267" s="15">
        <v>13021</v>
      </c>
      <c r="F267" s="15">
        <v>1</v>
      </c>
      <c r="G267" s="15">
        <v>40</v>
      </c>
      <c r="H267" s="16">
        <v>0.2</v>
      </c>
      <c r="I267" s="26">
        <v>15</v>
      </c>
      <c r="J267" s="15">
        <v>0</v>
      </c>
      <c r="K267" s="15">
        <v>1840</v>
      </c>
      <c r="L267" s="15">
        <f t="shared" si="36"/>
        <v>0</v>
      </c>
      <c r="M267" s="15">
        <v>0</v>
      </c>
      <c r="N267" s="15">
        <v>0</v>
      </c>
      <c r="O267" s="15">
        <v>0</v>
      </c>
      <c r="P267" s="15">
        <v>35</v>
      </c>
      <c r="Q267" s="15">
        <v>72</v>
      </c>
      <c r="R267" s="15">
        <v>35</v>
      </c>
      <c r="S267" s="15">
        <v>72</v>
      </c>
      <c r="T267" s="16">
        <v>0</v>
      </c>
      <c r="U267" s="15">
        <v>0</v>
      </c>
      <c r="V267" s="15">
        <v>0</v>
      </c>
      <c r="W267" s="15">
        <v>0</v>
      </c>
      <c r="X267" s="16">
        <v>0</v>
      </c>
      <c r="Y267" s="16">
        <v>0</v>
      </c>
      <c r="Z267" s="16">
        <v>0</v>
      </c>
      <c r="AA267" s="16">
        <v>100402</v>
      </c>
      <c r="AB267" s="16">
        <v>500</v>
      </c>
      <c r="AC267" s="16">
        <v>1</v>
      </c>
      <c r="AD267" s="46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</row>
    <row r="268" ht="20.1" customHeight="1" spans="2:223">
      <c r="B268" s="11">
        <v>15311013</v>
      </c>
      <c r="C268" s="39" t="s">
        <v>310</v>
      </c>
      <c r="D268" s="15">
        <v>1140003</v>
      </c>
      <c r="E268" s="15">
        <v>13031</v>
      </c>
      <c r="F268" s="15">
        <v>1</v>
      </c>
      <c r="G268" s="15">
        <v>40</v>
      </c>
      <c r="H268" s="16">
        <v>0.2</v>
      </c>
      <c r="I268" s="26">
        <v>15</v>
      </c>
      <c r="J268" s="15">
        <v>0</v>
      </c>
      <c r="K268" s="15">
        <v>5480</v>
      </c>
      <c r="L268" s="15">
        <f t="shared" si="36"/>
        <v>0</v>
      </c>
      <c r="M268" s="15">
        <v>0</v>
      </c>
      <c r="N268" s="15">
        <v>0</v>
      </c>
      <c r="O268" s="15">
        <v>0</v>
      </c>
      <c r="P268" s="15">
        <v>60</v>
      </c>
      <c r="Q268" s="15">
        <v>118</v>
      </c>
      <c r="R268" s="15">
        <v>60</v>
      </c>
      <c r="S268" s="15">
        <v>118</v>
      </c>
      <c r="T268" s="16">
        <v>0</v>
      </c>
      <c r="U268" s="15">
        <v>0</v>
      </c>
      <c r="V268" s="15">
        <v>0</v>
      </c>
      <c r="W268" s="15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46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</row>
    <row r="269" ht="20.1" customHeight="1" spans="2:223">
      <c r="B269" s="11">
        <v>15401001</v>
      </c>
      <c r="C269" s="15" t="s">
        <v>311</v>
      </c>
      <c r="D269" s="15">
        <v>1140003</v>
      </c>
      <c r="E269" s="15">
        <v>0</v>
      </c>
      <c r="F269" s="15">
        <v>1</v>
      </c>
      <c r="G269" s="15">
        <v>50</v>
      </c>
      <c r="H269" s="16">
        <v>0.2</v>
      </c>
      <c r="I269" s="26">
        <v>20</v>
      </c>
      <c r="J269" s="15">
        <v>0</v>
      </c>
      <c r="K269" s="15">
        <v>0</v>
      </c>
      <c r="L269" s="15">
        <f t="shared" si="36"/>
        <v>33</v>
      </c>
      <c r="M269" s="15">
        <v>65</v>
      </c>
      <c r="N269" s="15">
        <v>0</v>
      </c>
      <c r="O269" s="15">
        <v>0</v>
      </c>
      <c r="P269" s="15">
        <f t="shared" si="37"/>
        <v>21</v>
      </c>
      <c r="Q269" s="15">
        <v>42</v>
      </c>
      <c r="R269" s="15">
        <f t="shared" si="38"/>
        <v>21</v>
      </c>
      <c r="S269" s="15">
        <v>42</v>
      </c>
      <c r="T269" s="16">
        <v>0</v>
      </c>
      <c r="U269" s="15">
        <v>0</v>
      </c>
      <c r="V269" s="15">
        <v>0</v>
      </c>
      <c r="W269" s="15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46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</row>
    <row r="270" ht="20.1" customHeight="1" spans="2:223">
      <c r="B270" s="11">
        <v>15401002</v>
      </c>
      <c r="C270" s="44" t="s">
        <v>312</v>
      </c>
      <c r="D270" s="15">
        <v>1140003</v>
      </c>
      <c r="E270" s="15">
        <v>14011</v>
      </c>
      <c r="F270" s="15">
        <v>1</v>
      </c>
      <c r="G270" s="15">
        <v>50</v>
      </c>
      <c r="H270" s="16">
        <v>0.2</v>
      </c>
      <c r="I270" s="26">
        <v>20</v>
      </c>
      <c r="J270" s="15">
        <v>0</v>
      </c>
      <c r="K270" s="15">
        <v>0</v>
      </c>
      <c r="L270" s="15">
        <f t="shared" si="36"/>
        <v>43</v>
      </c>
      <c r="M270" s="15">
        <v>85</v>
      </c>
      <c r="N270" s="15">
        <v>0</v>
      </c>
      <c r="O270" s="15">
        <v>0</v>
      </c>
      <c r="P270" s="15">
        <f t="shared" si="37"/>
        <v>26</v>
      </c>
      <c r="Q270" s="15">
        <v>51</v>
      </c>
      <c r="R270" s="15">
        <f t="shared" si="38"/>
        <v>26</v>
      </c>
      <c r="S270" s="15">
        <v>51</v>
      </c>
      <c r="T270" s="16">
        <v>0</v>
      </c>
      <c r="U270" s="15">
        <v>0</v>
      </c>
      <c r="V270" s="15">
        <v>0</v>
      </c>
      <c r="W270" s="15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46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</row>
    <row r="271" ht="20.1" customHeight="1" spans="2:223">
      <c r="B271" s="11">
        <v>15401003</v>
      </c>
      <c r="C271" s="15" t="s">
        <v>313</v>
      </c>
      <c r="D271" s="15">
        <v>1140003</v>
      </c>
      <c r="E271" s="15">
        <v>0</v>
      </c>
      <c r="F271" s="15">
        <v>1</v>
      </c>
      <c r="G271" s="15">
        <v>50</v>
      </c>
      <c r="H271" s="16">
        <v>0.2</v>
      </c>
      <c r="I271" s="26">
        <v>20</v>
      </c>
      <c r="J271" s="15">
        <v>0</v>
      </c>
      <c r="K271" s="15">
        <v>0</v>
      </c>
      <c r="L271" s="15">
        <f t="shared" si="36"/>
        <v>44</v>
      </c>
      <c r="M271" s="15">
        <v>88</v>
      </c>
      <c r="N271" s="15">
        <v>0</v>
      </c>
      <c r="O271" s="15">
        <v>0</v>
      </c>
      <c r="P271" s="15">
        <f t="shared" si="37"/>
        <v>16</v>
      </c>
      <c r="Q271" s="15">
        <v>32</v>
      </c>
      <c r="R271" s="15">
        <f t="shared" si="38"/>
        <v>16</v>
      </c>
      <c r="S271" s="15">
        <v>32</v>
      </c>
      <c r="T271" s="16">
        <v>0</v>
      </c>
      <c r="U271" s="15">
        <v>0</v>
      </c>
      <c r="V271" s="15">
        <v>0</v>
      </c>
      <c r="W271" s="15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46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</row>
    <row r="272" ht="20.1" customHeight="1" spans="2:223">
      <c r="B272" s="11">
        <v>15401004</v>
      </c>
      <c r="C272" s="44" t="s">
        <v>314</v>
      </c>
      <c r="D272" s="15">
        <v>1140003</v>
      </c>
      <c r="E272" s="15">
        <v>14021</v>
      </c>
      <c r="F272" s="15">
        <v>1</v>
      </c>
      <c r="G272" s="15">
        <v>50</v>
      </c>
      <c r="H272" s="16">
        <v>0.2</v>
      </c>
      <c r="I272" s="26">
        <v>20</v>
      </c>
      <c r="J272" s="15">
        <v>0</v>
      </c>
      <c r="K272" s="15">
        <v>0</v>
      </c>
      <c r="L272" s="15">
        <f t="shared" ref="L272:L350" si="67">ROUND(M272/2,0)</f>
        <v>58</v>
      </c>
      <c r="M272" s="15">
        <v>115</v>
      </c>
      <c r="N272" s="15">
        <v>0</v>
      </c>
      <c r="O272" s="15">
        <v>0</v>
      </c>
      <c r="P272" s="15">
        <f t="shared" ref="P272:P350" si="68">ROUND(Q272/2,0)</f>
        <v>19</v>
      </c>
      <c r="Q272" s="15">
        <v>38</v>
      </c>
      <c r="R272" s="15">
        <f t="shared" ref="R272:R350" si="69">ROUND(S272/2,0)</f>
        <v>19</v>
      </c>
      <c r="S272" s="15">
        <v>38</v>
      </c>
      <c r="T272" s="16">
        <v>0</v>
      </c>
      <c r="U272" s="15">
        <v>0</v>
      </c>
      <c r="V272" s="15">
        <v>0</v>
      </c>
      <c r="W272" s="15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46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</row>
    <row r="273" ht="20.1" customHeight="1" spans="2:223">
      <c r="B273" s="11">
        <v>15401005</v>
      </c>
      <c r="C273" s="15" t="s">
        <v>315</v>
      </c>
      <c r="D273" s="15">
        <v>1140003</v>
      </c>
      <c r="E273" s="15">
        <v>0</v>
      </c>
      <c r="F273" s="15">
        <v>1</v>
      </c>
      <c r="G273" s="15">
        <v>50</v>
      </c>
      <c r="H273" s="16">
        <v>0.2</v>
      </c>
      <c r="I273" s="26">
        <v>20</v>
      </c>
      <c r="J273" s="15">
        <v>0</v>
      </c>
      <c r="K273" s="15">
        <v>0</v>
      </c>
      <c r="L273" s="15">
        <f t="shared" si="67"/>
        <v>25</v>
      </c>
      <c r="M273" s="15">
        <v>49</v>
      </c>
      <c r="N273" s="15">
        <v>0</v>
      </c>
      <c r="O273" s="15">
        <v>0</v>
      </c>
      <c r="P273" s="15">
        <f t="shared" si="68"/>
        <v>27</v>
      </c>
      <c r="Q273" s="15">
        <v>53</v>
      </c>
      <c r="R273" s="15">
        <f t="shared" si="69"/>
        <v>27</v>
      </c>
      <c r="S273" s="15">
        <v>53</v>
      </c>
      <c r="T273" s="16">
        <v>0</v>
      </c>
      <c r="U273" s="15">
        <v>0</v>
      </c>
      <c r="V273" s="15">
        <v>0</v>
      </c>
      <c r="W273" s="15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46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</row>
    <row r="274" ht="20.1" customHeight="1" spans="2:223">
      <c r="B274" s="11">
        <v>15401006</v>
      </c>
      <c r="C274" s="44" t="s">
        <v>316</v>
      </c>
      <c r="D274" s="15">
        <v>1140003</v>
      </c>
      <c r="E274" s="15">
        <v>14031</v>
      </c>
      <c r="F274" s="15">
        <v>1</v>
      </c>
      <c r="G274" s="15">
        <v>50</v>
      </c>
      <c r="H274" s="16">
        <v>0.2</v>
      </c>
      <c r="I274" s="26">
        <v>20</v>
      </c>
      <c r="J274" s="15">
        <v>0</v>
      </c>
      <c r="K274" s="15">
        <v>0</v>
      </c>
      <c r="L274" s="15">
        <f t="shared" si="67"/>
        <v>32</v>
      </c>
      <c r="M274" s="15">
        <v>64</v>
      </c>
      <c r="N274" s="15">
        <v>0</v>
      </c>
      <c r="O274" s="15">
        <v>0</v>
      </c>
      <c r="P274" s="15">
        <f t="shared" si="68"/>
        <v>32</v>
      </c>
      <c r="Q274" s="15">
        <v>64</v>
      </c>
      <c r="R274" s="15">
        <f t="shared" si="69"/>
        <v>32</v>
      </c>
      <c r="S274" s="15">
        <v>64</v>
      </c>
      <c r="T274" s="16">
        <v>0</v>
      </c>
      <c r="U274" s="15">
        <v>0</v>
      </c>
      <c r="V274" s="15">
        <v>0</v>
      </c>
      <c r="W274" s="15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46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</row>
    <row r="275" s="3" customFormat="1" ht="20.1" customHeight="1" spans="2:223">
      <c r="B275" s="20">
        <v>15401007</v>
      </c>
      <c r="C275" s="43" t="s">
        <v>317</v>
      </c>
      <c r="D275" s="22">
        <v>1140003</v>
      </c>
      <c r="E275" s="22">
        <v>0</v>
      </c>
      <c r="F275" s="22">
        <v>1</v>
      </c>
      <c r="G275" s="22">
        <v>50</v>
      </c>
      <c r="H275" s="23">
        <v>0.2</v>
      </c>
      <c r="I275" s="26">
        <v>20</v>
      </c>
      <c r="J275" s="22">
        <v>0</v>
      </c>
      <c r="K275" s="22">
        <v>0</v>
      </c>
      <c r="L275" s="22">
        <f t="shared" ref="L275" si="70">ROUND(M275/2,0)</f>
        <v>40</v>
      </c>
      <c r="M275" s="22">
        <v>80</v>
      </c>
      <c r="N275" s="22">
        <v>0</v>
      </c>
      <c r="O275" s="22">
        <v>0</v>
      </c>
      <c r="P275" s="22">
        <f t="shared" ref="P275" si="71">ROUND(Q275/2,0)</f>
        <v>36</v>
      </c>
      <c r="Q275" s="22">
        <v>72</v>
      </c>
      <c r="R275" s="22">
        <f t="shared" ref="R275" si="72">ROUND(S275/2,0)</f>
        <v>36</v>
      </c>
      <c r="S275" s="22">
        <v>72</v>
      </c>
      <c r="T275" s="23">
        <v>0</v>
      </c>
      <c r="U275" s="22">
        <v>0</v>
      </c>
      <c r="V275" s="22">
        <v>0</v>
      </c>
      <c r="W275" s="22">
        <v>0</v>
      </c>
      <c r="X275" s="23">
        <v>0</v>
      </c>
      <c r="Y275" s="23">
        <v>0</v>
      </c>
      <c r="Z275" s="23">
        <v>0</v>
      </c>
      <c r="AA275" s="23">
        <v>200103</v>
      </c>
      <c r="AB275" s="23">
        <v>300</v>
      </c>
      <c r="AC275" s="23">
        <v>1</v>
      </c>
      <c r="AD275" s="48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35"/>
      <c r="HM275" s="35"/>
      <c r="HN275" s="35"/>
      <c r="HO275" s="35"/>
    </row>
    <row r="276" ht="20.1" customHeight="1" spans="2:223">
      <c r="B276" s="11">
        <v>15402001</v>
      </c>
      <c r="C276" s="15" t="s">
        <v>318</v>
      </c>
      <c r="D276" s="15">
        <v>1140003</v>
      </c>
      <c r="E276" s="15">
        <v>0</v>
      </c>
      <c r="F276" s="15">
        <v>1</v>
      </c>
      <c r="G276" s="15">
        <v>50</v>
      </c>
      <c r="H276" s="16">
        <v>0.2</v>
      </c>
      <c r="I276" s="26">
        <v>20</v>
      </c>
      <c r="J276" s="15">
        <v>0</v>
      </c>
      <c r="K276" s="15">
        <v>0</v>
      </c>
      <c r="L276" s="15">
        <f t="shared" si="67"/>
        <v>45</v>
      </c>
      <c r="M276" s="15">
        <v>90</v>
      </c>
      <c r="N276" s="15">
        <v>0</v>
      </c>
      <c r="O276" s="15">
        <v>0</v>
      </c>
      <c r="P276" s="15">
        <f t="shared" si="68"/>
        <v>0</v>
      </c>
      <c r="Q276" s="15">
        <v>0</v>
      </c>
      <c r="R276" s="15">
        <f t="shared" si="69"/>
        <v>60</v>
      </c>
      <c r="S276" s="15">
        <v>120</v>
      </c>
      <c r="T276" s="16">
        <v>0</v>
      </c>
      <c r="U276" s="15">
        <v>0</v>
      </c>
      <c r="V276" s="15">
        <v>0</v>
      </c>
      <c r="W276" s="15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46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</row>
    <row r="277" ht="20.1" customHeight="1" spans="2:223">
      <c r="B277" s="11">
        <v>15402002</v>
      </c>
      <c r="C277" s="15" t="s">
        <v>319</v>
      </c>
      <c r="D277" s="15">
        <v>1140003</v>
      </c>
      <c r="E277" s="15">
        <v>14011</v>
      </c>
      <c r="F277" s="15">
        <v>1</v>
      </c>
      <c r="G277" s="15">
        <v>50</v>
      </c>
      <c r="H277" s="16">
        <v>0.2</v>
      </c>
      <c r="I277" s="26">
        <v>20</v>
      </c>
      <c r="J277" s="15">
        <v>0</v>
      </c>
      <c r="K277" s="15">
        <v>0</v>
      </c>
      <c r="L277" s="15">
        <f t="shared" si="67"/>
        <v>56</v>
      </c>
      <c r="M277" s="15">
        <v>111</v>
      </c>
      <c r="N277" s="15">
        <v>0</v>
      </c>
      <c r="O277" s="15">
        <v>0</v>
      </c>
      <c r="P277" s="15">
        <f t="shared" si="68"/>
        <v>0</v>
      </c>
      <c r="Q277" s="15">
        <v>0</v>
      </c>
      <c r="R277" s="15">
        <f t="shared" si="69"/>
        <v>77</v>
      </c>
      <c r="S277" s="15">
        <v>153</v>
      </c>
      <c r="T277" s="16">
        <v>0</v>
      </c>
      <c r="U277" s="15">
        <v>0</v>
      </c>
      <c r="V277" s="15">
        <v>0</v>
      </c>
      <c r="W277" s="15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46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</row>
    <row r="278" ht="20.1" customHeight="1" spans="2:223">
      <c r="B278" s="11">
        <v>15402003</v>
      </c>
      <c r="C278" s="15" t="s">
        <v>320</v>
      </c>
      <c r="D278" s="15">
        <v>1140003</v>
      </c>
      <c r="E278" s="15">
        <v>0</v>
      </c>
      <c r="F278" s="15">
        <v>1</v>
      </c>
      <c r="G278" s="15">
        <v>50</v>
      </c>
      <c r="H278" s="16">
        <v>0.2</v>
      </c>
      <c r="I278" s="26">
        <v>20</v>
      </c>
      <c r="J278" s="15">
        <v>0</v>
      </c>
      <c r="K278" s="15">
        <v>0</v>
      </c>
      <c r="L278" s="15">
        <f t="shared" si="67"/>
        <v>61</v>
      </c>
      <c r="M278" s="15">
        <v>122</v>
      </c>
      <c r="N278" s="15">
        <v>0</v>
      </c>
      <c r="O278" s="15">
        <v>0</v>
      </c>
      <c r="P278" s="15">
        <f t="shared" si="68"/>
        <v>0</v>
      </c>
      <c r="Q278" s="15">
        <v>0</v>
      </c>
      <c r="R278" s="15">
        <f t="shared" si="69"/>
        <v>45</v>
      </c>
      <c r="S278" s="15">
        <v>90</v>
      </c>
      <c r="T278" s="16">
        <v>0</v>
      </c>
      <c r="U278" s="15">
        <v>0</v>
      </c>
      <c r="V278" s="15">
        <v>0</v>
      </c>
      <c r="W278" s="15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46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</row>
    <row r="279" ht="20.1" customHeight="1" spans="2:223">
      <c r="B279" s="11">
        <v>15402004</v>
      </c>
      <c r="C279" s="15" t="s">
        <v>321</v>
      </c>
      <c r="D279" s="15">
        <v>1140003</v>
      </c>
      <c r="E279" s="15">
        <v>14021</v>
      </c>
      <c r="F279" s="15">
        <v>1</v>
      </c>
      <c r="G279" s="15">
        <v>50</v>
      </c>
      <c r="H279" s="16">
        <v>0.2</v>
      </c>
      <c r="I279" s="26">
        <v>20</v>
      </c>
      <c r="J279" s="15">
        <v>0</v>
      </c>
      <c r="K279" s="15">
        <v>0</v>
      </c>
      <c r="L279" s="15">
        <f t="shared" si="67"/>
        <v>75</v>
      </c>
      <c r="M279" s="15">
        <v>150</v>
      </c>
      <c r="N279" s="15">
        <v>0</v>
      </c>
      <c r="O279" s="15">
        <v>0</v>
      </c>
      <c r="P279" s="15">
        <f t="shared" si="68"/>
        <v>0</v>
      </c>
      <c r="Q279" s="15">
        <v>0</v>
      </c>
      <c r="R279" s="15">
        <f t="shared" si="69"/>
        <v>58</v>
      </c>
      <c r="S279" s="15">
        <v>115</v>
      </c>
      <c r="T279" s="16">
        <v>0</v>
      </c>
      <c r="U279" s="15">
        <v>0</v>
      </c>
      <c r="V279" s="15">
        <v>0</v>
      </c>
      <c r="W279" s="15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46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</row>
    <row r="280" ht="20.1" customHeight="1" spans="2:223">
      <c r="B280" s="11">
        <v>15402005</v>
      </c>
      <c r="C280" s="15" t="s">
        <v>322</v>
      </c>
      <c r="D280" s="15">
        <v>1140003</v>
      </c>
      <c r="E280" s="15">
        <v>0</v>
      </c>
      <c r="F280" s="15">
        <v>1</v>
      </c>
      <c r="G280" s="15">
        <v>50</v>
      </c>
      <c r="H280" s="16">
        <v>0.2</v>
      </c>
      <c r="I280" s="26">
        <v>20</v>
      </c>
      <c r="J280" s="15">
        <v>0</v>
      </c>
      <c r="K280" s="15">
        <v>0</v>
      </c>
      <c r="L280" s="15">
        <f t="shared" si="67"/>
        <v>34</v>
      </c>
      <c r="M280" s="15">
        <v>68</v>
      </c>
      <c r="N280" s="15">
        <v>0</v>
      </c>
      <c r="O280" s="15">
        <v>0</v>
      </c>
      <c r="P280" s="15">
        <f t="shared" si="68"/>
        <v>0</v>
      </c>
      <c r="Q280" s="15">
        <v>0</v>
      </c>
      <c r="R280" s="15">
        <f t="shared" si="69"/>
        <v>75</v>
      </c>
      <c r="S280" s="15">
        <v>150</v>
      </c>
      <c r="T280" s="16">
        <v>0</v>
      </c>
      <c r="U280" s="15">
        <v>0</v>
      </c>
      <c r="V280" s="15">
        <v>0</v>
      </c>
      <c r="W280" s="15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46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</row>
    <row r="281" ht="20.1" customHeight="1" spans="2:223">
      <c r="B281" s="11">
        <v>15402006</v>
      </c>
      <c r="C281" s="15" t="s">
        <v>323</v>
      </c>
      <c r="D281" s="15">
        <v>1140003</v>
      </c>
      <c r="E281" s="15">
        <v>14031</v>
      </c>
      <c r="F281" s="15">
        <v>1</v>
      </c>
      <c r="G281" s="15">
        <v>50</v>
      </c>
      <c r="H281" s="16">
        <v>0.2</v>
      </c>
      <c r="I281" s="26">
        <v>20</v>
      </c>
      <c r="J281" s="15">
        <v>0</v>
      </c>
      <c r="K281" s="15">
        <v>0</v>
      </c>
      <c r="L281" s="15">
        <f t="shared" si="67"/>
        <v>42</v>
      </c>
      <c r="M281" s="15">
        <v>83</v>
      </c>
      <c r="N281" s="15">
        <v>0</v>
      </c>
      <c r="O281" s="15">
        <v>0</v>
      </c>
      <c r="P281" s="15">
        <f t="shared" si="68"/>
        <v>0</v>
      </c>
      <c r="Q281" s="15">
        <v>0</v>
      </c>
      <c r="R281" s="15">
        <f t="shared" si="69"/>
        <v>96</v>
      </c>
      <c r="S281" s="15">
        <v>191</v>
      </c>
      <c r="T281" s="16">
        <v>0</v>
      </c>
      <c r="U281" s="15">
        <v>0</v>
      </c>
      <c r="V281" s="15">
        <v>0</v>
      </c>
      <c r="W281" s="15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46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</row>
    <row r="282" ht="20.1" customHeight="1" spans="2:223">
      <c r="B282" s="11">
        <v>15403001</v>
      </c>
      <c r="C282" s="15" t="s">
        <v>324</v>
      </c>
      <c r="D282" s="15">
        <v>1140003</v>
      </c>
      <c r="E282" s="15">
        <v>0</v>
      </c>
      <c r="F282" s="15">
        <v>1</v>
      </c>
      <c r="G282" s="15">
        <v>50</v>
      </c>
      <c r="H282" s="16">
        <v>0.2</v>
      </c>
      <c r="I282" s="26">
        <v>20</v>
      </c>
      <c r="J282" s="15">
        <v>0</v>
      </c>
      <c r="K282" s="15">
        <v>1480</v>
      </c>
      <c r="L282" s="15">
        <f t="shared" si="67"/>
        <v>25</v>
      </c>
      <c r="M282" s="15">
        <v>50</v>
      </c>
      <c r="N282" s="15">
        <v>0</v>
      </c>
      <c r="O282" s="15">
        <v>0</v>
      </c>
      <c r="P282" s="15">
        <f t="shared" si="68"/>
        <v>43</v>
      </c>
      <c r="Q282" s="15">
        <v>85</v>
      </c>
      <c r="R282" s="15">
        <f t="shared" si="69"/>
        <v>0</v>
      </c>
      <c r="S282" s="15">
        <v>0</v>
      </c>
      <c r="T282" s="16">
        <v>0</v>
      </c>
      <c r="U282" s="15">
        <v>0</v>
      </c>
      <c r="V282" s="15">
        <v>0</v>
      </c>
      <c r="W282" s="15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46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</row>
    <row r="283" ht="20.1" customHeight="1" spans="2:223">
      <c r="B283" s="11">
        <v>15403002</v>
      </c>
      <c r="C283" s="15" t="s">
        <v>325</v>
      </c>
      <c r="D283" s="15">
        <v>1140003</v>
      </c>
      <c r="E283" s="15">
        <v>14011</v>
      </c>
      <c r="F283" s="15">
        <v>1</v>
      </c>
      <c r="G283" s="15">
        <v>50</v>
      </c>
      <c r="H283" s="16">
        <v>0.2</v>
      </c>
      <c r="I283" s="26">
        <v>20</v>
      </c>
      <c r="J283" s="15">
        <v>0</v>
      </c>
      <c r="K283" s="15">
        <v>1785</v>
      </c>
      <c r="L283" s="15">
        <f t="shared" si="67"/>
        <v>30</v>
      </c>
      <c r="M283" s="15">
        <v>60</v>
      </c>
      <c r="N283" s="15">
        <v>0</v>
      </c>
      <c r="O283" s="15">
        <v>0</v>
      </c>
      <c r="P283" s="15">
        <f t="shared" si="68"/>
        <v>51</v>
      </c>
      <c r="Q283" s="15">
        <v>102</v>
      </c>
      <c r="R283" s="15">
        <f t="shared" si="69"/>
        <v>0</v>
      </c>
      <c r="S283" s="15">
        <v>0</v>
      </c>
      <c r="T283" s="16">
        <v>0</v>
      </c>
      <c r="U283" s="15">
        <v>0</v>
      </c>
      <c r="V283" s="15">
        <v>0</v>
      </c>
      <c r="W283" s="15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46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</row>
    <row r="284" ht="20.1" customHeight="1" spans="2:223">
      <c r="B284" s="11">
        <v>15403003</v>
      </c>
      <c r="C284" s="15" t="s">
        <v>326</v>
      </c>
      <c r="D284" s="15">
        <v>1140003</v>
      </c>
      <c r="E284" s="15">
        <v>0</v>
      </c>
      <c r="F284" s="15">
        <v>1</v>
      </c>
      <c r="G284" s="15">
        <v>50</v>
      </c>
      <c r="H284" s="16">
        <v>0.2</v>
      </c>
      <c r="I284" s="26">
        <v>20</v>
      </c>
      <c r="J284" s="15">
        <v>0</v>
      </c>
      <c r="K284" s="15">
        <v>740</v>
      </c>
      <c r="L284" s="15">
        <f t="shared" si="67"/>
        <v>34</v>
      </c>
      <c r="M284" s="15">
        <v>68</v>
      </c>
      <c r="N284" s="15">
        <v>0</v>
      </c>
      <c r="O284" s="15">
        <v>0</v>
      </c>
      <c r="P284" s="15">
        <f t="shared" si="68"/>
        <v>32</v>
      </c>
      <c r="Q284" s="15">
        <v>64</v>
      </c>
      <c r="R284" s="15">
        <f t="shared" si="69"/>
        <v>0</v>
      </c>
      <c r="S284" s="15">
        <v>0</v>
      </c>
      <c r="T284" s="16">
        <v>0</v>
      </c>
      <c r="U284" s="15">
        <v>0</v>
      </c>
      <c r="V284" s="15">
        <v>0</v>
      </c>
      <c r="W284" s="15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46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</row>
    <row r="285" ht="20.1" customHeight="1" spans="2:223">
      <c r="B285" s="11">
        <v>15403004</v>
      </c>
      <c r="C285" s="15" t="s">
        <v>327</v>
      </c>
      <c r="D285" s="15">
        <v>1140003</v>
      </c>
      <c r="E285" s="15">
        <v>14021</v>
      </c>
      <c r="F285" s="15">
        <v>1</v>
      </c>
      <c r="G285" s="15">
        <v>50</v>
      </c>
      <c r="H285" s="16">
        <v>0.2</v>
      </c>
      <c r="I285" s="26">
        <v>20</v>
      </c>
      <c r="J285" s="15">
        <v>0</v>
      </c>
      <c r="K285" s="15">
        <v>890</v>
      </c>
      <c r="L285" s="15">
        <f t="shared" si="67"/>
        <v>41</v>
      </c>
      <c r="M285" s="15">
        <v>81</v>
      </c>
      <c r="N285" s="15">
        <v>0</v>
      </c>
      <c r="O285" s="15">
        <v>0</v>
      </c>
      <c r="P285" s="15">
        <f t="shared" si="68"/>
        <v>39</v>
      </c>
      <c r="Q285" s="15">
        <v>77</v>
      </c>
      <c r="R285" s="15">
        <f t="shared" si="69"/>
        <v>0</v>
      </c>
      <c r="S285" s="15">
        <v>0</v>
      </c>
      <c r="T285" s="16">
        <v>0</v>
      </c>
      <c r="U285" s="15">
        <v>0</v>
      </c>
      <c r="V285" s="15">
        <v>0</v>
      </c>
      <c r="W285" s="15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46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</row>
    <row r="286" ht="20.1" customHeight="1" spans="2:223">
      <c r="B286" s="11">
        <v>15403005</v>
      </c>
      <c r="C286" s="15" t="s">
        <v>328</v>
      </c>
      <c r="D286" s="15">
        <v>1140003</v>
      </c>
      <c r="E286" s="15">
        <v>0</v>
      </c>
      <c r="F286" s="15">
        <v>1</v>
      </c>
      <c r="G286" s="15">
        <v>50</v>
      </c>
      <c r="H286" s="16">
        <v>0.2</v>
      </c>
      <c r="I286" s="26">
        <v>20</v>
      </c>
      <c r="J286" s="15">
        <v>0</v>
      </c>
      <c r="K286" s="15">
        <v>2220</v>
      </c>
      <c r="L286" s="15">
        <f t="shared" si="67"/>
        <v>19</v>
      </c>
      <c r="M286" s="15">
        <v>38</v>
      </c>
      <c r="N286" s="15">
        <v>0</v>
      </c>
      <c r="O286" s="15">
        <v>0</v>
      </c>
      <c r="P286" s="15">
        <f t="shared" si="68"/>
        <v>53</v>
      </c>
      <c r="Q286" s="15">
        <v>106</v>
      </c>
      <c r="R286" s="15">
        <f t="shared" si="69"/>
        <v>0</v>
      </c>
      <c r="S286" s="15">
        <v>0</v>
      </c>
      <c r="T286" s="16">
        <v>0</v>
      </c>
      <c r="U286" s="15">
        <v>0</v>
      </c>
      <c r="V286" s="15">
        <v>0</v>
      </c>
      <c r="W286" s="15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46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</row>
    <row r="287" ht="20.1" customHeight="1" spans="2:223">
      <c r="B287" s="11">
        <v>15403006</v>
      </c>
      <c r="C287" s="15" t="s">
        <v>329</v>
      </c>
      <c r="D287" s="15">
        <v>1140003</v>
      </c>
      <c r="E287" s="15">
        <v>14031</v>
      </c>
      <c r="F287" s="15">
        <v>1</v>
      </c>
      <c r="G287" s="15">
        <v>50</v>
      </c>
      <c r="H287" s="16">
        <v>0.2</v>
      </c>
      <c r="I287" s="26">
        <v>20</v>
      </c>
      <c r="J287" s="15">
        <v>0</v>
      </c>
      <c r="K287" s="15">
        <v>2680</v>
      </c>
      <c r="L287" s="15">
        <f t="shared" si="67"/>
        <v>23</v>
      </c>
      <c r="M287" s="15">
        <v>45</v>
      </c>
      <c r="N287" s="15">
        <v>0</v>
      </c>
      <c r="O287" s="15">
        <v>0</v>
      </c>
      <c r="P287" s="15">
        <f t="shared" si="68"/>
        <v>64</v>
      </c>
      <c r="Q287" s="15">
        <v>128</v>
      </c>
      <c r="R287" s="15">
        <f t="shared" si="69"/>
        <v>0</v>
      </c>
      <c r="S287" s="15">
        <v>0</v>
      </c>
      <c r="T287" s="16">
        <v>0</v>
      </c>
      <c r="U287" s="15">
        <v>0</v>
      </c>
      <c r="V287" s="15">
        <v>0</v>
      </c>
      <c r="W287" s="15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46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</row>
    <row r="288" ht="20.1" customHeight="1" spans="2:223">
      <c r="B288" s="11">
        <v>15404001</v>
      </c>
      <c r="C288" s="15" t="s">
        <v>330</v>
      </c>
      <c r="D288" s="15">
        <v>1140003</v>
      </c>
      <c r="E288" s="15">
        <v>0</v>
      </c>
      <c r="F288" s="15">
        <v>1</v>
      </c>
      <c r="G288" s="15">
        <v>50</v>
      </c>
      <c r="H288" s="16">
        <v>0.2</v>
      </c>
      <c r="I288" s="26">
        <v>20</v>
      </c>
      <c r="J288" s="15">
        <v>0</v>
      </c>
      <c r="K288" s="15">
        <v>0</v>
      </c>
      <c r="L288" s="15">
        <f t="shared" si="67"/>
        <v>38</v>
      </c>
      <c r="M288" s="15">
        <v>75</v>
      </c>
      <c r="N288" s="15">
        <v>0</v>
      </c>
      <c r="O288" s="15">
        <v>0</v>
      </c>
      <c r="P288" s="15">
        <f t="shared" si="68"/>
        <v>40</v>
      </c>
      <c r="Q288" s="15">
        <v>80</v>
      </c>
      <c r="R288" s="15">
        <f t="shared" si="69"/>
        <v>40</v>
      </c>
      <c r="S288" s="15">
        <v>80</v>
      </c>
      <c r="T288" s="16">
        <v>0</v>
      </c>
      <c r="U288" s="15">
        <v>0</v>
      </c>
      <c r="V288" s="15">
        <v>0</v>
      </c>
      <c r="W288" s="15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46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</row>
    <row r="289" ht="20.1" customHeight="1" spans="2:223">
      <c r="B289" s="11">
        <v>15404002</v>
      </c>
      <c r="C289" s="15" t="s">
        <v>331</v>
      </c>
      <c r="D289" s="15">
        <v>1140003</v>
      </c>
      <c r="E289" s="15">
        <v>14011</v>
      </c>
      <c r="F289" s="15">
        <v>1</v>
      </c>
      <c r="G289" s="15">
        <v>50</v>
      </c>
      <c r="H289" s="16">
        <v>0.2</v>
      </c>
      <c r="I289" s="26">
        <v>20</v>
      </c>
      <c r="J289" s="15">
        <v>0</v>
      </c>
      <c r="K289" s="15">
        <v>0</v>
      </c>
      <c r="L289" s="15">
        <f t="shared" si="67"/>
        <v>47</v>
      </c>
      <c r="M289" s="15">
        <v>94</v>
      </c>
      <c r="N289" s="15">
        <v>0</v>
      </c>
      <c r="O289" s="15">
        <v>0</v>
      </c>
      <c r="P289" s="15">
        <f t="shared" si="68"/>
        <v>51</v>
      </c>
      <c r="Q289" s="15">
        <v>102</v>
      </c>
      <c r="R289" s="15">
        <f t="shared" si="69"/>
        <v>51</v>
      </c>
      <c r="S289" s="15">
        <v>102</v>
      </c>
      <c r="T289" s="16">
        <v>0</v>
      </c>
      <c r="U289" s="15">
        <v>0</v>
      </c>
      <c r="V289" s="15">
        <v>0</v>
      </c>
      <c r="W289" s="15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46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</row>
    <row r="290" ht="20.1" customHeight="1" spans="2:223">
      <c r="B290" s="11">
        <v>15404003</v>
      </c>
      <c r="C290" s="15" t="s">
        <v>332</v>
      </c>
      <c r="D290" s="15">
        <v>1140003</v>
      </c>
      <c r="E290" s="15">
        <v>0</v>
      </c>
      <c r="F290" s="15">
        <v>1</v>
      </c>
      <c r="G290" s="15">
        <v>50</v>
      </c>
      <c r="H290" s="16">
        <v>0.2</v>
      </c>
      <c r="I290" s="26">
        <v>20</v>
      </c>
      <c r="J290" s="15">
        <v>0</v>
      </c>
      <c r="K290" s="15">
        <v>0</v>
      </c>
      <c r="L290" s="15">
        <f t="shared" si="67"/>
        <v>51</v>
      </c>
      <c r="M290" s="15">
        <v>101</v>
      </c>
      <c r="N290" s="15">
        <v>0</v>
      </c>
      <c r="O290" s="15">
        <v>0</v>
      </c>
      <c r="P290" s="15">
        <f t="shared" si="68"/>
        <v>30</v>
      </c>
      <c r="Q290" s="15">
        <v>60</v>
      </c>
      <c r="R290" s="15">
        <f t="shared" si="69"/>
        <v>30</v>
      </c>
      <c r="S290" s="15">
        <v>60</v>
      </c>
      <c r="T290" s="16">
        <v>0</v>
      </c>
      <c r="U290" s="15">
        <v>0</v>
      </c>
      <c r="V290" s="15">
        <v>0</v>
      </c>
      <c r="W290" s="15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46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</row>
    <row r="291" ht="20.1" customHeight="1" spans="2:223">
      <c r="B291" s="11">
        <v>15404004</v>
      </c>
      <c r="C291" s="15" t="s">
        <v>333</v>
      </c>
      <c r="D291" s="15">
        <v>1140003</v>
      </c>
      <c r="E291" s="15">
        <v>14021</v>
      </c>
      <c r="F291" s="15">
        <v>1</v>
      </c>
      <c r="G291" s="15">
        <v>50</v>
      </c>
      <c r="H291" s="16">
        <v>0.2</v>
      </c>
      <c r="I291" s="26">
        <v>20</v>
      </c>
      <c r="J291" s="15">
        <v>0</v>
      </c>
      <c r="K291" s="15">
        <v>0</v>
      </c>
      <c r="L291" s="15">
        <f t="shared" si="67"/>
        <v>64</v>
      </c>
      <c r="M291" s="15">
        <v>127</v>
      </c>
      <c r="N291" s="15">
        <v>0</v>
      </c>
      <c r="O291" s="15">
        <v>0</v>
      </c>
      <c r="P291" s="15">
        <f t="shared" si="68"/>
        <v>39</v>
      </c>
      <c r="Q291" s="15">
        <v>77</v>
      </c>
      <c r="R291" s="15">
        <f t="shared" si="69"/>
        <v>39</v>
      </c>
      <c r="S291" s="15">
        <v>77</v>
      </c>
      <c r="T291" s="16">
        <v>0</v>
      </c>
      <c r="U291" s="15">
        <v>0</v>
      </c>
      <c r="V291" s="15">
        <v>0</v>
      </c>
      <c r="W291" s="15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46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</row>
    <row r="292" ht="20.1" customHeight="1" spans="2:223">
      <c r="B292" s="11">
        <v>15404005</v>
      </c>
      <c r="C292" s="15" t="s">
        <v>334</v>
      </c>
      <c r="D292" s="15">
        <v>1140003</v>
      </c>
      <c r="E292" s="15">
        <v>0</v>
      </c>
      <c r="F292" s="15">
        <v>1</v>
      </c>
      <c r="G292" s="15">
        <v>50</v>
      </c>
      <c r="H292" s="16">
        <v>0.2</v>
      </c>
      <c r="I292" s="26">
        <v>20</v>
      </c>
      <c r="J292" s="15">
        <v>0</v>
      </c>
      <c r="K292" s="15">
        <v>0</v>
      </c>
      <c r="L292" s="15">
        <f t="shared" si="67"/>
        <v>28</v>
      </c>
      <c r="M292" s="15">
        <v>56</v>
      </c>
      <c r="N292" s="15">
        <v>0</v>
      </c>
      <c r="O292" s="15">
        <v>0</v>
      </c>
      <c r="P292" s="15">
        <f t="shared" si="68"/>
        <v>50</v>
      </c>
      <c r="Q292" s="15">
        <v>100</v>
      </c>
      <c r="R292" s="15">
        <f t="shared" si="69"/>
        <v>50</v>
      </c>
      <c r="S292" s="15">
        <v>100</v>
      </c>
      <c r="T292" s="16">
        <v>0</v>
      </c>
      <c r="U292" s="15">
        <v>0</v>
      </c>
      <c r="V292" s="15">
        <v>0</v>
      </c>
      <c r="W292" s="15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46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</row>
    <row r="293" ht="20.1" customHeight="1" spans="2:223">
      <c r="B293" s="11">
        <v>15404006</v>
      </c>
      <c r="C293" s="15" t="s">
        <v>335</v>
      </c>
      <c r="D293" s="15">
        <v>1140003</v>
      </c>
      <c r="E293" s="15">
        <v>14031</v>
      </c>
      <c r="F293" s="15">
        <v>1</v>
      </c>
      <c r="G293" s="15">
        <v>50</v>
      </c>
      <c r="H293" s="16">
        <v>0.2</v>
      </c>
      <c r="I293" s="26">
        <v>20</v>
      </c>
      <c r="J293" s="15">
        <v>0</v>
      </c>
      <c r="K293" s="15">
        <v>0</v>
      </c>
      <c r="L293" s="15">
        <f t="shared" si="67"/>
        <v>36</v>
      </c>
      <c r="M293" s="15">
        <v>71</v>
      </c>
      <c r="N293" s="15">
        <v>0</v>
      </c>
      <c r="O293" s="15">
        <v>0</v>
      </c>
      <c r="P293" s="15">
        <f t="shared" si="68"/>
        <v>64</v>
      </c>
      <c r="Q293" s="15">
        <v>128</v>
      </c>
      <c r="R293" s="15">
        <f t="shared" si="69"/>
        <v>64</v>
      </c>
      <c r="S293" s="15">
        <v>128</v>
      </c>
      <c r="T293" s="16">
        <v>0</v>
      </c>
      <c r="U293" s="15">
        <v>0</v>
      </c>
      <c r="V293" s="15">
        <v>0</v>
      </c>
      <c r="W293" s="15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46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</row>
    <row r="294" ht="20.1" customHeight="1" spans="2:223">
      <c r="B294" s="11">
        <v>15405001</v>
      </c>
      <c r="C294" s="15" t="s">
        <v>336</v>
      </c>
      <c r="D294" s="15">
        <v>1140003</v>
      </c>
      <c r="E294" s="15">
        <v>0</v>
      </c>
      <c r="F294" s="15">
        <v>1</v>
      </c>
      <c r="G294" s="15">
        <v>50</v>
      </c>
      <c r="H294" s="16">
        <v>0.2</v>
      </c>
      <c r="I294" s="26">
        <v>20</v>
      </c>
      <c r="J294" s="15">
        <v>0</v>
      </c>
      <c r="K294" s="15">
        <v>3580</v>
      </c>
      <c r="L294" s="15">
        <f t="shared" si="67"/>
        <v>53</v>
      </c>
      <c r="M294" s="15">
        <v>105</v>
      </c>
      <c r="N294" s="15">
        <v>0</v>
      </c>
      <c r="O294" s="15">
        <v>0</v>
      </c>
      <c r="P294" s="15">
        <f t="shared" si="68"/>
        <v>21</v>
      </c>
      <c r="Q294" s="15">
        <v>42</v>
      </c>
      <c r="R294" s="15">
        <f t="shared" si="69"/>
        <v>0</v>
      </c>
      <c r="S294" s="15">
        <v>0</v>
      </c>
      <c r="T294" s="16">
        <v>0</v>
      </c>
      <c r="U294" s="15">
        <v>0</v>
      </c>
      <c r="V294" s="15">
        <v>0</v>
      </c>
      <c r="W294" s="15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46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</row>
    <row r="295" ht="20.1" customHeight="1" spans="2:223">
      <c r="B295" s="11">
        <v>15405002</v>
      </c>
      <c r="C295" s="15" t="s">
        <v>337</v>
      </c>
      <c r="D295" s="15">
        <v>1140003</v>
      </c>
      <c r="E295" s="15">
        <v>14011</v>
      </c>
      <c r="F295" s="15">
        <v>1</v>
      </c>
      <c r="G295" s="15">
        <v>50</v>
      </c>
      <c r="H295" s="16">
        <v>0.2</v>
      </c>
      <c r="I295" s="26">
        <v>20</v>
      </c>
      <c r="J295" s="15">
        <v>0</v>
      </c>
      <c r="K295" s="15">
        <v>4450</v>
      </c>
      <c r="L295" s="15">
        <f t="shared" si="67"/>
        <v>64</v>
      </c>
      <c r="M295" s="15">
        <v>128</v>
      </c>
      <c r="N295" s="15">
        <v>0</v>
      </c>
      <c r="O295" s="15">
        <v>0</v>
      </c>
      <c r="P295" s="15">
        <f t="shared" si="68"/>
        <v>26</v>
      </c>
      <c r="Q295" s="15">
        <v>51</v>
      </c>
      <c r="R295" s="15">
        <f t="shared" si="69"/>
        <v>0</v>
      </c>
      <c r="S295" s="15">
        <v>0</v>
      </c>
      <c r="T295" s="16">
        <v>0</v>
      </c>
      <c r="U295" s="15">
        <v>0</v>
      </c>
      <c r="V295" s="15">
        <v>0</v>
      </c>
      <c r="W295" s="15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46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</row>
    <row r="296" ht="20.1" customHeight="1" spans="2:223">
      <c r="B296" s="11">
        <v>15405003</v>
      </c>
      <c r="C296" s="15" t="s">
        <v>338</v>
      </c>
      <c r="D296" s="15">
        <v>1140003</v>
      </c>
      <c r="E296" s="15">
        <v>0</v>
      </c>
      <c r="F296" s="15">
        <v>1</v>
      </c>
      <c r="G296" s="15">
        <v>50</v>
      </c>
      <c r="H296" s="16">
        <v>0.2</v>
      </c>
      <c r="I296" s="26">
        <v>20</v>
      </c>
      <c r="J296" s="15">
        <v>0</v>
      </c>
      <c r="K296" s="15">
        <v>1790</v>
      </c>
      <c r="L296" s="15">
        <f t="shared" si="67"/>
        <v>71</v>
      </c>
      <c r="M296" s="15">
        <v>142</v>
      </c>
      <c r="N296" s="15">
        <v>0</v>
      </c>
      <c r="O296" s="15">
        <v>0</v>
      </c>
      <c r="P296" s="15">
        <f t="shared" si="68"/>
        <v>16</v>
      </c>
      <c r="Q296" s="15">
        <v>32</v>
      </c>
      <c r="R296" s="15">
        <f t="shared" si="69"/>
        <v>0</v>
      </c>
      <c r="S296" s="15">
        <v>0</v>
      </c>
      <c r="T296" s="16">
        <v>0</v>
      </c>
      <c r="U296" s="15">
        <v>0</v>
      </c>
      <c r="V296" s="15">
        <v>0</v>
      </c>
      <c r="W296" s="15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46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</row>
    <row r="297" ht="20.1" customHeight="1" spans="2:223">
      <c r="B297" s="11">
        <v>15405004</v>
      </c>
      <c r="C297" s="15" t="s">
        <v>339</v>
      </c>
      <c r="D297" s="15">
        <v>1140003</v>
      </c>
      <c r="E297" s="15">
        <v>14021</v>
      </c>
      <c r="F297" s="15">
        <v>1</v>
      </c>
      <c r="G297" s="15">
        <v>50</v>
      </c>
      <c r="H297" s="16">
        <v>0.2</v>
      </c>
      <c r="I297" s="26">
        <v>20</v>
      </c>
      <c r="J297" s="15">
        <v>0</v>
      </c>
      <c r="K297" s="15">
        <v>2230</v>
      </c>
      <c r="L297" s="15">
        <f t="shared" si="67"/>
        <v>87</v>
      </c>
      <c r="M297" s="15">
        <v>173</v>
      </c>
      <c r="N297" s="15">
        <v>0</v>
      </c>
      <c r="O297" s="15">
        <v>0</v>
      </c>
      <c r="P297" s="15">
        <f t="shared" si="68"/>
        <v>19</v>
      </c>
      <c r="Q297" s="15">
        <v>38</v>
      </c>
      <c r="R297" s="15">
        <f t="shared" si="69"/>
        <v>0</v>
      </c>
      <c r="S297" s="15">
        <v>0</v>
      </c>
      <c r="T297" s="16">
        <v>0</v>
      </c>
      <c r="U297" s="15">
        <v>0</v>
      </c>
      <c r="V297" s="15">
        <v>0</v>
      </c>
      <c r="W297" s="15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46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</row>
    <row r="298" ht="20.1" customHeight="1" spans="2:223">
      <c r="B298" s="11">
        <v>15405005</v>
      </c>
      <c r="C298" s="15" t="s">
        <v>340</v>
      </c>
      <c r="D298" s="15">
        <v>1140003</v>
      </c>
      <c r="E298" s="15">
        <v>0</v>
      </c>
      <c r="F298" s="15">
        <v>1</v>
      </c>
      <c r="G298" s="15">
        <v>50</v>
      </c>
      <c r="H298" s="16">
        <v>0.2</v>
      </c>
      <c r="I298" s="26">
        <v>20</v>
      </c>
      <c r="J298" s="15">
        <v>0</v>
      </c>
      <c r="K298" s="15">
        <v>5370</v>
      </c>
      <c r="L298" s="15">
        <f t="shared" si="67"/>
        <v>40</v>
      </c>
      <c r="M298" s="15">
        <v>79</v>
      </c>
      <c r="N298" s="15">
        <v>0</v>
      </c>
      <c r="O298" s="15">
        <v>0</v>
      </c>
      <c r="P298" s="15">
        <f t="shared" si="68"/>
        <v>27</v>
      </c>
      <c r="Q298" s="15">
        <v>53</v>
      </c>
      <c r="R298" s="15">
        <f t="shared" si="69"/>
        <v>0</v>
      </c>
      <c r="S298" s="15">
        <v>0</v>
      </c>
      <c r="T298" s="16">
        <v>0</v>
      </c>
      <c r="U298" s="15">
        <v>0</v>
      </c>
      <c r="V298" s="15">
        <v>0</v>
      </c>
      <c r="W298" s="15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46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</row>
    <row r="299" ht="20.1" customHeight="1" spans="2:223">
      <c r="B299" s="11">
        <v>15405006</v>
      </c>
      <c r="C299" s="15" t="s">
        <v>341</v>
      </c>
      <c r="D299" s="15">
        <v>1140003</v>
      </c>
      <c r="E299" s="15">
        <v>14031</v>
      </c>
      <c r="F299" s="15">
        <v>1</v>
      </c>
      <c r="G299" s="15">
        <v>50</v>
      </c>
      <c r="H299" s="16">
        <v>0.2</v>
      </c>
      <c r="I299" s="26">
        <v>20</v>
      </c>
      <c r="J299" s="15">
        <v>0</v>
      </c>
      <c r="K299" s="15">
        <v>6680</v>
      </c>
      <c r="L299" s="15">
        <f t="shared" si="67"/>
        <v>48</v>
      </c>
      <c r="M299" s="15">
        <v>96</v>
      </c>
      <c r="N299" s="15">
        <v>0</v>
      </c>
      <c r="O299" s="15">
        <v>0</v>
      </c>
      <c r="P299" s="15">
        <f t="shared" si="68"/>
        <v>32</v>
      </c>
      <c r="Q299" s="15">
        <v>64</v>
      </c>
      <c r="R299" s="15">
        <f t="shared" si="69"/>
        <v>0</v>
      </c>
      <c r="S299" s="15">
        <v>0</v>
      </c>
      <c r="T299" s="16">
        <v>0</v>
      </c>
      <c r="U299" s="15">
        <v>0</v>
      </c>
      <c r="V299" s="15">
        <v>0</v>
      </c>
      <c r="W299" s="15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46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</row>
    <row r="300" ht="20.1" customHeight="1" spans="2:223">
      <c r="B300" s="11">
        <v>15406001</v>
      </c>
      <c r="C300" s="15" t="s">
        <v>342</v>
      </c>
      <c r="D300" s="15">
        <v>1140002</v>
      </c>
      <c r="E300" s="15">
        <v>0</v>
      </c>
      <c r="F300" s="15">
        <v>1</v>
      </c>
      <c r="G300" s="15">
        <v>50</v>
      </c>
      <c r="H300" s="16">
        <v>0.2</v>
      </c>
      <c r="I300" s="26">
        <v>20</v>
      </c>
      <c r="J300" s="15">
        <v>0</v>
      </c>
      <c r="K300" s="15">
        <v>0</v>
      </c>
      <c r="L300" s="15">
        <f t="shared" si="67"/>
        <v>100</v>
      </c>
      <c r="M300" s="15">
        <v>200</v>
      </c>
      <c r="N300" s="15">
        <v>0</v>
      </c>
      <c r="O300" s="15">
        <v>0</v>
      </c>
      <c r="P300" s="15">
        <f t="shared" si="68"/>
        <v>31</v>
      </c>
      <c r="Q300" s="15">
        <v>62</v>
      </c>
      <c r="R300" s="15">
        <f t="shared" si="69"/>
        <v>0</v>
      </c>
      <c r="S300" s="15">
        <v>0</v>
      </c>
      <c r="T300" s="16">
        <v>0</v>
      </c>
      <c r="U300" s="15">
        <v>0</v>
      </c>
      <c r="V300" s="15">
        <v>0</v>
      </c>
      <c r="W300" s="15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46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</row>
    <row r="301" ht="20.1" customHeight="1" spans="2:223">
      <c r="B301" s="11">
        <v>15406002</v>
      </c>
      <c r="C301" s="15" t="s">
        <v>343</v>
      </c>
      <c r="D301" s="15">
        <v>1140002</v>
      </c>
      <c r="E301" s="15">
        <v>0</v>
      </c>
      <c r="F301" s="15">
        <v>1</v>
      </c>
      <c r="G301" s="15">
        <v>50</v>
      </c>
      <c r="H301" s="16">
        <v>0.2</v>
      </c>
      <c r="I301" s="26">
        <v>20</v>
      </c>
      <c r="J301" s="15">
        <v>0</v>
      </c>
      <c r="K301" s="15">
        <v>0</v>
      </c>
      <c r="L301" s="15">
        <f t="shared" si="67"/>
        <v>128</v>
      </c>
      <c r="M301" s="15">
        <v>255</v>
      </c>
      <c r="N301" s="15">
        <v>0</v>
      </c>
      <c r="O301" s="15">
        <v>0</v>
      </c>
      <c r="P301" s="15">
        <f t="shared" si="68"/>
        <v>39</v>
      </c>
      <c r="Q301" s="15">
        <v>77</v>
      </c>
      <c r="R301" s="15">
        <f t="shared" si="69"/>
        <v>0</v>
      </c>
      <c r="S301" s="15">
        <v>0</v>
      </c>
      <c r="T301" s="16">
        <v>0</v>
      </c>
      <c r="U301" s="15">
        <v>0</v>
      </c>
      <c r="V301" s="15">
        <v>0</v>
      </c>
      <c r="W301" s="15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46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</row>
    <row r="302" ht="20.1" customHeight="1" spans="2:223">
      <c r="B302" s="11">
        <v>15406003</v>
      </c>
      <c r="C302" s="39" t="s">
        <v>344</v>
      </c>
      <c r="D302" s="15">
        <v>1140002</v>
      </c>
      <c r="E302" s="15">
        <v>14051</v>
      </c>
      <c r="F302" s="15">
        <v>1</v>
      </c>
      <c r="G302" s="15">
        <v>50</v>
      </c>
      <c r="H302" s="16">
        <v>0.2</v>
      </c>
      <c r="I302" s="26">
        <v>20</v>
      </c>
      <c r="J302" s="15">
        <v>0</v>
      </c>
      <c r="K302" s="15">
        <v>0</v>
      </c>
      <c r="L302" s="15">
        <f t="shared" ref="L302" si="73">ROUND(M302/2,0)</f>
        <v>160</v>
      </c>
      <c r="M302" s="15">
        <v>320</v>
      </c>
      <c r="N302" s="15">
        <v>0</v>
      </c>
      <c r="O302" s="15">
        <v>0</v>
      </c>
      <c r="P302" s="15">
        <f t="shared" ref="P302" si="74">ROUND(Q302/2,0)</f>
        <v>50</v>
      </c>
      <c r="Q302" s="15">
        <v>100</v>
      </c>
      <c r="R302" s="15">
        <f t="shared" ref="R302" si="75">ROUND(S302/2,0)</f>
        <v>0</v>
      </c>
      <c r="S302" s="15">
        <v>0</v>
      </c>
      <c r="T302" s="16">
        <v>0</v>
      </c>
      <c r="U302" s="15">
        <v>0</v>
      </c>
      <c r="V302" s="15">
        <v>0</v>
      </c>
      <c r="W302" s="15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46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</row>
    <row r="303" ht="20.1" customHeight="1" spans="2:223">
      <c r="B303" s="11">
        <v>15407001</v>
      </c>
      <c r="C303" s="15" t="s">
        <v>345</v>
      </c>
      <c r="D303" s="15">
        <v>1140002</v>
      </c>
      <c r="E303" s="15">
        <v>0</v>
      </c>
      <c r="F303" s="15">
        <v>1</v>
      </c>
      <c r="G303" s="15">
        <v>50</v>
      </c>
      <c r="H303" s="16">
        <v>0.2</v>
      </c>
      <c r="I303" s="26">
        <v>20</v>
      </c>
      <c r="J303" s="15">
        <v>0</v>
      </c>
      <c r="K303" s="15">
        <v>0</v>
      </c>
      <c r="L303" s="15">
        <f t="shared" si="67"/>
        <v>100</v>
      </c>
      <c r="M303" s="15">
        <v>200</v>
      </c>
      <c r="N303" s="15">
        <v>0</v>
      </c>
      <c r="O303" s="15">
        <v>0</v>
      </c>
      <c r="P303" s="15">
        <f t="shared" si="68"/>
        <v>0</v>
      </c>
      <c r="Q303" s="15">
        <v>0</v>
      </c>
      <c r="R303" s="15">
        <f t="shared" si="69"/>
        <v>31</v>
      </c>
      <c r="S303" s="15">
        <v>62</v>
      </c>
      <c r="T303" s="16">
        <v>0</v>
      </c>
      <c r="U303" s="15">
        <v>0</v>
      </c>
      <c r="V303" s="15">
        <v>0</v>
      </c>
      <c r="W303" s="15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46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</row>
    <row r="304" ht="20.1" customHeight="1" spans="2:223">
      <c r="B304" s="11">
        <v>15407002</v>
      </c>
      <c r="C304" s="15" t="s">
        <v>346</v>
      </c>
      <c r="D304" s="15">
        <v>1140002</v>
      </c>
      <c r="E304" s="15">
        <v>0</v>
      </c>
      <c r="F304" s="15">
        <v>1</v>
      </c>
      <c r="G304" s="15">
        <v>50</v>
      </c>
      <c r="H304" s="16">
        <v>0.2</v>
      </c>
      <c r="I304" s="26">
        <v>20</v>
      </c>
      <c r="J304" s="15">
        <v>0</v>
      </c>
      <c r="K304" s="15">
        <v>0</v>
      </c>
      <c r="L304" s="15">
        <f t="shared" si="67"/>
        <v>128</v>
      </c>
      <c r="M304" s="15">
        <v>255</v>
      </c>
      <c r="N304" s="15">
        <v>0</v>
      </c>
      <c r="O304" s="15">
        <v>0</v>
      </c>
      <c r="P304" s="15">
        <f t="shared" si="68"/>
        <v>0</v>
      </c>
      <c r="Q304" s="15">
        <v>0</v>
      </c>
      <c r="R304" s="15">
        <f t="shared" si="69"/>
        <v>39</v>
      </c>
      <c r="S304" s="15">
        <v>77</v>
      </c>
      <c r="T304" s="16">
        <v>0</v>
      </c>
      <c r="U304" s="15">
        <v>0</v>
      </c>
      <c r="V304" s="15">
        <v>0</v>
      </c>
      <c r="W304" s="15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46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</row>
    <row r="305" s="3" customFormat="1" ht="20.1" customHeight="1" spans="2:223">
      <c r="B305" s="20">
        <v>15407003</v>
      </c>
      <c r="C305" s="22" t="s">
        <v>347</v>
      </c>
      <c r="D305" s="22">
        <v>1140002</v>
      </c>
      <c r="E305" s="22">
        <v>0</v>
      </c>
      <c r="F305" s="22">
        <v>1</v>
      </c>
      <c r="G305" s="22">
        <v>50</v>
      </c>
      <c r="H305" s="23">
        <v>0.2</v>
      </c>
      <c r="I305" s="26">
        <v>20</v>
      </c>
      <c r="J305" s="22">
        <v>0</v>
      </c>
      <c r="K305" s="22">
        <v>0</v>
      </c>
      <c r="L305" s="22">
        <f t="shared" ref="L305" si="76">ROUND(M305/2,0)</f>
        <v>150</v>
      </c>
      <c r="M305" s="22">
        <v>300</v>
      </c>
      <c r="N305" s="22">
        <v>0</v>
      </c>
      <c r="O305" s="22">
        <v>0</v>
      </c>
      <c r="P305" s="22">
        <f t="shared" ref="P305" si="77">ROUND(Q305/2,0)</f>
        <v>0</v>
      </c>
      <c r="Q305" s="22">
        <v>0</v>
      </c>
      <c r="R305" s="22">
        <f t="shared" ref="R305" si="78">ROUND(S305/2,0)</f>
        <v>39</v>
      </c>
      <c r="S305" s="22">
        <v>77</v>
      </c>
      <c r="T305" s="23">
        <v>0</v>
      </c>
      <c r="U305" s="22">
        <v>0</v>
      </c>
      <c r="V305" s="22">
        <v>0</v>
      </c>
      <c r="W305" s="22">
        <v>0</v>
      </c>
      <c r="X305" s="23">
        <v>0</v>
      </c>
      <c r="Y305" s="23">
        <v>0</v>
      </c>
      <c r="Z305" s="23">
        <v>0</v>
      </c>
      <c r="AA305" s="23">
        <v>204001</v>
      </c>
      <c r="AB305" s="23">
        <v>500</v>
      </c>
      <c r="AC305" s="23">
        <v>1</v>
      </c>
      <c r="AD305" s="48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35"/>
      <c r="FB305" s="35"/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  <c r="FS305" s="35"/>
      <c r="FT305" s="35"/>
      <c r="FU305" s="35"/>
      <c r="FV305" s="35"/>
      <c r="FW305" s="35"/>
      <c r="FX305" s="35"/>
      <c r="FY305" s="35"/>
      <c r="FZ305" s="35"/>
      <c r="GA305" s="35"/>
      <c r="GB305" s="35"/>
      <c r="GC305" s="35"/>
      <c r="GD305" s="35"/>
      <c r="GE305" s="35"/>
      <c r="GF305" s="35"/>
      <c r="GG305" s="35"/>
      <c r="GH305" s="35"/>
      <c r="GI305" s="35"/>
      <c r="GJ305" s="35"/>
      <c r="GK305" s="35"/>
      <c r="GL305" s="35"/>
      <c r="GM305" s="35"/>
      <c r="GN305" s="35"/>
      <c r="GO305" s="35"/>
      <c r="GP305" s="35"/>
      <c r="GQ305" s="35"/>
      <c r="GR305" s="35"/>
      <c r="GS305" s="35"/>
      <c r="GT305" s="35"/>
      <c r="GU305" s="35"/>
      <c r="GV305" s="35"/>
      <c r="GW305" s="35"/>
      <c r="GX305" s="35"/>
      <c r="GY305" s="35"/>
      <c r="GZ305" s="35"/>
      <c r="HA305" s="35"/>
      <c r="HB305" s="35"/>
      <c r="HC305" s="35"/>
      <c r="HD305" s="35"/>
      <c r="HE305" s="35"/>
      <c r="HF305" s="35"/>
      <c r="HG305" s="35"/>
      <c r="HH305" s="35"/>
      <c r="HI305" s="35"/>
      <c r="HJ305" s="35"/>
      <c r="HK305" s="35"/>
      <c r="HL305" s="35"/>
      <c r="HM305" s="35"/>
      <c r="HN305" s="35"/>
      <c r="HO305" s="35"/>
    </row>
    <row r="306" ht="20.1" customHeight="1" spans="2:223">
      <c r="B306" s="11">
        <v>15408001</v>
      </c>
      <c r="C306" s="15" t="s">
        <v>157</v>
      </c>
      <c r="D306" s="15">
        <v>1140002</v>
      </c>
      <c r="E306" s="15">
        <v>0</v>
      </c>
      <c r="F306" s="15">
        <v>1</v>
      </c>
      <c r="G306" s="15">
        <v>50</v>
      </c>
      <c r="H306" s="16">
        <v>0.2</v>
      </c>
      <c r="I306" s="26">
        <v>20</v>
      </c>
      <c r="J306" s="15">
        <v>0</v>
      </c>
      <c r="K306" s="15">
        <v>0</v>
      </c>
      <c r="L306" s="15">
        <v>20</v>
      </c>
      <c r="M306" s="15">
        <v>35</v>
      </c>
      <c r="N306" s="15">
        <v>0</v>
      </c>
      <c r="O306" s="15">
        <v>0</v>
      </c>
      <c r="P306" s="15">
        <f t="shared" si="68"/>
        <v>0</v>
      </c>
      <c r="Q306" s="15">
        <v>0</v>
      </c>
      <c r="R306" s="15">
        <f t="shared" si="69"/>
        <v>0</v>
      </c>
      <c r="S306" s="15">
        <v>0</v>
      </c>
      <c r="T306" s="16">
        <v>0</v>
      </c>
      <c r="U306" s="15">
        <v>0</v>
      </c>
      <c r="V306" s="15">
        <v>0</v>
      </c>
      <c r="W306" s="15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46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</row>
    <row r="307" ht="20.1" customHeight="1" spans="2:223">
      <c r="B307" s="11">
        <v>15408002</v>
      </c>
      <c r="C307" s="15" t="s">
        <v>348</v>
      </c>
      <c r="D307" s="15">
        <v>1140002</v>
      </c>
      <c r="E307" s="15">
        <v>0</v>
      </c>
      <c r="F307" s="15">
        <v>1</v>
      </c>
      <c r="G307" s="15">
        <v>50</v>
      </c>
      <c r="H307" s="16">
        <v>0.2</v>
      </c>
      <c r="I307" s="26">
        <v>20</v>
      </c>
      <c r="J307" s="15">
        <v>0</v>
      </c>
      <c r="K307" s="15">
        <v>0</v>
      </c>
      <c r="L307" s="15">
        <v>25</v>
      </c>
      <c r="M307" s="15">
        <v>45</v>
      </c>
      <c r="N307" s="15">
        <v>0</v>
      </c>
      <c r="O307" s="15">
        <v>0</v>
      </c>
      <c r="P307" s="15">
        <f t="shared" si="68"/>
        <v>0</v>
      </c>
      <c r="Q307" s="15">
        <v>0</v>
      </c>
      <c r="R307" s="15">
        <f t="shared" si="69"/>
        <v>0</v>
      </c>
      <c r="S307" s="15">
        <v>0</v>
      </c>
      <c r="T307" s="16">
        <v>0</v>
      </c>
      <c r="U307" s="15">
        <v>0</v>
      </c>
      <c r="V307" s="15">
        <v>0</v>
      </c>
      <c r="W307" s="15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46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</row>
    <row r="308" s="3" customFormat="1" ht="20.1" customHeight="1" spans="2:223">
      <c r="B308" s="20">
        <v>15408003</v>
      </c>
      <c r="C308" s="22" t="s">
        <v>349</v>
      </c>
      <c r="D308" s="22">
        <v>1140002</v>
      </c>
      <c r="E308" s="22">
        <v>0</v>
      </c>
      <c r="F308" s="22">
        <v>1</v>
      </c>
      <c r="G308" s="22">
        <v>50</v>
      </c>
      <c r="H308" s="23">
        <v>0.2</v>
      </c>
      <c r="I308" s="26">
        <v>20</v>
      </c>
      <c r="J308" s="22">
        <v>0</v>
      </c>
      <c r="K308" s="22">
        <v>0</v>
      </c>
      <c r="L308" s="22">
        <v>25</v>
      </c>
      <c r="M308" s="22">
        <v>55</v>
      </c>
      <c r="N308" s="22">
        <v>0</v>
      </c>
      <c r="O308" s="22">
        <v>0</v>
      </c>
      <c r="P308" s="22">
        <f t="shared" ref="P308" si="79">ROUND(Q308/2,0)</f>
        <v>0</v>
      </c>
      <c r="Q308" s="22">
        <v>0</v>
      </c>
      <c r="R308" s="22">
        <f t="shared" ref="R308" si="80">ROUND(S308/2,0)</f>
        <v>0</v>
      </c>
      <c r="S308" s="22">
        <v>0</v>
      </c>
      <c r="T308" s="23">
        <v>0</v>
      </c>
      <c r="U308" s="22">
        <v>0</v>
      </c>
      <c r="V308" s="22">
        <v>0</v>
      </c>
      <c r="W308" s="22">
        <v>0</v>
      </c>
      <c r="X308" s="23">
        <v>0</v>
      </c>
      <c r="Y308" s="23">
        <v>0</v>
      </c>
      <c r="Z308" s="23">
        <v>0</v>
      </c>
      <c r="AA308" s="23">
        <v>0</v>
      </c>
      <c r="AB308" s="23">
        <v>0</v>
      </c>
      <c r="AC308" s="23">
        <v>0</v>
      </c>
      <c r="AD308" s="48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L308" s="35"/>
      <c r="HM308" s="35"/>
      <c r="HN308" s="35"/>
      <c r="HO308" s="35"/>
    </row>
    <row r="309" ht="20.1" customHeight="1" spans="2:223">
      <c r="B309" s="11">
        <v>15409001</v>
      </c>
      <c r="C309" s="15" t="s">
        <v>350</v>
      </c>
      <c r="D309" s="15">
        <v>1140001</v>
      </c>
      <c r="E309" s="15">
        <v>0</v>
      </c>
      <c r="F309" s="15">
        <v>1</v>
      </c>
      <c r="G309" s="15">
        <v>50</v>
      </c>
      <c r="H309" s="16">
        <v>0.2</v>
      </c>
      <c r="I309" s="26">
        <v>20</v>
      </c>
      <c r="J309" s="15">
        <v>0</v>
      </c>
      <c r="K309" s="15">
        <v>5750</v>
      </c>
      <c r="L309" s="15">
        <f t="shared" si="67"/>
        <v>0</v>
      </c>
      <c r="M309" s="15">
        <v>0</v>
      </c>
      <c r="N309" s="15">
        <v>0</v>
      </c>
      <c r="O309" s="15">
        <v>0</v>
      </c>
      <c r="P309" s="15">
        <f t="shared" si="68"/>
        <v>0</v>
      </c>
      <c r="Q309" s="15">
        <v>0</v>
      </c>
      <c r="R309" s="15">
        <f t="shared" si="69"/>
        <v>0</v>
      </c>
      <c r="S309" s="15">
        <v>0</v>
      </c>
      <c r="T309" s="16">
        <v>0</v>
      </c>
      <c r="U309" s="15">
        <v>0</v>
      </c>
      <c r="V309" s="15">
        <v>0</v>
      </c>
      <c r="W309" s="15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46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</row>
    <row r="310" ht="20.1" customHeight="1" spans="2:223">
      <c r="B310" s="11">
        <v>15409002</v>
      </c>
      <c r="C310" s="15" t="s">
        <v>351</v>
      </c>
      <c r="D310" s="15">
        <v>1140001</v>
      </c>
      <c r="E310" s="15">
        <v>0</v>
      </c>
      <c r="F310" s="15">
        <v>1</v>
      </c>
      <c r="G310" s="15">
        <v>50</v>
      </c>
      <c r="H310" s="16">
        <v>0.2</v>
      </c>
      <c r="I310" s="26">
        <v>20</v>
      </c>
      <c r="J310" s="15">
        <v>0</v>
      </c>
      <c r="K310" s="15">
        <v>7140</v>
      </c>
      <c r="L310" s="15">
        <f t="shared" si="67"/>
        <v>0</v>
      </c>
      <c r="M310" s="15">
        <v>0</v>
      </c>
      <c r="N310" s="15">
        <v>0</v>
      </c>
      <c r="O310" s="15">
        <v>0</v>
      </c>
      <c r="P310" s="15">
        <f t="shared" si="68"/>
        <v>0</v>
      </c>
      <c r="Q310" s="15">
        <v>0</v>
      </c>
      <c r="R310" s="15">
        <f t="shared" si="69"/>
        <v>0</v>
      </c>
      <c r="S310" s="15">
        <v>0</v>
      </c>
      <c r="T310" s="16">
        <v>0</v>
      </c>
      <c r="U310" s="15">
        <v>0</v>
      </c>
      <c r="V310" s="15">
        <v>0</v>
      </c>
      <c r="W310" s="15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46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</row>
    <row r="311" ht="20.1" customHeight="1" spans="2:223">
      <c r="B311" s="11">
        <v>15410001</v>
      </c>
      <c r="C311" s="11" t="s">
        <v>352</v>
      </c>
      <c r="D311" s="15">
        <v>1140001</v>
      </c>
      <c r="E311" s="15">
        <v>0</v>
      </c>
      <c r="F311" s="15">
        <v>1</v>
      </c>
      <c r="G311" s="15">
        <v>50</v>
      </c>
      <c r="H311" s="16">
        <v>0.2</v>
      </c>
      <c r="I311" s="26">
        <v>20</v>
      </c>
      <c r="J311" s="15">
        <v>0</v>
      </c>
      <c r="K311" s="15">
        <v>0</v>
      </c>
      <c r="L311" s="15">
        <f t="shared" si="67"/>
        <v>290</v>
      </c>
      <c r="M311" s="15">
        <v>580</v>
      </c>
      <c r="N311" s="15">
        <v>0</v>
      </c>
      <c r="O311" s="15">
        <v>0</v>
      </c>
      <c r="P311" s="15">
        <f t="shared" si="68"/>
        <v>0</v>
      </c>
      <c r="Q311" s="15">
        <v>0</v>
      </c>
      <c r="R311" s="15">
        <f t="shared" si="69"/>
        <v>0</v>
      </c>
      <c r="S311" s="15">
        <v>0</v>
      </c>
      <c r="T311" s="16">
        <v>0</v>
      </c>
      <c r="U311" s="15">
        <v>0</v>
      </c>
      <c r="V311" s="15">
        <v>0</v>
      </c>
      <c r="W311" s="15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46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</row>
    <row r="312" ht="20.1" customHeight="1" spans="2:223">
      <c r="B312" s="11">
        <v>15410002</v>
      </c>
      <c r="C312" s="11" t="s">
        <v>353</v>
      </c>
      <c r="D312" s="15">
        <v>1140001</v>
      </c>
      <c r="E312" s="15">
        <v>0</v>
      </c>
      <c r="F312" s="15">
        <v>1</v>
      </c>
      <c r="G312" s="15">
        <v>50</v>
      </c>
      <c r="H312" s="16">
        <v>0.2</v>
      </c>
      <c r="I312" s="26">
        <v>20</v>
      </c>
      <c r="J312" s="15">
        <v>0</v>
      </c>
      <c r="K312" s="15">
        <v>0</v>
      </c>
      <c r="L312" s="15">
        <f t="shared" si="67"/>
        <v>358</v>
      </c>
      <c r="M312" s="15">
        <v>715</v>
      </c>
      <c r="N312" s="15">
        <v>0</v>
      </c>
      <c r="O312" s="15">
        <v>0</v>
      </c>
      <c r="P312" s="15">
        <f t="shared" si="68"/>
        <v>0</v>
      </c>
      <c r="Q312" s="15">
        <v>0</v>
      </c>
      <c r="R312" s="15">
        <f t="shared" si="69"/>
        <v>0</v>
      </c>
      <c r="S312" s="15">
        <v>0</v>
      </c>
      <c r="T312" s="16">
        <v>0</v>
      </c>
      <c r="U312" s="15">
        <v>0</v>
      </c>
      <c r="V312" s="15">
        <v>0</v>
      </c>
      <c r="W312" s="15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46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</row>
    <row r="313" ht="20.1" customHeight="1" spans="2:223">
      <c r="B313" s="11">
        <v>15410003</v>
      </c>
      <c r="C313" s="11" t="s">
        <v>354</v>
      </c>
      <c r="D313" s="15">
        <v>1140001</v>
      </c>
      <c r="E313" s="15">
        <v>0</v>
      </c>
      <c r="F313" s="15">
        <v>1</v>
      </c>
      <c r="G313" s="15">
        <v>50</v>
      </c>
      <c r="H313" s="16">
        <v>0.2</v>
      </c>
      <c r="I313" s="26">
        <v>20</v>
      </c>
      <c r="J313" s="15">
        <v>0</v>
      </c>
      <c r="K313" s="15">
        <v>0</v>
      </c>
      <c r="L313" s="15">
        <f t="shared" si="67"/>
        <v>290</v>
      </c>
      <c r="M313" s="15">
        <v>580</v>
      </c>
      <c r="N313" s="15">
        <v>0</v>
      </c>
      <c r="O313" s="15">
        <v>0</v>
      </c>
      <c r="P313" s="15">
        <f t="shared" si="68"/>
        <v>0</v>
      </c>
      <c r="Q313" s="15">
        <v>0</v>
      </c>
      <c r="R313" s="15">
        <f t="shared" si="69"/>
        <v>0</v>
      </c>
      <c r="S313" s="15">
        <v>0</v>
      </c>
      <c r="T313" s="16">
        <v>0</v>
      </c>
      <c r="U313" s="15">
        <v>0</v>
      </c>
      <c r="V313" s="15">
        <v>0</v>
      </c>
      <c r="W313" s="15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46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</row>
    <row r="314" ht="20.1" customHeight="1" spans="2:223">
      <c r="B314" s="11">
        <v>15410004</v>
      </c>
      <c r="C314" s="11" t="s">
        <v>353</v>
      </c>
      <c r="D314" s="15">
        <v>1140001</v>
      </c>
      <c r="E314" s="15">
        <v>0</v>
      </c>
      <c r="F314" s="15">
        <v>1</v>
      </c>
      <c r="G314" s="15">
        <v>50</v>
      </c>
      <c r="H314" s="16">
        <v>0.2</v>
      </c>
      <c r="I314" s="26">
        <v>20</v>
      </c>
      <c r="J314" s="15">
        <v>0</v>
      </c>
      <c r="K314" s="15">
        <v>0</v>
      </c>
      <c r="L314" s="15">
        <f t="shared" si="67"/>
        <v>358</v>
      </c>
      <c r="M314" s="15">
        <v>715</v>
      </c>
      <c r="N314" s="15">
        <v>0</v>
      </c>
      <c r="O314" s="15">
        <v>0</v>
      </c>
      <c r="P314" s="15">
        <f t="shared" si="68"/>
        <v>0</v>
      </c>
      <c r="Q314" s="15">
        <v>0</v>
      </c>
      <c r="R314" s="15">
        <f t="shared" si="69"/>
        <v>0</v>
      </c>
      <c r="S314" s="15">
        <v>0</v>
      </c>
      <c r="T314" s="16">
        <v>0</v>
      </c>
      <c r="U314" s="15">
        <v>0</v>
      </c>
      <c r="V314" s="15">
        <v>0</v>
      </c>
      <c r="W314" s="15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46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</row>
    <row r="315" ht="20.1" customHeight="1" spans="2:223">
      <c r="B315" s="11">
        <v>15410011</v>
      </c>
      <c r="C315" s="39" t="s">
        <v>355</v>
      </c>
      <c r="D315" s="15">
        <v>1140001</v>
      </c>
      <c r="E315" s="15">
        <v>14051</v>
      </c>
      <c r="F315" s="15">
        <v>1</v>
      </c>
      <c r="G315" s="15">
        <v>50</v>
      </c>
      <c r="H315" s="16">
        <v>0.2</v>
      </c>
      <c r="I315" s="26">
        <v>20</v>
      </c>
      <c r="J315" s="15">
        <v>0</v>
      </c>
      <c r="K315" s="15">
        <v>0</v>
      </c>
      <c r="L315" s="15">
        <f t="shared" ref="L315:L316" si="81">ROUND(M315/2,0)</f>
        <v>440</v>
      </c>
      <c r="M315" s="15">
        <v>880</v>
      </c>
      <c r="N315" s="15">
        <v>0</v>
      </c>
      <c r="O315" s="15">
        <v>0</v>
      </c>
      <c r="P315" s="15">
        <f t="shared" ref="P315:P316" si="82">ROUND(Q315/2,0)</f>
        <v>0</v>
      </c>
      <c r="Q315" s="15">
        <v>0</v>
      </c>
      <c r="R315" s="15">
        <f t="shared" ref="R315:R316" si="83">ROUND(S315/2,0)</f>
        <v>0</v>
      </c>
      <c r="S315" s="15">
        <v>0</v>
      </c>
      <c r="T315" s="16">
        <v>0</v>
      </c>
      <c r="U315" s="15">
        <v>0</v>
      </c>
      <c r="V315" s="15">
        <v>0</v>
      </c>
      <c r="W315" s="15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46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</row>
    <row r="316" ht="20.1" customHeight="1" spans="2:223">
      <c r="B316" s="11">
        <v>15410012</v>
      </c>
      <c r="C316" s="39" t="s">
        <v>356</v>
      </c>
      <c r="D316" s="15">
        <v>1140001</v>
      </c>
      <c r="E316" s="15">
        <v>14051</v>
      </c>
      <c r="F316" s="15">
        <v>1</v>
      </c>
      <c r="G316" s="15">
        <v>50</v>
      </c>
      <c r="H316" s="16">
        <v>0.2</v>
      </c>
      <c r="I316" s="26">
        <v>20</v>
      </c>
      <c r="J316" s="15">
        <v>0</v>
      </c>
      <c r="K316" s="15">
        <v>0</v>
      </c>
      <c r="L316" s="15">
        <f t="shared" si="81"/>
        <v>440</v>
      </c>
      <c r="M316" s="15">
        <v>880</v>
      </c>
      <c r="N316" s="15">
        <v>0</v>
      </c>
      <c r="O316" s="15">
        <v>0</v>
      </c>
      <c r="P316" s="15">
        <f t="shared" si="82"/>
        <v>0</v>
      </c>
      <c r="Q316" s="15">
        <v>0</v>
      </c>
      <c r="R316" s="15">
        <f t="shared" si="83"/>
        <v>0</v>
      </c>
      <c r="S316" s="15">
        <v>0</v>
      </c>
      <c r="T316" s="16">
        <v>0</v>
      </c>
      <c r="U316" s="15">
        <v>0</v>
      </c>
      <c r="V316" s="15">
        <v>0</v>
      </c>
      <c r="W316" s="15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46">
        <v>100006</v>
      </c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</row>
    <row r="317" ht="20.1" customHeight="1" spans="2:223">
      <c r="B317" s="11">
        <v>15410111</v>
      </c>
      <c r="C317" s="39" t="s">
        <v>357</v>
      </c>
      <c r="D317" s="15">
        <v>1140001</v>
      </c>
      <c r="E317" s="15">
        <v>14051</v>
      </c>
      <c r="F317" s="15">
        <v>1</v>
      </c>
      <c r="G317" s="15">
        <v>50</v>
      </c>
      <c r="H317" s="16">
        <v>0.2</v>
      </c>
      <c r="I317" s="26">
        <v>20</v>
      </c>
      <c r="J317" s="15">
        <v>0</v>
      </c>
      <c r="K317" s="15">
        <v>0</v>
      </c>
      <c r="L317" s="15">
        <f t="shared" ref="L317:L321" si="84">ROUND(M317/2,0)</f>
        <v>440</v>
      </c>
      <c r="M317" s="15">
        <v>880</v>
      </c>
      <c r="N317" s="15">
        <v>0</v>
      </c>
      <c r="O317" s="15">
        <v>0</v>
      </c>
      <c r="P317" s="15">
        <f t="shared" ref="P317:P321" si="85">ROUND(Q317/2,0)</f>
        <v>0</v>
      </c>
      <c r="Q317" s="15">
        <v>0</v>
      </c>
      <c r="R317" s="15">
        <f t="shared" ref="R317:R321" si="86">ROUND(S317/2,0)</f>
        <v>0</v>
      </c>
      <c r="S317" s="15">
        <v>0</v>
      </c>
      <c r="T317" s="16">
        <v>0</v>
      </c>
      <c r="U317" s="15">
        <v>0</v>
      </c>
      <c r="V317" s="15">
        <v>0</v>
      </c>
      <c r="W317" s="15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46">
        <v>100007</v>
      </c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</row>
    <row r="318" ht="20.1" customHeight="1" spans="2:223">
      <c r="B318" s="11">
        <v>15410112</v>
      </c>
      <c r="C318" s="39" t="s">
        <v>358</v>
      </c>
      <c r="D318" s="15">
        <v>1140001</v>
      </c>
      <c r="E318" s="15">
        <v>14051</v>
      </c>
      <c r="F318" s="15">
        <v>1</v>
      </c>
      <c r="G318" s="15">
        <v>50</v>
      </c>
      <c r="H318" s="16">
        <v>0.2</v>
      </c>
      <c r="I318" s="26">
        <v>20</v>
      </c>
      <c r="J318" s="15">
        <v>0</v>
      </c>
      <c r="K318" s="15">
        <v>0</v>
      </c>
      <c r="L318" s="15">
        <f t="shared" si="84"/>
        <v>440</v>
      </c>
      <c r="M318" s="15">
        <v>880</v>
      </c>
      <c r="N318" s="15">
        <v>0</v>
      </c>
      <c r="O318" s="15">
        <v>0</v>
      </c>
      <c r="P318" s="15">
        <f t="shared" si="85"/>
        <v>0</v>
      </c>
      <c r="Q318" s="15">
        <v>0</v>
      </c>
      <c r="R318" s="15">
        <f t="shared" si="86"/>
        <v>0</v>
      </c>
      <c r="S318" s="15">
        <v>0</v>
      </c>
      <c r="T318" s="16">
        <v>0</v>
      </c>
      <c r="U318" s="15">
        <v>0</v>
      </c>
      <c r="V318" s="15">
        <v>0</v>
      </c>
      <c r="W318" s="15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46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</row>
    <row r="319" ht="20.1" customHeight="1" spans="2:223">
      <c r="B319" s="11">
        <v>15410201</v>
      </c>
      <c r="C319" s="11" t="s">
        <v>299</v>
      </c>
      <c r="D319" s="15">
        <v>1140001</v>
      </c>
      <c r="E319" s="15">
        <v>0</v>
      </c>
      <c r="F319" s="15">
        <v>1</v>
      </c>
      <c r="G319" s="15">
        <v>50</v>
      </c>
      <c r="H319" s="16">
        <v>0.2</v>
      </c>
      <c r="I319" s="26">
        <v>20</v>
      </c>
      <c r="J319" s="15">
        <v>0</v>
      </c>
      <c r="K319" s="15">
        <v>0</v>
      </c>
      <c r="L319" s="15">
        <f t="shared" si="84"/>
        <v>290</v>
      </c>
      <c r="M319" s="15">
        <v>580</v>
      </c>
      <c r="N319" s="15">
        <v>0</v>
      </c>
      <c r="O319" s="15">
        <v>0</v>
      </c>
      <c r="P319" s="15">
        <f t="shared" si="85"/>
        <v>0</v>
      </c>
      <c r="Q319" s="15">
        <v>0</v>
      </c>
      <c r="R319" s="15">
        <f t="shared" si="86"/>
        <v>0</v>
      </c>
      <c r="S319" s="15">
        <v>0</v>
      </c>
      <c r="T319" s="16">
        <v>0</v>
      </c>
      <c r="U319" s="15">
        <v>0</v>
      </c>
      <c r="V319" s="15">
        <v>0</v>
      </c>
      <c r="W319" s="15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46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</row>
    <row r="320" ht="20.1" customHeight="1" spans="2:223">
      <c r="B320" s="11">
        <v>15410202</v>
      </c>
      <c r="C320" s="11" t="s">
        <v>300</v>
      </c>
      <c r="D320" s="15">
        <v>1140001</v>
      </c>
      <c r="E320" s="15">
        <v>0</v>
      </c>
      <c r="F320" s="15">
        <v>1</v>
      </c>
      <c r="G320" s="15">
        <v>50</v>
      </c>
      <c r="H320" s="16">
        <v>0.2</v>
      </c>
      <c r="I320" s="26">
        <v>20</v>
      </c>
      <c r="J320" s="15">
        <v>0</v>
      </c>
      <c r="K320" s="15">
        <v>0</v>
      </c>
      <c r="L320" s="15">
        <f t="shared" si="84"/>
        <v>358</v>
      </c>
      <c r="M320" s="15">
        <v>715</v>
      </c>
      <c r="N320" s="15">
        <v>0</v>
      </c>
      <c r="O320" s="15">
        <v>0</v>
      </c>
      <c r="P320" s="15">
        <f t="shared" si="85"/>
        <v>0</v>
      </c>
      <c r="Q320" s="15">
        <v>0</v>
      </c>
      <c r="R320" s="15">
        <f t="shared" si="86"/>
        <v>0</v>
      </c>
      <c r="S320" s="15">
        <v>0</v>
      </c>
      <c r="T320" s="16">
        <v>0</v>
      </c>
      <c r="U320" s="15">
        <v>0</v>
      </c>
      <c r="V320" s="15">
        <v>0</v>
      </c>
      <c r="W320" s="15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46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</row>
    <row r="321" ht="20.1" customHeight="1" spans="2:223">
      <c r="B321" s="11">
        <v>15410211</v>
      </c>
      <c r="C321" s="39" t="s">
        <v>301</v>
      </c>
      <c r="D321" s="15">
        <v>1140001</v>
      </c>
      <c r="E321" s="15">
        <v>14051</v>
      </c>
      <c r="F321" s="15">
        <v>1</v>
      </c>
      <c r="G321" s="15">
        <v>50</v>
      </c>
      <c r="H321" s="16">
        <v>0.2</v>
      </c>
      <c r="I321" s="26">
        <v>20</v>
      </c>
      <c r="J321" s="15">
        <v>0</v>
      </c>
      <c r="K321" s="15">
        <v>0</v>
      </c>
      <c r="L321" s="15">
        <f t="shared" si="84"/>
        <v>440</v>
      </c>
      <c r="M321" s="15">
        <v>880</v>
      </c>
      <c r="N321" s="15">
        <v>0</v>
      </c>
      <c r="O321" s="15">
        <v>0</v>
      </c>
      <c r="P321" s="15">
        <f t="shared" si="85"/>
        <v>0</v>
      </c>
      <c r="Q321" s="15">
        <v>0</v>
      </c>
      <c r="R321" s="15">
        <f t="shared" si="86"/>
        <v>0</v>
      </c>
      <c r="S321" s="15">
        <v>0</v>
      </c>
      <c r="T321" s="16">
        <v>0</v>
      </c>
      <c r="U321" s="15">
        <v>0</v>
      </c>
      <c r="V321" s="15">
        <v>0</v>
      </c>
      <c r="W321" s="15">
        <v>0</v>
      </c>
      <c r="X321" s="16">
        <v>0</v>
      </c>
      <c r="Y321" s="16">
        <v>0</v>
      </c>
      <c r="Z321" s="16">
        <v>0</v>
      </c>
      <c r="AA321" s="16">
        <v>202403</v>
      </c>
      <c r="AB321" s="16">
        <v>300</v>
      </c>
      <c r="AC321" s="16">
        <v>1</v>
      </c>
      <c r="AD321" s="46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</row>
    <row r="322" ht="20.1" customHeight="1" spans="2:223">
      <c r="B322" s="11">
        <v>15411001</v>
      </c>
      <c r="C322" s="15" t="s">
        <v>359</v>
      </c>
      <c r="D322" s="15">
        <v>1140003</v>
      </c>
      <c r="E322" s="15">
        <v>0</v>
      </c>
      <c r="F322" s="15">
        <v>1</v>
      </c>
      <c r="G322" s="15">
        <v>50</v>
      </c>
      <c r="H322" s="16">
        <v>0.2</v>
      </c>
      <c r="I322" s="26">
        <v>20</v>
      </c>
      <c r="J322" s="15">
        <v>0</v>
      </c>
      <c r="K322" s="15">
        <v>3960</v>
      </c>
      <c r="L322" s="15">
        <f t="shared" si="67"/>
        <v>0</v>
      </c>
      <c r="M322" s="15">
        <v>0</v>
      </c>
      <c r="N322" s="15">
        <v>0</v>
      </c>
      <c r="O322" s="15">
        <v>0</v>
      </c>
      <c r="P322" s="15">
        <f t="shared" si="68"/>
        <v>23</v>
      </c>
      <c r="Q322" s="15">
        <v>45</v>
      </c>
      <c r="R322" s="15">
        <f t="shared" si="69"/>
        <v>23</v>
      </c>
      <c r="S322" s="15">
        <v>45</v>
      </c>
      <c r="T322" s="16">
        <v>0</v>
      </c>
      <c r="U322" s="15">
        <v>0</v>
      </c>
      <c r="V322" s="15">
        <v>0</v>
      </c>
      <c r="W322" s="15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46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</row>
    <row r="323" ht="20.1" customHeight="1" spans="2:223">
      <c r="B323" s="11">
        <v>15411002</v>
      </c>
      <c r="C323" s="15" t="s">
        <v>360</v>
      </c>
      <c r="D323" s="15">
        <v>1140003</v>
      </c>
      <c r="E323" s="15">
        <v>14011</v>
      </c>
      <c r="F323" s="15">
        <v>1</v>
      </c>
      <c r="G323" s="15">
        <v>50</v>
      </c>
      <c r="H323" s="16">
        <v>0.2</v>
      </c>
      <c r="I323" s="26">
        <v>20</v>
      </c>
      <c r="J323" s="15">
        <v>0</v>
      </c>
      <c r="K323" s="15">
        <v>5040</v>
      </c>
      <c r="L323" s="15">
        <f t="shared" si="67"/>
        <v>0</v>
      </c>
      <c r="M323" s="15">
        <v>0</v>
      </c>
      <c r="N323" s="15">
        <v>0</v>
      </c>
      <c r="O323" s="15">
        <v>0</v>
      </c>
      <c r="P323" s="15">
        <f t="shared" si="68"/>
        <v>64</v>
      </c>
      <c r="Q323" s="15">
        <v>128</v>
      </c>
      <c r="R323" s="15">
        <f t="shared" si="69"/>
        <v>64</v>
      </c>
      <c r="S323" s="15">
        <v>128</v>
      </c>
      <c r="T323" s="16">
        <v>0</v>
      </c>
      <c r="U323" s="15">
        <v>0</v>
      </c>
      <c r="V323" s="15">
        <v>0</v>
      </c>
      <c r="W323" s="15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46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</row>
    <row r="324" ht="20.1" customHeight="1" spans="2:223">
      <c r="B324" s="11">
        <v>15411003</v>
      </c>
      <c r="C324" s="15" t="s">
        <v>361</v>
      </c>
      <c r="D324" s="15">
        <v>1140003</v>
      </c>
      <c r="E324" s="15">
        <v>0</v>
      </c>
      <c r="F324" s="15">
        <v>1</v>
      </c>
      <c r="G324" s="15">
        <v>50</v>
      </c>
      <c r="H324" s="16">
        <v>0.2</v>
      </c>
      <c r="I324" s="26">
        <v>20</v>
      </c>
      <c r="J324" s="15">
        <v>0</v>
      </c>
      <c r="K324" s="15">
        <v>1980</v>
      </c>
      <c r="L324" s="15">
        <f t="shared" si="67"/>
        <v>0</v>
      </c>
      <c r="M324" s="15">
        <v>0</v>
      </c>
      <c r="N324" s="15">
        <v>0</v>
      </c>
      <c r="O324" s="15">
        <v>0</v>
      </c>
      <c r="P324" s="15">
        <f t="shared" si="68"/>
        <v>17</v>
      </c>
      <c r="Q324" s="15">
        <v>34</v>
      </c>
      <c r="R324" s="15">
        <f t="shared" si="69"/>
        <v>17</v>
      </c>
      <c r="S324" s="15">
        <v>34</v>
      </c>
      <c r="T324" s="16">
        <v>0</v>
      </c>
      <c r="U324" s="15">
        <v>0</v>
      </c>
      <c r="V324" s="15">
        <v>0</v>
      </c>
      <c r="W324" s="15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46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</row>
    <row r="325" ht="20.1" customHeight="1" spans="2:223">
      <c r="B325" s="11">
        <v>15411004</v>
      </c>
      <c r="C325" s="15" t="s">
        <v>362</v>
      </c>
      <c r="D325" s="15">
        <v>1140003</v>
      </c>
      <c r="E325" s="15">
        <v>14021</v>
      </c>
      <c r="F325" s="15">
        <v>1</v>
      </c>
      <c r="G325" s="15">
        <v>50</v>
      </c>
      <c r="H325" s="16">
        <v>0.2</v>
      </c>
      <c r="I325" s="26">
        <v>20</v>
      </c>
      <c r="J325" s="15">
        <v>0</v>
      </c>
      <c r="K325" s="15">
        <v>2520</v>
      </c>
      <c r="L325" s="15">
        <f t="shared" si="67"/>
        <v>0</v>
      </c>
      <c r="M325" s="15">
        <v>0</v>
      </c>
      <c r="N325" s="15">
        <v>0</v>
      </c>
      <c r="O325" s="15">
        <v>0</v>
      </c>
      <c r="P325" s="15">
        <f t="shared" si="68"/>
        <v>48</v>
      </c>
      <c r="Q325" s="15">
        <v>96</v>
      </c>
      <c r="R325" s="15">
        <f t="shared" si="69"/>
        <v>48</v>
      </c>
      <c r="S325" s="15">
        <v>96</v>
      </c>
      <c r="T325" s="16">
        <v>0</v>
      </c>
      <c r="U325" s="15">
        <v>0</v>
      </c>
      <c r="V325" s="15">
        <v>0</v>
      </c>
      <c r="W325" s="15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46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</row>
    <row r="326" ht="20.1" customHeight="1" spans="2:223">
      <c r="B326" s="11">
        <v>15411005</v>
      </c>
      <c r="C326" s="15" t="s">
        <v>363</v>
      </c>
      <c r="D326" s="15">
        <v>1140003</v>
      </c>
      <c r="E326" s="15">
        <v>0</v>
      </c>
      <c r="F326" s="15">
        <v>1</v>
      </c>
      <c r="G326" s="15">
        <v>50</v>
      </c>
      <c r="H326" s="16">
        <v>0.2</v>
      </c>
      <c r="I326" s="26">
        <v>20</v>
      </c>
      <c r="J326" s="15">
        <v>0</v>
      </c>
      <c r="K326" s="15">
        <v>5940</v>
      </c>
      <c r="L326" s="15">
        <f t="shared" si="67"/>
        <v>0</v>
      </c>
      <c r="M326" s="15">
        <v>0</v>
      </c>
      <c r="N326" s="15">
        <v>0</v>
      </c>
      <c r="O326" s="15">
        <v>0</v>
      </c>
      <c r="P326" s="15">
        <f t="shared" si="68"/>
        <v>28</v>
      </c>
      <c r="Q326" s="15">
        <v>56</v>
      </c>
      <c r="R326" s="15">
        <f t="shared" si="69"/>
        <v>28</v>
      </c>
      <c r="S326" s="15">
        <v>56</v>
      </c>
      <c r="T326" s="16">
        <v>0</v>
      </c>
      <c r="U326" s="15">
        <v>0</v>
      </c>
      <c r="V326" s="15">
        <v>0</v>
      </c>
      <c r="W326" s="15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46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</row>
    <row r="327" ht="20.1" customHeight="1" spans="2:223">
      <c r="B327" s="11">
        <v>15411006</v>
      </c>
      <c r="C327" s="15" t="s">
        <v>364</v>
      </c>
      <c r="D327" s="15">
        <v>1140003</v>
      </c>
      <c r="E327" s="15">
        <v>14031</v>
      </c>
      <c r="F327" s="15">
        <v>1</v>
      </c>
      <c r="G327" s="15">
        <v>50</v>
      </c>
      <c r="H327" s="16">
        <v>0.2</v>
      </c>
      <c r="I327" s="26">
        <v>20</v>
      </c>
      <c r="J327" s="15">
        <v>0</v>
      </c>
      <c r="K327" s="15">
        <v>7560</v>
      </c>
      <c r="L327" s="15">
        <f t="shared" si="67"/>
        <v>0</v>
      </c>
      <c r="M327" s="15">
        <v>0</v>
      </c>
      <c r="N327" s="15">
        <v>0</v>
      </c>
      <c r="O327" s="15">
        <v>0</v>
      </c>
      <c r="P327" s="15">
        <f t="shared" si="68"/>
        <v>80</v>
      </c>
      <c r="Q327" s="15">
        <v>160</v>
      </c>
      <c r="R327" s="15">
        <f t="shared" si="69"/>
        <v>80</v>
      </c>
      <c r="S327" s="15">
        <v>160</v>
      </c>
      <c r="T327" s="16">
        <v>0</v>
      </c>
      <c r="U327" s="15">
        <v>0</v>
      </c>
      <c r="V327" s="15">
        <v>0</v>
      </c>
      <c r="W327" s="15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46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</row>
    <row r="328" ht="20.1" customHeight="1" spans="2:223">
      <c r="B328" s="11">
        <v>15411011</v>
      </c>
      <c r="C328" s="39" t="s">
        <v>365</v>
      </c>
      <c r="D328" s="15">
        <v>1140003</v>
      </c>
      <c r="E328" s="15">
        <v>14011</v>
      </c>
      <c r="F328" s="15">
        <v>1</v>
      </c>
      <c r="G328" s="15">
        <v>50</v>
      </c>
      <c r="H328" s="16">
        <v>0.2</v>
      </c>
      <c r="I328" s="26">
        <v>20</v>
      </c>
      <c r="J328" s="15">
        <v>0</v>
      </c>
      <c r="K328" s="15">
        <v>5800</v>
      </c>
      <c r="L328" s="15">
        <f t="shared" si="67"/>
        <v>0</v>
      </c>
      <c r="M328" s="15">
        <v>0</v>
      </c>
      <c r="N328" s="15">
        <v>0</v>
      </c>
      <c r="O328" s="15">
        <v>0</v>
      </c>
      <c r="P328" s="15">
        <f t="shared" ref="P328:S328" si="87">ROUND(P323*1.15,-1)</f>
        <v>70</v>
      </c>
      <c r="Q328" s="15">
        <f t="shared" si="87"/>
        <v>150</v>
      </c>
      <c r="R328" s="15">
        <f t="shared" si="87"/>
        <v>70</v>
      </c>
      <c r="S328" s="15">
        <f t="shared" si="87"/>
        <v>150</v>
      </c>
      <c r="T328" s="16">
        <v>0</v>
      </c>
      <c r="U328" s="15">
        <v>0</v>
      </c>
      <c r="V328" s="15">
        <v>0</v>
      </c>
      <c r="W328" s="15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46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</row>
    <row r="329" ht="20.1" customHeight="1" spans="2:223">
      <c r="B329" s="11">
        <v>15411012</v>
      </c>
      <c r="C329" s="39" t="s">
        <v>366</v>
      </c>
      <c r="D329" s="15">
        <v>1140003</v>
      </c>
      <c r="E329" s="15">
        <v>14021</v>
      </c>
      <c r="F329" s="15">
        <v>1</v>
      </c>
      <c r="G329" s="15">
        <v>50</v>
      </c>
      <c r="H329" s="16">
        <v>0.2</v>
      </c>
      <c r="I329" s="26">
        <v>20</v>
      </c>
      <c r="J329" s="15">
        <v>0</v>
      </c>
      <c r="K329" s="15">
        <v>2900</v>
      </c>
      <c r="L329" s="15">
        <f t="shared" si="67"/>
        <v>0</v>
      </c>
      <c r="M329" s="15">
        <v>0</v>
      </c>
      <c r="N329" s="15">
        <v>0</v>
      </c>
      <c r="O329" s="15">
        <v>0</v>
      </c>
      <c r="P329" s="15">
        <f t="shared" ref="P329:S329" si="88">ROUND(P325*1.15,-1)</f>
        <v>60</v>
      </c>
      <c r="Q329" s="15">
        <f t="shared" si="88"/>
        <v>110</v>
      </c>
      <c r="R329" s="15">
        <f t="shared" si="88"/>
        <v>60</v>
      </c>
      <c r="S329" s="15">
        <f t="shared" si="88"/>
        <v>110</v>
      </c>
      <c r="T329" s="16">
        <v>0</v>
      </c>
      <c r="U329" s="15">
        <v>0</v>
      </c>
      <c r="V329" s="15">
        <v>0</v>
      </c>
      <c r="W329" s="15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46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</row>
    <row r="330" ht="20.1" customHeight="1" spans="2:223">
      <c r="B330" s="11">
        <v>15411013</v>
      </c>
      <c r="C330" s="39" t="s">
        <v>367</v>
      </c>
      <c r="D330" s="15">
        <v>1140003</v>
      </c>
      <c r="E330" s="15">
        <v>14031</v>
      </c>
      <c r="F330" s="15">
        <v>1</v>
      </c>
      <c r="G330" s="15">
        <v>50</v>
      </c>
      <c r="H330" s="16">
        <v>0.2</v>
      </c>
      <c r="I330" s="26">
        <v>20</v>
      </c>
      <c r="J330" s="15">
        <v>0</v>
      </c>
      <c r="K330" s="15">
        <v>8700</v>
      </c>
      <c r="L330" s="15">
        <f t="shared" si="67"/>
        <v>0</v>
      </c>
      <c r="M330" s="15">
        <v>0</v>
      </c>
      <c r="N330" s="15">
        <v>0</v>
      </c>
      <c r="O330" s="15">
        <v>0</v>
      </c>
      <c r="P330" s="15">
        <f t="shared" ref="P330:S330" si="89">ROUND(P327*1.15,-1)</f>
        <v>90</v>
      </c>
      <c r="Q330" s="15">
        <f t="shared" si="89"/>
        <v>180</v>
      </c>
      <c r="R330" s="15">
        <f t="shared" si="89"/>
        <v>90</v>
      </c>
      <c r="S330" s="15">
        <f t="shared" si="89"/>
        <v>180</v>
      </c>
      <c r="T330" s="16">
        <v>0</v>
      </c>
      <c r="U330" s="15">
        <v>0</v>
      </c>
      <c r="V330" s="15">
        <v>0</v>
      </c>
      <c r="W330" s="15">
        <v>0</v>
      </c>
      <c r="X330" s="16">
        <v>0</v>
      </c>
      <c r="Y330" s="16">
        <v>0</v>
      </c>
      <c r="Z330" s="16">
        <v>0</v>
      </c>
      <c r="AA330" s="16">
        <v>204903</v>
      </c>
      <c r="AB330" s="16">
        <v>1000</v>
      </c>
      <c r="AC330" s="16">
        <v>1</v>
      </c>
      <c r="AD330" s="46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</row>
    <row r="331" ht="20.1" customHeight="1" spans="2:223">
      <c r="B331" s="11">
        <v>15501001</v>
      </c>
      <c r="C331" s="15" t="s">
        <v>368</v>
      </c>
      <c r="D331" s="15">
        <v>1140003</v>
      </c>
      <c r="E331" s="15">
        <v>0</v>
      </c>
      <c r="F331" s="15">
        <v>1</v>
      </c>
      <c r="G331" s="15">
        <v>60</v>
      </c>
      <c r="H331" s="16">
        <v>0.2</v>
      </c>
      <c r="I331" s="26">
        <v>25</v>
      </c>
      <c r="J331" s="15">
        <v>0</v>
      </c>
      <c r="K331" s="15">
        <v>0</v>
      </c>
      <c r="L331" s="15">
        <f t="shared" si="67"/>
        <v>50</v>
      </c>
      <c r="M331" s="15">
        <v>100</v>
      </c>
      <c r="N331" s="15">
        <v>0</v>
      </c>
      <c r="O331" s="15">
        <v>0</v>
      </c>
      <c r="P331" s="15">
        <f t="shared" si="68"/>
        <v>30</v>
      </c>
      <c r="Q331" s="15">
        <v>60</v>
      </c>
      <c r="R331" s="15">
        <f t="shared" si="69"/>
        <v>30</v>
      </c>
      <c r="S331" s="15">
        <v>60</v>
      </c>
      <c r="T331" s="16">
        <v>0</v>
      </c>
      <c r="U331" s="15">
        <v>0</v>
      </c>
      <c r="V331" s="15">
        <v>0</v>
      </c>
      <c r="W331" s="15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46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</row>
    <row r="332" ht="20.1" customHeight="1" spans="2:223">
      <c r="B332" s="11">
        <v>15501002</v>
      </c>
      <c r="C332" s="15" t="s">
        <v>369</v>
      </c>
      <c r="D332" s="15">
        <v>1140003</v>
      </c>
      <c r="E332" s="15">
        <v>15011</v>
      </c>
      <c r="F332" s="15">
        <v>1</v>
      </c>
      <c r="G332" s="15">
        <v>60</v>
      </c>
      <c r="H332" s="16">
        <v>0.2</v>
      </c>
      <c r="I332" s="26">
        <v>25</v>
      </c>
      <c r="J332" s="15">
        <v>0</v>
      </c>
      <c r="K332" s="15">
        <v>0</v>
      </c>
      <c r="L332" s="15">
        <f t="shared" si="67"/>
        <v>60</v>
      </c>
      <c r="M332" s="15">
        <v>120</v>
      </c>
      <c r="N332" s="15">
        <v>0</v>
      </c>
      <c r="O332" s="15">
        <v>0</v>
      </c>
      <c r="P332" s="15">
        <f t="shared" si="68"/>
        <v>36</v>
      </c>
      <c r="Q332" s="15">
        <v>72</v>
      </c>
      <c r="R332" s="15">
        <f t="shared" si="69"/>
        <v>36</v>
      </c>
      <c r="S332" s="15">
        <v>72</v>
      </c>
      <c r="T332" s="16">
        <v>0</v>
      </c>
      <c r="U332" s="15">
        <v>0</v>
      </c>
      <c r="V332" s="15">
        <v>0</v>
      </c>
      <c r="W332" s="15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46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</row>
    <row r="333" ht="20.1" customHeight="1" spans="2:223">
      <c r="B333" s="11">
        <v>15501003</v>
      </c>
      <c r="C333" s="15" t="s">
        <v>370</v>
      </c>
      <c r="D333" s="15">
        <v>1140003</v>
      </c>
      <c r="E333" s="15">
        <v>0</v>
      </c>
      <c r="F333" s="15">
        <v>1</v>
      </c>
      <c r="G333" s="15">
        <v>60</v>
      </c>
      <c r="H333" s="16">
        <v>0.2</v>
      </c>
      <c r="I333" s="26">
        <v>25</v>
      </c>
      <c r="J333" s="15">
        <v>0</v>
      </c>
      <c r="K333" s="15">
        <v>0</v>
      </c>
      <c r="L333" s="15">
        <f t="shared" si="67"/>
        <v>68</v>
      </c>
      <c r="M333" s="15">
        <v>135</v>
      </c>
      <c r="N333" s="15">
        <v>0</v>
      </c>
      <c r="O333" s="15">
        <v>0</v>
      </c>
      <c r="P333" s="15">
        <f t="shared" si="68"/>
        <v>23</v>
      </c>
      <c r="Q333" s="15">
        <v>45</v>
      </c>
      <c r="R333" s="15">
        <f t="shared" si="69"/>
        <v>23</v>
      </c>
      <c r="S333" s="15">
        <v>45</v>
      </c>
      <c r="T333" s="16">
        <v>0</v>
      </c>
      <c r="U333" s="15">
        <v>0</v>
      </c>
      <c r="V333" s="15">
        <v>0</v>
      </c>
      <c r="W333" s="15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46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</row>
    <row r="334" ht="20.1" customHeight="1" spans="2:223">
      <c r="B334" s="11">
        <v>15501004</v>
      </c>
      <c r="C334" s="15" t="s">
        <v>371</v>
      </c>
      <c r="D334" s="15">
        <v>1140003</v>
      </c>
      <c r="E334" s="15">
        <v>15021</v>
      </c>
      <c r="F334" s="15">
        <v>1</v>
      </c>
      <c r="G334" s="15">
        <v>60</v>
      </c>
      <c r="H334" s="16">
        <v>0.2</v>
      </c>
      <c r="I334" s="26">
        <v>25</v>
      </c>
      <c r="J334" s="15">
        <v>0</v>
      </c>
      <c r="K334" s="15">
        <v>0</v>
      </c>
      <c r="L334" s="15">
        <f t="shared" si="67"/>
        <v>81</v>
      </c>
      <c r="M334" s="15">
        <v>162</v>
      </c>
      <c r="N334" s="15">
        <v>0</v>
      </c>
      <c r="O334" s="15">
        <v>0</v>
      </c>
      <c r="P334" s="15">
        <f t="shared" si="68"/>
        <v>27</v>
      </c>
      <c r="Q334" s="15">
        <v>54</v>
      </c>
      <c r="R334" s="15">
        <f t="shared" si="69"/>
        <v>27</v>
      </c>
      <c r="S334" s="15">
        <v>54</v>
      </c>
      <c r="T334" s="16">
        <v>0</v>
      </c>
      <c r="U334" s="15">
        <v>0</v>
      </c>
      <c r="V334" s="15">
        <v>0</v>
      </c>
      <c r="W334" s="15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46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</row>
    <row r="335" ht="20.1" customHeight="1" spans="2:223">
      <c r="B335" s="11">
        <v>15501005</v>
      </c>
      <c r="C335" s="15" t="s">
        <v>372</v>
      </c>
      <c r="D335" s="15">
        <v>1140003</v>
      </c>
      <c r="E335" s="15">
        <v>0</v>
      </c>
      <c r="F335" s="15">
        <v>1</v>
      </c>
      <c r="G335" s="15">
        <v>60</v>
      </c>
      <c r="H335" s="16">
        <v>0.2</v>
      </c>
      <c r="I335" s="26">
        <v>25</v>
      </c>
      <c r="J335" s="15">
        <v>0</v>
      </c>
      <c r="K335" s="15">
        <v>0</v>
      </c>
      <c r="L335" s="15">
        <f t="shared" si="67"/>
        <v>38</v>
      </c>
      <c r="M335" s="15">
        <v>75</v>
      </c>
      <c r="N335" s="15">
        <v>0</v>
      </c>
      <c r="O335" s="15">
        <v>0</v>
      </c>
      <c r="P335" s="15">
        <f t="shared" si="68"/>
        <v>38</v>
      </c>
      <c r="Q335" s="15">
        <v>75</v>
      </c>
      <c r="R335" s="15">
        <f t="shared" si="69"/>
        <v>38</v>
      </c>
      <c r="S335" s="15">
        <v>75</v>
      </c>
      <c r="T335" s="16">
        <v>0</v>
      </c>
      <c r="U335" s="15">
        <v>0</v>
      </c>
      <c r="V335" s="15">
        <v>0</v>
      </c>
      <c r="W335" s="15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46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</row>
    <row r="336" ht="20.1" customHeight="1" spans="2:223">
      <c r="B336" s="11">
        <v>15501006</v>
      </c>
      <c r="C336" s="15" t="s">
        <v>373</v>
      </c>
      <c r="D336" s="15">
        <v>1140003</v>
      </c>
      <c r="E336" s="15">
        <v>15031</v>
      </c>
      <c r="F336" s="15">
        <v>1</v>
      </c>
      <c r="G336" s="15">
        <v>60</v>
      </c>
      <c r="H336" s="16">
        <v>0.2</v>
      </c>
      <c r="I336" s="26">
        <v>25</v>
      </c>
      <c r="J336" s="15">
        <v>0</v>
      </c>
      <c r="K336" s="15">
        <v>0</v>
      </c>
      <c r="L336" s="15">
        <f t="shared" si="67"/>
        <v>45</v>
      </c>
      <c r="M336" s="15">
        <v>90</v>
      </c>
      <c r="N336" s="15">
        <v>0</v>
      </c>
      <c r="O336" s="15">
        <v>0</v>
      </c>
      <c r="P336" s="15">
        <f t="shared" si="68"/>
        <v>45</v>
      </c>
      <c r="Q336" s="15">
        <v>90</v>
      </c>
      <c r="R336" s="15">
        <f t="shared" si="69"/>
        <v>45</v>
      </c>
      <c r="S336" s="15">
        <v>90</v>
      </c>
      <c r="T336" s="16">
        <v>0</v>
      </c>
      <c r="U336" s="15">
        <v>0</v>
      </c>
      <c r="V336" s="15">
        <v>0</v>
      </c>
      <c r="W336" s="15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46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</row>
    <row r="337" ht="20.1" customHeight="1" spans="2:223">
      <c r="B337" s="11">
        <v>15502001</v>
      </c>
      <c r="C337" s="15" t="s">
        <v>374</v>
      </c>
      <c r="D337" s="15">
        <v>1140003</v>
      </c>
      <c r="E337" s="15">
        <v>0</v>
      </c>
      <c r="F337" s="15">
        <v>1</v>
      </c>
      <c r="G337" s="15">
        <v>60</v>
      </c>
      <c r="H337" s="16">
        <v>0.2</v>
      </c>
      <c r="I337" s="26">
        <v>25</v>
      </c>
      <c r="J337" s="15">
        <v>0</v>
      </c>
      <c r="K337" s="15">
        <v>0</v>
      </c>
      <c r="L337" s="15">
        <f t="shared" si="67"/>
        <v>68</v>
      </c>
      <c r="M337" s="15">
        <v>135</v>
      </c>
      <c r="N337" s="15">
        <v>0</v>
      </c>
      <c r="O337" s="15">
        <v>0</v>
      </c>
      <c r="P337" s="15">
        <f t="shared" si="68"/>
        <v>0</v>
      </c>
      <c r="Q337" s="15">
        <v>0</v>
      </c>
      <c r="R337" s="15">
        <f t="shared" si="69"/>
        <v>93</v>
      </c>
      <c r="S337" s="15">
        <v>185</v>
      </c>
      <c r="T337" s="16">
        <v>0</v>
      </c>
      <c r="U337" s="15">
        <v>0</v>
      </c>
      <c r="V337" s="15">
        <v>0</v>
      </c>
      <c r="W337" s="15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46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</row>
    <row r="338" ht="20.1" customHeight="1" spans="2:223">
      <c r="B338" s="11">
        <v>15502002</v>
      </c>
      <c r="C338" s="15" t="s">
        <v>375</v>
      </c>
      <c r="D338" s="15">
        <v>1140003</v>
      </c>
      <c r="E338" s="15">
        <v>15011</v>
      </c>
      <c r="F338" s="15">
        <v>1</v>
      </c>
      <c r="G338" s="15">
        <v>60</v>
      </c>
      <c r="H338" s="16">
        <v>0.2</v>
      </c>
      <c r="I338" s="26">
        <v>25</v>
      </c>
      <c r="J338" s="15">
        <v>0</v>
      </c>
      <c r="K338" s="15">
        <v>0</v>
      </c>
      <c r="L338" s="15">
        <f t="shared" si="67"/>
        <v>78</v>
      </c>
      <c r="M338" s="15">
        <v>156</v>
      </c>
      <c r="N338" s="15">
        <v>0</v>
      </c>
      <c r="O338" s="15">
        <v>0</v>
      </c>
      <c r="P338" s="15">
        <f t="shared" si="68"/>
        <v>0</v>
      </c>
      <c r="Q338" s="15">
        <v>0</v>
      </c>
      <c r="R338" s="15">
        <f t="shared" si="69"/>
        <v>108</v>
      </c>
      <c r="S338" s="15">
        <v>216</v>
      </c>
      <c r="T338" s="16">
        <v>0</v>
      </c>
      <c r="U338" s="15">
        <v>0</v>
      </c>
      <c r="V338" s="15">
        <v>0</v>
      </c>
      <c r="W338" s="15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46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</row>
    <row r="339" ht="20.1" customHeight="1" spans="2:223">
      <c r="B339" s="11">
        <v>15502003</v>
      </c>
      <c r="C339" s="15" t="s">
        <v>376</v>
      </c>
      <c r="D339" s="15">
        <v>1140003</v>
      </c>
      <c r="E339" s="15">
        <v>0</v>
      </c>
      <c r="F339" s="15">
        <v>1</v>
      </c>
      <c r="G339" s="15">
        <v>60</v>
      </c>
      <c r="H339" s="16">
        <v>0.2</v>
      </c>
      <c r="I339" s="26">
        <v>25</v>
      </c>
      <c r="J339" s="15">
        <v>0</v>
      </c>
      <c r="K339" s="15">
        <v>0</v>
      </c>
      <c r="L339" s="15">
        <f t="shared" si="67"/>
        <v>91</v>
      </c>
      <c r="M339" s="15">
        <v>182</v>
      </c>
      <c r="N339" s="15">
        <v>0</v>
      </c>
      <c r="O339" s="15">
        <v>0</v>
      </c>
      <c r="P339" s="15">
        <f t="shared" si="68"/>
        <v>0</v>
      </c>
      <c r="Q339" s="15">
        <v>0</v>
      </c>
      <c r="R339" s="15">
        <f t="shared" si="69"/>
        <v>70</v>
      </c>
      <c r="S339" s="15">
        <v>139</v>
      </c>
      <c r="T339" s="16">
        <v>0</v>
      </c>
      <c r="U339" s="15">
        <v>0</v>
      </c>
      <c r="V339" s="15">
        <v>0</v>
      </c>
      <c r="W339" s="15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46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</row>
    <row r="340" ht="20.1" customHeight="1" spans="2:223">
      <c r="B340" s="11">
        <v>15502004</v>
      </c>
      <c r="C340" s="15" t="s">
        <v>377</v>
      </c>
      <c r="D340" s="15">
        <v>1140003</v>
      </c>
      <c r="E340" s="15">
        <v>15021</v>
      </c>
      <c r="F340" s="15">
        <v>1</v>
      </c>
      <c r="G340" s="15">
        <v>60</v>
      </c>
      <c r="H340" s="16">
        <v>0.2</v>
      </c>
      <c r="I340" s="26">
        <v>25</v>
      </c>
      <c r="J340" s="15">
        <v>0</v>
      </c>
      <c r="K340" s="15">
        <v>0</v>
      </c>
      <c r="L340" s="15">
        <f t="shared" si="67"/>
        <v>106</v>
      </c>
      <c r="M340" s="15">
        <v>211</v>
      </c>
      <c r="N340" s="15">
        <v>0</v>
      </c>
      <c r="O340" s="15">
        <v>0</v>
      </c>
      <c r="P340" s="15">
        <f t="shared" si="68"/>
        <v>0</v>
      </c>
      <c r="Q340" s="15">
        <v>0</v>
      </c>
      <c r="R340" s="15">
        <f t="shared" si="69"/>
        <v>81</v>
      </c>
      <c r="S340" s="15">
        <v>162</v>
      </c>
      <c r="T340" s="16">
        <v>0</v>
      </c>
      <c r="U340" s="15">
        <v>0</v>
      </c>
      <c r="V340" s="15">
        <v>0</v>
      </c>
      <c r="W340" s="15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46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</row>
    <row r="341" ht="20.1" customHeight="1" spans="2:223">
      <c r="B341" s="11">
        <v>15502005</v>
      </c>
      <c r="C341" s="15" t="s">
        <v>378</v>
      </c>
      <c r="D341" s="15">
        <v>1140003</v>
      </c>
      <c r="E341" s="15">
        <v>0</v>
      </c>
      <c r="F341" s="15">
        <v>1</v>
      </c>
      <c r="G341" s="15">
        <v>60</v>
      </c>
      <c r="H341" s="16">
        <v>0.2</v>
      </c>
      <c r="I341" s="26">
        <v>25</v>
      </c>
      <c r="J341" s="15">
        <v>0</v>
      </c>
      <c r="K341" s="15">
        <v>0</v>
      </c>
      <c r="L341" s="15">
        <f t="shared" si="67"/>
        <v>51</v>
      </c>
      <c r="M341" s="15">
        <v>101</v>
      </c>
      <c r="N341" s="15">
        <v>0</v>
      </c>
      <c r="O341" s="15">
        <v>0</v>
      </c>
      <c r="P341" s="15">
        <f t="shared" si="68"/>
        <v>0</v>
      </c>
      <c r="Q341" s="15">
        <v>0</v>
      </c>
      <c r="R341" s="15">
        <f t="shared" si="69"/>
        <v>116</v>
      </c>
      <c r="S341" s="15">
        <v>231</v>
      </c>
      <c r="T341" s="16">
        <v>0</v>
      </c>
      <c r="U341" s="15">
        <v>0</v>
      </c>
      <c r="V341" s="15">
        <v>0</v>
      </c>
      <c r="W341" s="15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46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</row>
    <row r="342" ht="20.1" customHeight="1" spans="2:223">
      <c r="B342" s="11">
        <v>15502006</v>
      </c>
      <c r="C342" s="15" t="s">
        <v>379</v>
      </c>
      <c r="D342" s="15">
        <v>1140003</v>
      </c>
      <c r="E342" s="15">
        <v>15031</v>
      </c>
      <c r="F342" s="15">
        <v>1</v>
      </c>
      <c r="G342" s="15">
        <v>60</v>
      </c>
      <c r="H342" s="16">
        <v>0.2</v>
      </c>
      <c r="I342" s="26">
        <v>25</v>
      </c>
      <c r="J342" s="15">
        <v>0</v>
      </c>
      <c r="K342" s="15">
        <v>0</v>
      </c>
      <c r="L342" s="15">
        <f t="shared" si="67"/>
        <v>59</v>
      </c>
      <c r="M342" s="15">
        <v>117</v>
      </c>
      <c r="N342" s="15">
        <v>0</v>
      </c>
      <c r="O342" s="15">
        <v>0</v>
      </c>
      <c r="P342" s="15">
        <f t="shared" si="68"/>
        <v>0</v>
      </c>
      <c r="Q342" s="15">
        <v>0</v>
      </c>
      <c r="R342" s="15">
        <f t="shared" si="69"/>
        <v>135</v>
      </c>
      <c r="S342" s="15">
        <v>270</v>
      </c>
      <c r="T342" s="16">
        <v>0</v>
      </c>
      <c r="U342" s="15">
        <v>0</v>
      </c>
      <c r="V342" s="15">
        <v>0</v>
      </c>
      <c r="W342" s="15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46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</row>
    <row r="343" ht="20.1" customHeight="1" spans="2:223">
      <c r="B343" s="11">
        <v>15503001</v>
      </c>
      <c r="C343" s="15" t="s">
        <v>380</v>
      </c>
      <c r="D343" s="15">
        <v>1140003</v>
      </c>
      <c r="E343" s="15">
        <v>0</v>
      </c>
      <c r="F343" s="15">
        <v>1</v>
      </c>
      <c r="G343" s="15">
        <v>60</v>
      </c>
      <c r="H343" s="16">
        <v>0.2</v>
      </c>
      <c r="I343" s="26">
        <v>25</v>
      </c>
      <c r="J343" s="15">
        <v>0</v>
      </c>
      <c r="K343" s="15">
        <v>2080</v>
      </c>
      <c r="L343" s="15">
        <f t="shared" si="67"/>
        <v>36</v>
      </c>
      <c r="M343" s="15">
        <v>72</v>
      </c>
      <c r="N343" s="15">
        <v>0</v>
      </c>
      <c r="O343" s="15">
        <v>0</v>
      </c>
      <c r="P343" s="15">
        <f t="shared" si="68"/>
        <v>61</v>
      </c>
      <c r="Q343" s="15">
        <v>122</v>
      </c>
      <c r="R343" s="15">
        <f t="shared" si="69"/>
        <v>0</v>
      </c>
      <c r="S343" s="15">
        <v>0</v>
      </c>
      <c r="T343" s="16">
        <v>0</v>
      </c>
      <c r="U343" s="15">
        <v>0</v>
      </c>
      <c r="V343" s="15">
        <v>0</v>
      </c>
      <c r="W343" s="15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46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</row>
    <row r="344" ht="20.1" customHeight="1" spans="2:223">
      <c r="B344" s="11">
        <v>15503002</v>
      </c>
      <c r="C344" s="15" t="s">
        <v>381</v>
      </c>
      <c r="D344" s="15">
        <v>1140003</v>
      </c>
      <c r="E344" s="15">
        <v>15011</v>
      </c>
      <c r="F344" s="15">
        <v>1</v>
      </c>
      <c r="G344" s="15">
        <v>60</v>
      </c>
      <c r="H344" s="16">
        <v>0.2</v>
      </c>
      <c r="I344" s="26">
        <v>25</v>
      </c>
      <c r="J344" s="15">
        <v>0</v>
      </c>
      <c r="K344" s="15">
        <v>2520</v>
      </c>
      <c r="L344" s="15">
        <f t="shared" si="67"/>
        <v>42</v>
      </c>
      <c r="M344" s="15">
        <v>84</v>
      </c>
      <c r="N344" s="15">
        <v>0</v>
      </c>
      <c r="O344" s="15">
        <v>0</v>
      </c>
      <c r="P344" s="15">
        <f t="shared" si="68"/>
        <v>72</v>
      </c>
      <c r="Q344" s="15">
        <v>144</v>
      </c>
      <c r="R344" s="15">
        <f t="shared" si="69"/>
        <v>0</v>
      </c>
      <c r="S344" s="15">
        <v>0</v>
      </c>
      <c r="T344" s="16">
        <v>0</v>
      </c>
      <c r="U344" s="15">
        <v>0</v>
      </c>
      <c r="V344" s="15">
        <v>0</v>
      </c>
      <c r="W344" s="15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46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</row>
    <row r="345" ht="20.1" customHeight="1" spans="2:223">
      <c r="B345" s="11">
        <v>15503003</v>
      </c>
      <c r="C345" s="15" t="s">
        <v>382</v>
      </c>
      <c r="D345" s="15">
        <v>1140003</v>
      </c>
      <c r="E345" s="15">
        <v>0</v>
      </c>
      <c r="F345" s="15">
        <v>1</v>
      </c>
      <c r="G345" s="15">
        <v>60</v>
      </c>
      <c r="H345" s="16">
        <v>0.2</v>
      </c>
      <c r="I345" s="26">
        <v>25</v>
      </c>
      <c r="J345" s="15">
        <v>0</v>
      </c>
      <c r="K345" s="15">
        <v>1040</v>
      </c>
      <c r="L345" s="15">
        <f t="shared" si="67"/>
        <v>49</v>
      </c>
      <c r="M345" s="15">
        <v>97</v>
      </c>
      <c r="N345" s="15">
        <v>0</v>
      </c>
      <c r="O345" s="15">
        <v>0</v>
      </c>
      <c r="P345" s="15">
        <f t="shared" si="68"/>
        <v>46</v>
      </c>
      <c r="Q345" s="15">
        <v>92</v>
      </c>
      <c r="R345" s="15">
        <f t="shared" si="69"/>
        <v>0</v>
      </c>
      <c r="S345" s="15">
        <v>0</v>
      </c>
      <c r="T345" s="16">
        <v>0</v>
      </c>
      <c r="U345" s="15">
        <v>0</v>
      </c>
      <c r="V345" s="15">
        <v>0</v>
      </c>
      <c r="W345" s="15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46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</row>
    <row r="346" ht="20.1" customHeight="1" spans="2:223">
      <c r="B346" s="11">
        <v>15503004</v>
      </c>
      <c r="C346" s="15" t="s">
        <v>383</v>
      </c>
      <c r="D346" s="15">
        <v>1140003</v>
      </c>
      <c r="E346" s="15">
        <v>15021</v>
      </c>
      <c r="F346" s="15">
        <v>1</v>
      </c>
      <c r="G346" s="15">
        <v>60</v>
      </c>
      <c r="H346" s="16">
        <v>0.2</v>
      </c>
      <c r="I346" s="26">
        <v>25</v>
      </c>
      <c r="J346" s="15">
        <v>0</v>
      </c>
      <c r="K346" s="15">
        <v>1260</v>
      </c>
      <c r="L346" s="15">
        <f t="shared" si="67"/>
        <v>57</v>
      </c>
      <c r="M346" s="15">
        <v>113</v>
      </c>
      <c r="N346" s="15">
        <v>0</v>
      </c>
      <c r="O346" s="15">
        <v>0</v>
      </c>
      <c r="P346" s="15">
        <f t="shared" si="68"/>
        <v>54</v>
      </c>
      <c r="Q346" s="15">
        <v>108</v>
      </c>
      <c r="R346" s="15">
        <f t="shared" si="69"/>
        <v>0</v>
      </c>
      <c r="S346" s="15">
        <v>0</v>
      </c>
      <c r="T346" s="16">
        <v>0</v>
      </c>
      <c r="U346" s="15">
        <v>0</v>
      </c>
      <c r="V346" s="15">
        <v>0</v>
      </c>
      <c r="W346" s="15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46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</row>
    <row r="347" ht="20.1" customHeight="1" spans="2:223">
      <c r="B347" s="11">
        <v>15503005</v>
      </c>
      <c r="C347" s="15" t="s">
        <v>384</v>
      </c>
      <c r="D347" s="15">
        <v>1140003</v>
      </c>
      <c r="E347" s="15">
        <v>0</v>
      </c>
      <c r="F347" s="15">
        <v>1</v>
      </c>
      <c r="G347" s="15">
        <v>60</v>
      </c>
      <c r="H347" s="16">
        <v>0.2</v>
      </c>
      <c r="I347" s="26">
        <v>25</v>
      </c>
      <c r="J347" s="15">
        <v>0</v>
      </c>
      <c r="K347" s="15">
        <v>3120</v>
      </c>
      <c r="L347" s="15">
        <f t="shared" si="67"/>
        <v>27</v>
      </c>
      <c r="M347" s="15">
        <v>54</v>
      </c>
      <c r="N347" s="15">
        <v>0</v>
      </c>
      <c r="O347" s="15">
        <v>0</v>
      </c>
      <c r="P347" s="15">
        <f t="shared" si="68"/>
        <v>77</v>
      </c>
      <c r="Q347" s="15">
        <v>153</v>
      </c>
      <c r="R347" s="15">
        <f t="shared" si="69"/>
        <v>0</v>
      </c>
      <c r="S347" s="15">
        <v>0</v>
      </c>
      <c r="T347" s="16">
        <v>0</v>
      </c>
      <c r="U347" s="15">
        <v>0</v>
      </c>
      <c r="V347" s="15">
        <v>0</v>
      </c>
      <c r="W347" s="15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46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</row>
    <row r="348" ht="20.1" customHeight="1" spans="2:223">
      <c r="B348" s="11">
        <v>15503006</v>
      </c>
      <c r="C348" s="15" t="s">
        <v>385</v>
      </c>
      <c r="D348" s="15">
        <v>1140003</v>
      </c>
      <c r="E348" s="15">
        <v>15031</v>
      </c>
      <c r="F348" s="15">
        <v>1</v>
      </c>
      <c r="G348" s="15">
        <v>60</v>
      </c>
      <c r="H348" s="16">
        <v>0.2</v>
      </c>
      <c r="I348" s="26">
        <v>25</v>
      </c>
      <c r="J348" s="15">
        <v>0</v>
      </c>
      <c r="K348" s="15">
        <v>3780</v>
      </c>
      <c r="L348" s="15">
        <f t="shared" si="67"/>
        <v>32</v>
      </c>
      <c r="M348" s="15">
        <v>63</v>
      </c>
      <c r="N348" s="15">
        <v>0</v>
      </c>
      <c r="O348" s="15">
        <v>0</v>
      </c>
      <c r="P348" s="15">
        <f t="shared" si="68"/>
        <v>90</v>
      </c>
      <c r="Q348" s="15">
        <v>180</v>
      </c>
      <c r="R348" s="15">
        <f t="shared" si="69"/>
        <v>0</v>
      </c>
      <c r="S348" s="15">
        <v>0</v>
      </c>
      <c r="T348" s="16">
        <v>0</v>
      </c>
      <c r="U348" s="15">
        <v>0</v>
      </c>
      <c r="V348" s="15">
        <v>0</v>
      </c>
      <c r="W348" s="15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46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</row>
    <row r="349" s="3" customFormat="1" ht="20.1" customHeight="1" spans="2:223">
      <c r="B349" s="20">
        <v>15503007</v>
      </c>
      <c r="C349" s="43" t="s">
        <v>386</v>
      </c>
      <c r="D349" s="22">
        <v>1140003</v>
      </c>
      <c r="E349" s="22">
        <v>0</v>
      </c>
      <c r="F349" s="22">
        <v>1</v>
      </c>
      <c r="G349" s="22">
        <v>60</v>
      </c>
      <c r="H349" s="23">
        <v>0.2</v>
      </c>
      <c r="I349" s="26">
        <v>25</v>
      </c>
      <c r="J349" s="22">
        <v>0</v>
      </c>
      <c r="K349" s="22">
        <v>4200</v>
      </c>
      <c r="L349" s="22">
        <v>40</v>
      </c>
      <c r="M349" s="22">
        <v>75</v>
      </c>
      <c r="N349" s="22">
        <v>0</v>
      </c>
      <c r="O349" s="22">
        <v>0</v>
      </c>
      <c r="P349" s="22">
        <f t="shared" ref="P349" si="90">ROUND(Q349/2,0)</f>
        <v>100</v>
      </c>
      <c r="Q349" s="22">
        <v>200</v>
      </c>
      <c r="R349" s="22">
        <f t="shared" ref="R349" si="91">ROUND(S349/2,0)</f>
        <v>0</v>
      </c>
      <c r="S349" s="22">
        <v>0</v>
      </c>
      <c r="T349" s="23">
        <v>0</v>
      </c>
      <c r="U349" s="22">
        <v>0</v>
      </c>
      <c r="V349" s="22">
        <v>0</v>
      </c>
      <c r="W349" s="22">
        <v>0</v>
      </c>
      <c r="X349" s="23">
        <v>0</v>
      </c>
      <c r="Y349" s="23">
        <v>0</v>
      </c>
      <c r="Z349" s="23">
        <v>0</v>
      </c>
      <c r="AA349" s="23">
        <v>202101</v>
      </c>
      <c r="AB349" s="23">
        <v>500</v>
      </c>
      <c r="AC349" s="23">
        <v>1</v>
      </c>
      <c r="AD349" s="48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35"/>
      <c r="FB349" s="35"/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  <c r="FS349" s="35"/>
      <c r="FT349" s="35"/>
      <c r="FU349" s="35"/>
      <c r="FV349" s="35"/>
      <c r="FW349" s="35"/>
      <c r="FX349" s="35"/>
      <c r="FY349" s="35"/>
      <c r="FZ349" s="35"/>
      <c r="GA349" s="35"/>
      <c r="GB349" s="35"/>
      <c r="GC349" s="35"/>
      <c r="GD349" s="35"/>
      <c r="GE349" s="35"/>
      <c r="GF349" s="35"/>
      <c r="GG349" s="35"/>
      <c r="GH349" s="35"/>
      <c r="GI349" s="35"/>
      <c r="GJ349" s="35"/>
      <c r="GK349" s="35"/>
      <c r="GL349" s="35"/>
      <c r="GM349" s="35"/>
      <c r="GN349" s="35"/>
      <c r="GO349" s="35"/>
      <c r="GP349" s="35"/>
      <c r="GQ349" s="35"/>
      <c r="GR349" s="35"/>
      <c r="GS349" s="35"/>
      <c r="GT349" s="35"/>
      <c r="GU349" s="35"/>
      <c r="GV349" s="35"/>
      <c r="GW349" s="35"/>
      <c r="GX349" s="35"/>
      <c r="GY349" s="35"/>
      <c r="GZ349" s="35"/>
      <c r="HA349" s="35"/>
      <c r="HB349" s="35"/>
      <c r="HC349" s="35"/>
      <c r="HD349" s="35"/>
      <c r="HE349" s="35"/>
      <c r="HF349" s="35"/>
      <c r="HG349" s="35"/>
      <c r="HH349" s="35"/>
      <c r="HI349" s="35"/>
      <c r="HJ349" s="35"/>
      <c r="HK349" s="35"/>
      <c r="HL349" s="35"/>
      <c r="HM349" s="35"/>
      <c r="HN349" s="35"/>
      <c r="HO349" s="35"/>
    </row>
    <row r="350" ht="20.1" customHeight="1" spans="2:223">
      <c r="B350" s="11">
        <v>15504001</v>
      </c>
      <c r="C350" s="15" t="s">
        <v>387</v>
      </c>
      <c r="D350" s="15">
        <v>1140003</v>
      </c>
      <c r="E350" s="15">
        <v>0</v>
      </c>
      <c r="F350" s="15">
        <v>1</v>
      </c>
      <c r="G350" s="15">
        <v>60</v>
      </c>
      <c r="H350" s="16">
        <v>0.2</v>
      </c>
      <c r="I350" s="26">
        <v>25</v>
      </c>
      <c r="J350" s="15">
        <v>0</v>
      </c>
      <c r="K350" s="15">
        <v>0</v>
      </c>
      <c r="L350" s="15">
        <f t="shared" si="67"/>
        <v>56</v>
      </c>
      <c r="M350" s="15">
        <v>112</v>
      </c>
      <c r="N350" s="15">
        <v>0</v>
      </c>
      <c r="O350" s="15">
        <v>0</v>
      </c>
      <c r="P350" s="15">
        <f t="shared" si="68"/>
        <v>60</v>
      </c>
      <c r="Q350" s="15">
        <v>120</v>
      </c>
      <c r="R350" s="15">
        <f t="shared" si="69"/>
        <v>60</v>
      </c>
      <c r="S350" s="15">
        <v>120</v>
      </c>
      <c r="T350" s="16">
        <v>0</v>
      </c>
      <c r="U350" s="15">
        <v>0</v>
      </c>
      <c r="V350" s="15">
        <v>0</v>
      </c>
      <c r="W350" s="15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46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</row>
    <row r="351" ht="20.1" customHeight="1" spans="2:223">
      <c r="B351" s="11">
        <v>15504002</v>
      </c>
      <c r="C351" s="15" t="s">
        <v>388</v>
      </c>
      <c r="D351" s="15">
        <v>1140003</v>
      </c>
      <c r="E351" s="15">
        <v>15011</v>
      </c>
      <c r="F351" s="15">
        <v>1</v>
      </c>
      <c r="G351" s="15">
        <v>60</v>
      </c>
      <c r="H351" s="16">
        <v>0.2</v>
      </c>
      <c r="I351" s="26">
        <v>25</v>
      </c>
      <c r="J351" s="15">
        <v>0</v>
      </c>
      <c r="K351" s="15">
        <v>0</v>
      </c>
      <c r="L351" s="15">
        <f t="shared" ref="L351:L390" si="92">ROUND(M351/2,0)</f>
        <v>66</v>
      </c>
      <c r="M351" s="15">
        <v>132</v>
      </c>
      <c r="N351" s="15">
        <v>0</v>
      </c>
      <c r="O351" s="15">
        <v>0</v>
      </c>
      <c r="P351" s="15">
        <f t="shared" ref="P351:P390" si="93">ROUND(Q351/2,0)</f>
        <v>72</v>
      </c>
      <c r="Q351" s="15">
        <v>144</v>
      </c>
      <c r="R351" s="15">
        <f t="shared" ref="R351:R390" si="94">ROUND(S351/2,0)</f>
        <v>72</v>
      </c>
      <c r="S351" s="15">
        <v>144</v>
      </c>
      <c r="T351" s="16">
        <v>0</v>
      </c>
      <c r="U351" s="15">
        <v>0</v>
      </c>
      <c r="V351" s="15">
        <v>0</v>
      </c>
      <c r="W351" s="15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46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</row>
    <row r="352" ht="20.1" customHeight="1" spans="2:223">
      <c r="B352" s="11">
        <v>15504003</v>
      </c>
      <c r="C352" s="15" t="s">
        <v>389</v>
      </c>
      <c r="D352" s="15">
        <v>1140003</v>
      </c>
      <c r="E352" s="15">
        <v>0</v>
      </c>
      <c r="F352" s="15">
        <v>1</v>
      </c>
      <c r="G352" s="15">
        <v>60</v>
      </c>
      <c r="H352" s="16">
        <v>0.2</v>
      </c>
      <c r="I352" s="26">
        <v>25</v>
      </c>
      <c r="J352" s="15">
        <v>0</v>
      </c>
      <c r="K352" s="15">
        <v>0</v>
      </c>
      <c r="L352" s="15">
        <f t="shared" si="92"/>
        <v>76</v>
      </c>
      <c r="M352" s="15">
        <v>151</v>
      </c>
      <c r="N352" s="15">
        <v>0</v>
      </c>
      <c r="O352" s="15">
        <v>0</v>
      </c>
      <c r="P352" s="15">
        <f t="shared" si="93"/>
        <v>45</v>
      </c>
      <c r="Q352" s="15">
        <v>90</v>
      </c>
      <c r="R352" s="15">
        <f t="shared" si="94"/>
        <v>45</v>
      </c>
      <c r="S352" s="15">
        <v>90</v>
      </c>
      <c r="T352" s="16">
        <v>0</v>
      </c>
      <c r="U352" s="15">
        <v>0</v>
      </c>
      <c r="V352" s="15">
        <v>0</v>
      </c>
      <c r="W352" s="15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46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</row>
    <row r="353" ht="20.1" customHeight="1" spans="2:223">
      <c r="B353" s="11">
        <v>15504004</v>
      </c>
      <c r="C353" s="15" t="s">
        <v>390</v>
      </c>
      <c r="D353" s="15">
        <v>1140003</v>
      </c>
      <c r="E353" s="15">
        <v>15021</v>
      </c>
      <c r="F353" s="15">
        <v>1</v>
      </c>
      <c r="G353" s="15">
        <v>60</v>
      </c>
      <c r="H353" s="16">
        <v>0.2</v>
      </c>
      <c r="I353" s="26">
        <v>25</v>
      </c>
      <c r="J353" s="15">
        <v>0</v>
      </c>
      <c r="K353" s="15">
        <v>0</v>
      </c>
      <c r="L353" s="15">
        <f t="shared" si="92"/>
        <v>89</v>
      </c>
      <c r="M353" s="15">
        <v>178</v>
      </c>
      <c r="N353" s="15">
        <v>0</v>
      </c>
      <c r="O353" s="15">
        <v>0</v>
      </c>
      <c r="P353" s="15">
        <f t="shared" si="93"/>
        <v>54</v>
      </c>
      <c r="Q353" s="15">
        <v>108</v>
      </c>
      <c r="R353" s="15">
        <f t="shared" si="94"/>
        <v>54</v>
      </c>
      <c r="S353" s="15">
        <v>108</v>
      </c>
      <c r="T353" s="16">
        <v>0</v>
      </c>
      <c r="U353" s="15">
        <v>0</v>
      </c>
      <c r="V353" s="15">
        <v>0</v>
      </c>
      <c r="W353" s="15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46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</row>
    <row r="354" ht="20.1" customHeight="1" spans="2:223">
      <c r="B354" s="11">
        <v>15504005</v>
      </c>
      <c r="C354" s="15" t="s">
        <v>391</v>
      </c>
      <c r="D354" s="15">
        <v>1140003</v>
      </c>
      <c r="E354" s="15">
        <v>0</v>
      </c>
      <c r="F354" s="15">
        <v>1</v>
      </c>
      <c r="G354" s="15">
        <v>60</v>
      </c>
      <c r="H354" s="16">
        <v>0.2</v>
      </c>
      <c r="I354" s="26">
        <v>25</v>
      </c>
      <c r="J354" s="15">
        <v>0</v>
      </c>
      <c r="K354" s="15">
        <v>0</v>
      </c>
      <c r="L354" s="15">
        <f t="shared" si="92"/>
        <v>42</v>
      </c>
      <c r="M354" s="15">
        <v>84</v>
      </c>
      <c r="N354" s="15">
        <v>0</v>
      </c>
      <c r="O354" s="15">
        <v>0</v>
      </c>
      <c r="P354" s="15">
        <f t="shared" si="93"/>
        <v>75</v>
      </c>
      <c r="Q354" s="15">
        <v>150</v>
      </c>
      <c r="R354" s="15">
        <f t="shared" si="94"/>
        <v>75</v>
      </c>
      <c r="S354" s="15">
        <v>150</v>
      </c>
      <c r="T354" s="16">
        <v>0</v>
      </c>
      <c r="U354" s="15">
        <v>0</v>
      </c>
      <c r="V354" s="15">
        <v>0</v>
      </c>
      <c r="W354" s="15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46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</row>
    <row r="355" ht="20.1" customHeight="1" spans="2:223">
      <c r="B355" s="11">
        <v>15504006</v>
      </c>
      <c r="C355" s="15" t="s">
        <v>392</v>
      </c>
      <c r="D355" s="15">
        <v>1140003</v>
      </c>
      <c r="E355" s="15">
        <v>15031</v>
      </c>
      <c r="F355" s="15">
        <v>1</v>
      </c>
      <c r="G355" s="15">
        <v>60</v>
      </c>
      <c r="H355" s="16">
        <v>0.2</v>
      </c>
      <c r="I355" s="26">
        <v>25</v>
      </c>
      <c r="J355" s="15">
        <v>0</v>
      </c>
      <c r="K355" s="15">
        <v>0</v>
      </c>
      <c r="L355" s="15">
        <f t="shared" si="92"/>
        <v>50</v>
      </c>
      <c r="M355" s="15">
        <v>99</v>
      </c>
      <c r="N355" s="15">
        <v>0</v>
      </c>
      <c r="O355" s="15">
        <v>0</v>
      </c>
      <c r="P355" s="15">
        <f t="shared" si="93"/>
        <v>90</v>
      </c>
      <c r="Q355" s="15">
        <v>180</v>
      </c>
      <c r="R355" s="15">
        <f t="shared" si="94"/>
        <v>90</v>
      </c>
      <c r="S355" s="15">
        <v>180</v>
      </c>
      <c r="T355" s="16">
        <v>0</v>
      </c>
      <c r="U355" s="15">
        <v>0</v>
      </c>
      <c r="V355" s="15">
        <v>0</v>
      </c>
      <c r="W355" s="15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46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</row>
    <row r="356" ht="20.1" customHeight="1" spans="2:223">
      <c r="B356" s="11">
        <v>15505001</v>
      </c>
      <c r="C356" s="15" t="s">
        <v>393</v>
      </c>
      <c r="D356" s="15">
        <v>1140003</v>
      </c>
      <c r="E356" s="15">
        <v>0</v>
      </c>
      <c r="F356" s="15">
        <v>1</v>
      </c>
      <c r="G356" s="15">
        <v>60</v>
      </c>
      <c r="H356" s="16">
        <v>0.2</v>
      </c>
      <c r="I356" s="26">
        <v>25</v>
      </c>
      <c r="J356" s="15">
        <v>0</v>
      </c>
      <c r="K356" s="15">
        <v>5250</v>
      </c>
      <c r="L356" s="15">
        <f t="shared" si="92"/>
        <v>78</v>
      </c>
      <c r="M356" s="15">
        <v>156</v>
      </c>
      <c r="N356" s="15">
        <v>0</v>
      </c>
      <c r="O356" s="15">
        <v>0</v>
      </c>
      <c r="P356" s="15">
        <f t="shared" si="93"/>
        <v>30</v>
      </c>
      <c r="Q356" s="15">
        <v>60</v>
      </c>
      <c r="R356" s="15">
        <f t="shared" si="94"/>
        <v>0</v>
      </c>
      <c r="S356" s="15">
        <v>0</v>
      </c>
      <c r="T356" s="16">
        <v>0</v>
      </c>
      <c r="U356" s="15">
        <v>0</v>
      </c>
      <c r="V356" s="15">
        <v>0</v>
      </c>
      <c r="W356" s="15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46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</row>
    <row r="357" ht="20.1" customHeight="1" spans="2:223">
      <c r="B357" s="11">
        <v>15505002</v>
      </c>
      <c r="C357" s="15" t="s">
        <v>394</v>
      </c>
      <c r="D357" s="15">
        <v>1140003</v>
      </c>
      <c r="E357" s="15">
        <v>15011</v>
      </c>
      <c r="F357" s="15">
        <v>1</v>
      </c>
      <c r="G357" s="15">
        <v>60</v>
      </c>
      <c r="H357" s="16">
        <v>0.2</v>
      </c>
      <c r="I357" s="26">
        <v>25</v>
      </c>
      <c r="J357" s="15">
        <v>0</v>
      </c>
      <c r="K357" s="15">
        <v>6300</v>
      </c>
      <c r="L357" s="15">
        <f t="shared" si="92"/>
        <v>90</v>
      </c>
      <c r="M357" s="15">
        <v>180</v>
      </c>
      <c r="N357" s="15">
        <v>0</v>
      </c>
      <c r="O357" s="15">
        <v>0</v>
      </c>
      <c r="P357" s="15">
        <f t="shared" si="93"/>
        <v>36</v>
      </c>
      <c r="Q357" s="15">
        <v>72</v>
      </c>
      <c r="R357" s="15">
        <f t="shared" si="94"/>
        <v>0</v>
      </c>
      <c r="S357" s="15">
        <v>0</v>
      </c>
      <c r="T357" s="16">
        <v>0</v>
      </c>
      <c r="U357" s="15">
        <v>0</v>
      </c>
      <c r="V357" s="15">
        <v>0</v>
      </c>
      <c r="W357" s="15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46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</row>
    <row r="358" ht="20.1" customHeight="1" spans="2:223">
      <c r="B358" s="11">
        <v>15505003</v>
      </c>
      <c r="C358" s="15" t="s">
        <v>395</v>
      </c>
      <c r="D358" s="15">
        <v>1140003</v>
      </c>
      <c r="E358" s="15">
        <v>0</v>
      </c>
      <c r="F358" s="15">
        <v>1</v>
      </c>
      <c r="G358" s="15">
        <v>60</v>
      </c>
      <c r="H358" s="16">
        <v>0.2</v>
      </c>
      <c r="I358" s="26">
        <v>25</v>
      </c>
      <c r="J358" s="15">
        <v>0</v>
      </c>
      <c r="K358" s="15">
        <v>2630</v>
      </c>
      <c r="L358" s="15">
        <f t="shared" si="92"/>
        <v>106</v>
      </c>
      <c r="M358" s="15">
        <v>211</v>
      </c>
      <c r="N358" s="15">
        <v>0</v>
      </c>
      <c r="O358" s="15">
        <v>0</v>
      </c>
      <c r="P358" s="15">
        <f t="shared" si="93"/>
        <v>23</v>
      </c>
      <c r="Q358" s="15">
        <v>45</v>
      </c>
      <c r="R358" s="15">
        <f t="shared" si="94"/>
        <v>0</v>
      </c>
      <c r="S358" s="15">
        <v>0</v>
      </c>
      <c r="T358" s="16">
        <v>0</v>
      </c>
      <c r="U358" s="15">
        <v>0</v>
      </c>
      <c r="V358" s="15">
        <v>0</v>
      </c>
      <c r="W358" s="15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46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</row>
    <row r="359" ht="20.1" customHeight="1" spans="2:223">
      <c r="B359" s="11">
        <v>15505004</v>
      </c>
      <c r="C359" s="15" t="s">
        <v>396</v>
      </c>
      <c r="D359" s="15">
        <v>1140003</v>
      </c>
      <c r="E359" s="15">
        <v>15021</v>
      </c>
      <c r="F359" s="15">
        <v>1</v>
      </c>
      <c r="G359" s="15">
        <v>60</v>
      </c>
      <c r="H359" s="16">
        <v>0.2</v>
      </c>
      <c r="I359" s="26">
        <v>25</v>
      </c>
      <c r="J359" s="15">
        <v>0</v>
      </c>
      <c r="K359" s="15">
        <v>3150</v>
      </c>
      <c r="L359" s="15">
        <f t="shared" si="92"/>
        <v>122</v>
      </c>
      <c r="M359" s="15">
        <v>243</v>
      </c>
      <c r="N359" s="15">
        <v>0</v>
      </c>
      <c r="O359" s="15">
        <v>0</v>
      </c>
      <c r="P359" s="15">
        <f t="shared" si="93"/>
        <v>27</v>
      </c>
      <c r="Q359" s="15">
        <v>54</v>
      </c>
      <c r="R359" s="15">
        <f t="shared" si="94"/>
        <v>0</v>
      </c>
      <c r="S359" s="15">
        <v>0</v>
      </c>
      <c r="T359" s="16">
        <v>0</v>
      </c>
      <c r="U359" s="15">
        <v>0</v>
      </c>
      <c r="V359" s="15">
        <v>0</v>
      </c>
      <c r="W359" s="15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46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</row>
    <row r="360" ht="20.1" customHeight="1" spans="2:223">
      <c r="B360" s="11">
        <v>15505005</v>
      </c>
      <c r="C360" s="15" t="s">
        <v>397</v>
      </c>
      <c r="D360" s="15">
        <v>1140003</v>
      </c>
      <c r="E360" s="15">
        <v>0</v>
      </c>
      <c r="F360" s="15">
        <v>1</v>
      </c>
      <c r="G360" s="15">
        <v>60</v>
      </c>
      <c r="H360" s="16">
        <v>0.2</v>
      </c>
      <c r="I360" s="26">
        <v>25</v>
      </c>
      <c r="J360" s="15">
        <v>0</v>
      </c>
      <c r="K360" s="15">
        <v>7880</v>
      </c>
      <c r="L360" s="15">
        <f t="shared" si="92"/>
        <v>59</v>
      </c>
      <c r="M360" s="15">
        <v>117</v>
      </c>
      <c r="N360" s="15">
        <v>0</v>
      </c>
      <c r="O360" s="15">
        <v>0</v>
      </c>
      <c r="P360" s="15">
        <f t="shared" si="93"/>
        <v>38</v>
      </c>
      <c r="Q360" s="15">
        <v>75</v>
      </c>
      <c r="R360" s="15">
        <f t="shared" si="94"/>
        <v>0</v>
      </c>
      <c r="S360" s="15">
        <v>0</v>
      </c>
      <c r="T360" s="16">
        <v>0</v>
      </c>
      <c r="U360" s="15">
        <v>0</v>
      </c>
      <c r="V360" s="15">
        <v>0</v>
      </c>
      <c r="W360" s="15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46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</row>
    <row r="361" ht="20.1" customHeight="1" spans="2:223">
      <c r="B361" s="11">
        <v>15505006</v>
      </c>
      <c r="C361" s="15" t="s">
        <v>398</v>
      </c>
      <c r="D361" s="15">
        <v>1140003</v>
      </c>
      <c r="E361" s="15">
        <v>15031</v>
      </c>
      <c r="F361" s="15">
        <v>1</v>
      </c>
      <c r="G361" s="15">
        <v>60</v>
      </c>
      <c r="H361" s="16">
        <v>0.2</v>
      </c>
      <c r="I361" s="26">
        <v>25</v>
      </c>
      <c r="J361" s="15">
        <v>0</v>
      </c>
      <c r="K361" s="15">
        <v>9450</v>
      </c>
      <c r="L361" s="15">
        <f t="shared" si="92"/>
        <v>68</v>
      </c>
      <c r="M361" s="15">
        <v>135</v>
      </c>
      <c r="N361" s="15">
        <v>0</v>
      </c>
      <c r="O361" s="15">
        <v>0</v>
      </c>
      <c r="P361" s="15">
        <f t="shared" si="93"/>
        <v>45</v>
      </c>
      <c r="Q361" s="15">
        <v>90</v>
      </c>
      <c r="R361" s="15">
        <f t="shared" si="94"/>
        <v>0</v>
      </c>
      <c r="S361" s="15">
        <v>0</v>
      </c>
      <c r="T361" s="16">
        <v>0</v>
      </c>
      <c r="U361" s="15">
        <v>0</v>
      </c>
      <c r="V361" s="15">
        <v>0</v>
      </c>
      <c r="W361" s="15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46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</row>
    <row r="362" ht="20.1" customHeight="1" spans="2:223">
      <c r="B362" s="11">
        <v>15506001</v>
      </c>
      <c r="C362" s="15" t="s">
        <v>399</v>
      </c>
      <c r="D362" s="15">
        <v>1140002</v>
      </c>
      <c r="E362" s="15">
        <v>0</v>
      </c>
      <c r="F362" s="15">
        <v>1</v>
      </c>
      <c r="G362" s="15">
        <v>60</v>
      </c>
      <c r="H362" s="16">
        <v>0.2</v>
      </c>
      <c r="I362" s="26">
        <v>25</v>
      </c>
      <c r="J362" s="15">
        <v>0</v>
      </c>
      <c r="K362" s="15">
        <v>0</v>
      </c>
      <c r="L362" s="15">
        <f t="shared" si="92"/>
        <v>150</v>
      </c>
      <c r="M362" s="15">
        <v>300</v>
      </c>
      <c r="N362" s="15">
        <v>0</v>
      </c>
      <c r="O362" s="15">
        <v>0</v>
      </c>
      <c r="P362" s="15">
        <f t="shared" si="93"/>
        <v>45</v>
      </c>
      <c r="Q362" s="15">
        <v>90</v>
      </c>
      <c r="R362" s="15">
        <f t="shared" si="94"/>
        <v>0</v>
      </c>
      <c r="S362" s="15">
        <v>0</v>
      </c>
      <c r="T362" s="16">
        <v>0</v>
      </c>
      <c r="U362" s="15">
        <v>0</v>
      </c>
      <c r="V362" s="15">
        <v>0</v>
      </c>
      <c r="W362" s="15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46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</row>
    <row r="363" ht="20.1" customHeight="1" spans="2:223">
      <c r="B363" s="11">
        <v>15506002</v>
      </c>
      <c r="C363" s="15" t="s">
        <v>400</v>
      </c>
      <c r="D363" s="15">
        <v>1140002</v>
      </c>
      <c r="E363" s="15">
        <v>0</v>
      </c>
      <c r="F363" s="15">
        <v>1</v>
      </c>
      <c r="G363" s="15">
        <v>60</v>
      </c>
      <c r="H363" s="16">
        <v>0.2</v>
      </c>
      <c r="I363" s="26">
        <v>25</v>
      </c>
      <c r="J363" s="15">
        <v>0</v>
      </c>
      <c r="K363" s="15">
        <v>0</v>
      </c>
      <c r="L363" s="15">
        <f t="shared" si="92"/>
        <v>180</v>
      </c>
      <c r="M363" s="15">
        <v>360</v>
      </c>
      <c r="N363" s="15">
        <v>0</v>
      </c>
      <c r="O363" s="15">
        <v>0</v>
      </c>
      <c r="P363" s="15">
        <f t="shared" si="93"/>
        <v>54</v>
      </c>
      <c r="Q363" s="15">
        <v>108</v>
      </c>
      <c r="R363" s="15">
        <f t="shared" si="94"/>
        <v>0</v>
      </c>
      <c r="S363" s="15">
        <v>0</v>
      </c>
      <c r="T363" s="16">
        <v>0</v>
      </c>
      <c r="U363" s="15">
        <v>0</v>
      </c>
      <c r="V363" s="15">
        <v>0</v>
      </c>
      <c r="W363" s="15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46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</row>
    <row r="364" ht="20.1" customHeight="1" spans="2:223">
      <c r="B364" s="11">
        <v>15506003</v>
      </c>
      <c r="C364" s="39" t="s">
        <v>401</v>
      </c>
      <c r="D364" s="15">
        <v>1140002</v>
      </c>
      <c r="E364" s="15">
        <v>15051</v>
      </c>
      <c r="F364" s="15">
        <v>1</v>
      </c>
      <c r="G364" s="15">
        <v>60</v>
      </c>
      <c r="H364" s="16">
        <v>0.2</v>
      </c>
      <c r="I364" s="26">
        <v>25</v>
      </c>
      <c r="J364" s="15">
        <v>0</v>
      </c>
      <c r="K364" s="15">
        <v>0</v>
      </c>
      <c r="L364" s="15">
        <v>200</v>
      </c>
      <c r="M364" s="15">
        <v>400</v>
      </c>
      <c r="N364" s="15">
        <v>0</v>
      </c>
      <c r="O364" s="15">
        <v>0</v>
      </c>
      <c r="P364" s="15">
        <v>56</v>
      </c>
      <c r="Q364" s="15">
        <v>120</v>
      </c>
      <c r="R364" s="15">
        <f t="shared" ref="R364" si="95">ROUND(S364/2,0)</f>
        <v>0</v>
      </c>
      <c r="S364" s="15">
        <v>0</v>
      </c>
      <c r="T364" s="16">
        <v>0</v>
      </c>
      <c r="U364" s="15">
        <v>0</v>
      </c>
      <c r="V364" s="15">
        <v>0</v>
      </c>
      <c r="W364" s="15">
        <v>0</v>
      </c>
      <c r="X364" s="16">
        <v>0</v>
      </c>
      <c r="Y364" s="16">
        <v>0</v>
      </c>
      <c r="Z364" s="16">
        <v>0</v>
      </c>
      <c r="AA364" s="16">
        <v>200103</v>
      </c>
      <c r="AB364" s="16">
        <v>500</v>
      </c>
      <c r="AC364" s="16">
        <v>1</v>
      </c>
      <c r="AD364" s="46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</row>
    <row r="365" ht="20.1" customHeight="1" spans="2:223">
      <c r="B365" s="11">
        <v>15507001</v>
      </c>
      <c r="C365" s="15" t="s">
        <v>402</v>
      </c>
      <c r="D365" s="15">
        <v>1140002</v>
      </c>
      <c r="E365" s="15">
        <v>0</v>
      </c>
      <c r="F365" s="15">
        <v>1</v>
      </c>
      <c r="G365" s="15">
        <v>60</v>
      </c>
      <c r="H365" s="16">
        <v>0.2</v>
      </c>
      <c r="I365" s="26">
        <v>25</v>
      </c>
      <c r="J365" s="15">
        <v>0</v>
      </c>
      <c r="K365" s="15">
        <v>0</v>
      </c>
      <c r="L365" s="15">
        <f t="shared" si="92"/>
        <v>150</v>
      </c>
      <c r="M365" s="15">
        <v>300</v>
      </c>
      <c r="N365" s="15">
        <v>0</v>
      </c>
      <c r="O365" s="15">
        <v>0</v>
      </c>
      <c r="P365" s="15">
        <f t="shared" si="93"/>
        <v>0</v>
      </c>
      <c r="Q365" s="15">
        <v>0</v>
      </c>
      <c r="R365" s="15">
        <f t="shared" si="94"/>
        <v>45</v>
      </c>
      <c r="S365" s="15">
        <v>90</v>
      </c>
      <c r="T365" s="16">
        <v>0</v>
      </c>
      <c r="U365" s="15">
        <v>0</v>
      </c>
      <c r="V365" s="15">
        <v>0</v>
      </c>
      <c r="W365" s="15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46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</row>
    <row r="366" ht="20.1" customHeight="1" spans="2:223">
      <c r="B366" s="11">
        <v>15507002</v>
      </c>
      <c r="C366" s="15" t="s">
        <v>403</v>
      </c>
      <c r="D366" s="15">
        <v>1140002</v>
      </c>
      <c r="E366" s="15">
        <v>0</v>
      </c>
      <c r="F366" s="15">
        <v>1</v>
      </c>
      <c r="G366" s="15">
        <v>60</v>
      </c>
      <c r="H366" s="16">
        <v>0.2</v>
      </c>
      <c r="I366" s="26">
        <v>25</v>
      </c>
      <c r="J366" s="15">
        <v>0</v>
      </c>
      <c r="K366" s="15">
        <v>0</v>
      </c>
      <c r="L366" s="15">
        <f t="shared" si="92"/>
        <v>180</v>
      </c>
      <c r="M366" s="15">
        <v>360</v>
      </c>
      <c r="N366" s="15">
        <v>0</v>
      </c>
      <c r="O366" s="15">
        <v>0</v>
      </c>
      <c r="P366" s="15">
        <f t="shared" si="93"/>
        <v>0</v>
      </c>
      <c r="Q366" s="15">
        <v>0</v>
      </c>
      <c r="R366" s="15">
        <f t="shared" si="94"/>
        <v>54</v>
      </c>
      <c r="S366" s="15">
        <v>108</v>
      </c>
      <c r="T366" s="16">
        <v>0</v>
      </c>
      <c r="U366" s="15">
        <v>0</v>
      </c>
      <c r="V366" s="15">
        <v>0</v>
      </c>
      <c r="W366" s="15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46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</row>
    <row r="367" s="3" customFormat="1" ht="20.1" customHeight="1" spans="2:223">
      <c r="B367" s="20">
        <v>15507003</v>
      </c>
      <c r="C367" s="22" t="s">
        <v>404</v>
      </c>
      <c r="D367" s="22">
        <v>1140002</v>
      </c>
      <c r="E367" s="22">
        <v>0</v>
      </c>
      <c r="F367" s="22">
        <v>1</v>
      </c>
      <c r="G367" s="22">
        <v>60</v>
      </c>
      <c r="H367" s="23">
        <v>0.2</v>
      </c>
      <c r="I367" s="26">
        <v>25</v>
      </c>
      <c r="J367" s="22">
        <v>0</v>
      </c>
      <c r="K367" s="22">
        <v>0</v>
      </c>
      <c r="L367" s="22">
        <f t="shared" ref="L367" si="96">ROUND(M367/2,0)</f>
        <v>210</v>
      </c>
      <c r="M367" s="22">
        <v>420</v>
      </c>
      <c r="N367" s="22">
        <v>0</v>
      </c>
      <c r="O367" s="22">
        <v>0</v>
      </c>
      <c r="P367" s="22">
        <f t="shared" ref="P367" si="97">ROUND(Q367/2,0)</f>
        <v>0</v>
      </c>
      <c r="Q367" s="22">
        <v>0</v>
      </c>
      <c r="R367" s="22">
        <f t="shared" ref="R367" si="98">ROUND(S367/2,0)</f>
        <v>60</v>
      </c>
      <c r="S367" s="22">
        <v>120</v>
      </c>
      <c r="T367" s="23">
        <v>0</v>
      </c>
      <c r="U367" s="22">
        <v>0</v>
      </c>
      <c r="V367" s="22">
        <v>0</v>
      </c>
      <c r="W367" s="22">
        <v>0</v>
      </c>
      <c r="X367" s="23">
        <v>0</v>
      </c>
      <c r="Y367" s="23">
        <v>0</v>
      </c>
      <c r="Z367" s="23">
        <v>0</v>
      </c>
      <c r="AA367" s="23">
        <v>0</v>
      </c>
      <c r="AB367" s="23">
        <v>0</v>
      </c>
      <c r="AC367" s="23">
        <v>0</v>
      </c>
      <c r="AD367" s="48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35"/>
      <c r="FB367" s="35"/>
      <c r="FC367" s="35"/>
      <c r="FD367" s="35"/>
      <c r="FE367" s="35"/>
      <c r="FF367" s="35"/>
      <c r="FG367" s="35"/>
      <c r="FH367" s="35"/>
      <c r="FI367" s="35"/>
      <c r="FJ367" s="35"/>
      <c r="FK367" s="35"/>
      <c r="FL367" s="35"/>
      <c r="FM367" s="35"/>
      <c r="FN367" s="35"/>
      <c r="FO367" s="35"/>
      <c r="FP367" s="35"/>
      <c r="FQ367" s="35"/>
      <c r="FR367" s="35"/>
      <c r="FS367" s="35"/>
      <c r="FT367" s="35"/>
      <c r="FU367" s="35"/>
      <c r="FV367" s="35"/>
      <c r="FW367" s="35"/>
      <c r="FX367" s="35"/>
      <c r="FY367" s="35"/>
      <c r="FZ367" s="35"/>
      <c r="GA367" s="35"/>
      <c r="GB367" s="35"/>
      <c r="GC367" s="35"/>
      <c r="GD367" s="35"/>
      <c r="GE367" s="35"/>
      <c r="GF367" s="35"/>
      <c r="GG367" s="35"/>
      <c r="GH367" s="35"/>
      <c r="GI367" s="35"/>
      <c r="GJ367" s="35"/>
      <c r="GK367" s="35"/>
      <c r="GL367" s="35"/>
      <c r="GM367" s="35"/>
      <c r="GN367" s="35"/>
      <c r="GO367" s="35"/>
      <c r="GP367" s="35"/>
      <c r="GQ367" s="35"/>
      <c r="GR367" s="35"/>
      <c r="GS367" s="35"/>
      <c r="GT367" s="35"/>
      <c r="GU367" s="35"/>
      <c r="GV367" s="35"/>
      <c r="GW367" s="35"/>
      <c r="GX367" s="35"/>
      <c r="GY367" s="35"/>
      <c r="GZ367" s="35"/>
      <c r="HA367" s="35"/>
      <c r="HB367" s="35"/>
      <c r="HC367" s="35"/>
      <c r="HD367" s="35"/>
      <c r="HE367" s="35"/>
      <c r="HF367" s="35"/>
      <c r="HG367" s="35"/>
      <c r="HH367" s="35"/>
      <c r="HI367" s="35"/>
      <c r="HJ367" s="35"/>
      <c r="HK367" s="35"/>
      <c r="HL367" s="35"/>
      <c r="HM367" s="35"/>
      <c r="HN367" s="35"/>
      <c r="HO367" s="35"/>
    </row>
    <row r="368" ht="20.1" customHeight="1" spans="2:223">
      <c r="B368" s="11">
        <v>15508001</v>
      </c>
      <c r="C368" s="15" t="s">
        <v>157</v>
      </c>
      <c r="D368" s="15">
        <v>1140002</v>
      </c>
      <c r="E368" s="15">
        <v>0</v>
      </c>
      <c r="F368" s="15">
        <v>1</v>
      </c>
      <c r="G368" s="15">
        <v>60</v>
      </c>
      <c r="H368" s="16">
        <v>0.2</v>
      </c>
      <c r="I368" s="26">
        <v>25</v>
      </c>
      <c r="J368" s="15">
        <v>0</v>
      </c>
      <c r="K368" s="15">
        <v>0</v>
      </c>
      <c r="L368" s="15">
        <f t="shared" si="92"/>
        <v>25</v>
      </c>
      <c r="M368" s="15">
        <v>50</v>
      </c>
      <c r="N368" s="15">
        <v>0</v>
      </c>
      <c r="O368" s="15">
        <v>0</v>
      </c>
      <c r="P368" s="15">
        <f t="shared" si="93"/>
        <v>0</v>
      </c>
      <c r="Q368" s="15">
        <v>0</v>
      </c>
      <c r="R368" s="15">
        <f t="shared" si="94"/>
        <v>0</v>
      </c>
      <c r="S368" s="15">
        <v>0</v>
      </c>
      <c r="T368" s="16">
        <v>0</v>
      </c>
      <c r="U368" s="15">
        <v>0</v>
      </c>
      <c r="V368" s="15">
        <v>0</v>
      </c>
      <c r="W368" s="15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46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</row>
    <row r="369" ht="20.1" customHeight="1" spans="2:223">
      <c r="B369" s="11">
        <v>15508002</v>
      </c>
      <c r="C369" s="15" t="s">
        <v>405</v>
      </c>
      <c r="D369" s="15">
        <v>1140002</v>
      </c>
      <c r="E369" s="15">
        <v>0</v>
      </c>
      <c r="F369" s="15">
        <v>1</v>
      </c>
      <c r="G369" s="15">
        <v>60</v>
      </c>
      <c r="H369" s="16">
        <v>0.2</v>
      </c>
      <c r="I369" s="26">
        <v>25</v>
      </c>
      <c r="J369" s="15">
        <v>0</v>
      </c>
      <c r="K369" s="15">
        <v>0</v>
      </c>
      <c r="L369" s="15">
        <v>30</v>
      </c>
      <c r="M369" s="15">
        <v>65</v>
      </c>
      <c r="N369" s="15">
        <v>0</v>
      </c>
      <c r="O369" s="15">
        <v>0</v>
      </c>
      <c r="P369" s="15">
        <f t="shared" si="93"/>
        <v>0</v>
      </c>
      <c r="Q369" s="15">
        <v>0</v>
      </c>
      <c r="R369" s="15">
        <f t="shared" si="94"/>
        <v>0</v>
      </c>
      <c r="S369" s="15">
        <v>0</v>
      </c>
      <c r="T369" s="16">
        <v>0</v>
      </c>
      <c r="U369" s="15">
        <v>0</v>
      </c>
      <c r="V369" s="15">
        <v>0</v>
      </c>
      <c r="W369" s="15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46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</row>
    <row r="370" s="3" customFormat="1" ht="20.1" customHeight="1" spans="2:223">
      <c r="B370" s="20">
        <v>15508003</v>
      </c>
      <c r="C370" s="45" t="s">
        <v>406</v>
      </c>
      <c r="D370" s="22">
        <v>1140002</v>
      </c>
      <c r="E370" s="22">
        <v>0</v>
      </c>
      <c r="F370" s="22">
        <v>1</v>
      </c>
      <c r="G370" s="22">
        <v>60</v>
      </c>
      <c r="H370" s="23">
        <v>0.2</v>
      </c>
      <c r="I370" s="26">
        <v>25</v>
      </c>
      <c r="J370" s="22">
        <v>0</v>
      </c>
      <c r="K370" s="22">
        <v>0</v>
      </c>
      <c r="L370" s="22">
        <v>30</v>
      </c>
      <c r="M370" s="22">
        <v>80</v>
      </c>
      <c r="N370" s="22">
        <v>0</v>
      </c>
      <c r="O370" s="22">
        <v>0</v>
      </c>
      <c r="P370" s="22">
        <f t="shared" ref="P370" si="99">ROUND(Q370/2,0)</f>
        <v>0</v>
      </c>
      <c r="Q370" s="22">
        <v>0</v>
      </c>
      <c r="R370" s="22">
        <f t="shared" ref="R370" si="100">ROUND(S370/2,0)</f>
        <v>0</v>
      </c>
      <c r="S370" s="22">
        <v>0</v>
      </c>
      <c r="T370" s="23">
        <v>0</v>
      </c>
      <c r="U370" s="22">
        <v>0</v>
      </c>
      <c r="V370" s="22">
        <v>0</v>
      </c>
      <c r="W370" s="22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48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35"/>
      <c r="FB370" s="35"/>
      <c r="FC370" s="35"/>
      <c r="FD370" s="35"/>
      <c r="FE370" s="35"/>
      <c r="FF370" s="35"/>
      <c r="FG370" s="35"/>
      <c r="FH370" s="35"/>
      <c r="FI370" s="35"/>
      <c r="FJ370" s="35"/>
      <c r="FK370" s="35"/>
      <c r="FL370" s="35"/>
      <c r="FM370" s="35"/>
      <c r="FN370" s="35"/>
      <c r="FO370" s="35"/>
      <c r="FP370" s="35"/>
      <c r="FQ370" s="35"/>
      <c r="FR370" s="35"/>
      <c r="FS370" s="35"/>
      <c r="FT370" s="35"/>
      <c r="FU370" s="35"/>
      <c r="FV370" s="35"/>
      <c r="FW370" s="35"/>
      <c r="FX370" s="35"/>
      <c r="FY370" s="35"/>
      <c r="FZ370" s="35"/>
      <c r="GA370" s="35"/>
      <c r="GB370" s="35"/>
      <c r="GC370" s="35"/>
      <c r="GD370" s="35"/>
      <c r="GE370" s="35"/>
      <c r="GF370" s="35"/>
      <c r="GG370" s="35"/>
      <c r="GH370" s="35"/>
      <c r="GI370" s="35"/>
      <c r="GJ370" s="35"/>
      <c r="GK370" s="35"/>
      <c r="GL370" s="35"/>
      <c r="GM370" s="35"/>
      <c r="GN370" s="35"/>
      <c r="GO370" s="35"/>
      <c r="GP370" s="35"/>
      <c r="GQ370" s="35"/>
      <c r="GR370" s="35"/>
      <c r="GS370" s="35"/>
      <c r="GT370" s="35"/>
      <c r="GU370" s="35"/>
      <c r="GV370" s="35"/>
      <c r="GW370" s="35"/>
      <c r="GX370" s="35"/>
      <c r="GY370" s="35"/>
      <c r="GZ370" s="35"/>
      <c r="HA370" s="35"/>
      <c r="HB370" s="35"/>
      <c r="HC370" s="35"/>
      <c r="HD370" s="35"/>
      <c r="HE370" s="35"/>
      <c r="HF370" s="35"/>
      <c r="HG370" s="35"/>
      <c r="HH370" s="35"/>
      <c r="HI370" s="35"/>
      <c r="HJ370" s="35"/>
      <c r="HK370" s="35"/>
      <c r="HL370" s="35"/>
      <c r="HM370" s="35"/>
      <c r="HN370" s="35"/>
      <c r="HO370" s="35"/>
    </row>
    <row r="371" ht="20.1" customHeight="1" spans="2:223">
      <c r="B371" s="11">
        <v>15509001</v>
      </c>
      <c r="C371" s="15" t="s">
        <v>407</v>
      </c>
      <c r="D371" s="15">
        <v>1140001</v>
      </c>
      <c r="E371" s="15">
        <v>0</v>
      </c>
      <c r="F371" s="15">
        <v>1</v>
      </c>
      <c r="G371" s="15">
        <v>60</v>
      </c>
      <c r="H371" s="16">
        <v>0.2</v>
      </c>
      <c r="I371" s="26">
        <v>25</v>
      </c>
      <c r="J371" s="15">
        <v>0</v>
      </c>
      <c r="K371" s="15">
        <v>8650</v>
      </c>
      <c r="L371" s="15">
        <f t="shared" si="92"/>
        <v>0</v>
      </c>
      <c r="M371" s="15">
        <v>0</v>
      </c>
      <c r="N371" s="15">
        <v>0</v>
      </c>
      <c r="O371" s="15">
        <v>0</v>
      </c>
      <c r="P371" s="15">
        <f t="shared" si="93"/>
        <v>0</v>
      </c>
      <c r="Q371" s="15">
        <v>0</v>
      </c>
      <c r="R371" s="15">
        <f t="shared" si="94"/>
        <v>0</v>
      </c>
      <c r="S371" s="15">
        <v>0</v>
      </c>
      <c r="T371" s="16">
        <v>0</v>
      </c>
      <c r="U371" s="15">
        <v>0</v>
      </c>
      <c r="V371" s="15">
        <v>0</v>
      </c>
      <c r="W371" s="15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46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</row>
    <row r="372" ht="20.1" customHeight="1" spans="2:223">
      <c r="B372" s="11">
        <v>15509002</v>
      </c>
      <c r="C372" s="15" t="s">
        <v>408</v>
      </c>
      <c r="D372" s="15">
        <v>1140001</v>
      </c>
      <c r="E372" s="15">
        <v>0</v>
      </c>
      <c r="F372" s="15">
        <v>1</v>
      </c>
      <c r="G372" s="15">
        <v>60</v>
      </c>
      <c r="H372" s="16">
        <v>0.2</v>
      </c>
      <c r="I372" s="26">
        <v>25</v>
      </c>
      <c r="J372" s="15">
        <v>0</v>
      </c>
      <c r="K372" s="15">
        <v>10080</v>
      </c>
      <c r="L372" s="15">
        <f t="shared" si="92"/>
        <v>0</v>
      </c>
      <c r="M372" s="15">
        <v>0</v>
      </c>
      <c r="N372" s="15">
        <v>0</v>
      </c>
      <c r="O372" s="15">
        <v>0</v>
      </c>
      <c r="P372" s="15">
        <f t="shared" si="93"/>
        <v>0</v>
      </c>
      <c r="Q372" s="15">
        <v>0</v>
      </c>
      <c r="R372" s="15">
        <f t="shared" si="94"/>
        <v>0</v>
      </c>
      <c r="S372" s="15">
        <v>0</v>
      </c>
      <c r="T372" s="16">
        <v>0</v>
      </c>
      <c r="U372" s="15">
        <v>0</v>
      </c>
      <c r="V372" s="15">
        <v>0</v>
      </c>
      <c r="W372" s="15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46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</row>
    <row r="373" s="3" customFormat="1" ht="20.1" customHeight="1" spans="2:223">
      <c r="B373" s="20">
        <v>15509003</v>
      </c>
      <c r="C373" s="45" t="s">
        <v>409</v>
      </c>
      <c r="D373" s="22">
        <v>1140001</v>
      </c>
      <c r="E373" s="22">
        <v>0</v>
      </c>
      <c r="F373" s="22">
        <v>1</v>
      </c>
      <c r="G373" s="22">
        <v>60</v>
      </c>
      <c r="H373" s="23">
        <v>0.2</v>
      </c>
      <c r="I373" s="26">
        <v>25</v>
      </c>
      <c r="J373" s="22">
        <v>0</v>
      </c>
      <c r="K373" s="22">
        <v>11020</v>
      </c>
      <c r="L373" s="22">
        <f t="shared" ref="L373" si="101">ROUND(M373/2,0)</f>
        <v>0</v>
      </c>
      <c r="M373" s="22">
        <v>0</v>
      </c>
      <c r="N373" s="22">
        <v>0</v>
      </c>
      <c r="O373" s="22">
        <v>0</v>
      </c>
      <c r="P373" s="22">
        <f t="shared" ref="P373" si="102">ROUND(Q373/2,0)</f>
        <v>0</v>
      </c>
      <c r="Q373" s="22">
        <v>0</v>
      </c>
      <c r="R373" s="22">
        <f t="shared" ref="R373" si="103">ROUND(S373/2,0)</f>
        <v>0</v>
      </c>
      <c r="S373" s="22">
        <v>0</v>
      </c>
      <c r="T373" s="23">
        <v>0</v>
      </c>
      <c r="U373" s="22">
        <v>0</v>
      </c>
      <c r="V373" s="22">
        <v>0</v>
      </c>
      <c r="W373" s="22">
        <v>0</v>
      </c>
      <c r="X373" s="23">
        <v>0</v>
      </c>
      <c r="Y373" s="23">
        <v>0</v>
      </c>
      <c r="Z373" s="23">
        <v>0</v>
      </c>
      <c r="AA373" s="23">
        <v>0</v>
      </c>
      <c r="AB373" s="23">
        <v>0</v>
      </c>
      <c r="AC373" s="23">
        <v>0</v>
      </c>
      <c r="AD373" s="48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35"/>
      <c r="FB373" s="35"/>
      <c r="FC373" s="35"/>
      <c r="FD373" s="35"/>
      <c r="FE373" s="35"/>
      <c r="FF373" s="35"/>
      <c r="FG373" s="35"/>
      <c r="FH373" s="35"/>
      <c r="FI373" s="35"/>
      <c r="FJ373" s="35"/>
      <c r="FK373" s="35"/>
      <c r="FL373" s="35"/>
      <c r="FM373" s="35"/>
      <c r="FN373" s="35"/>
      <c r="FO373" s="35"/>
      <c r="FP373" s="35"/>
      <c r="FQ373" s="35"/>
      <c r="FR373" s="35"/>
      <c r="FS373" s="35"/>
      <c r="FT373" s="35"/>
      <c r="FU373" s="35"/>
      <c r="FV373" s="35"/>
      <c r="FW373" s="35"/>
      <c r="FX373" s="35"/>
      <c r="FY373" s="35"/>
      <c r="FZ373" s="35"/>
      <c r="GA373" s="35"/>
      <c r="GB373" s="35"/>
      <c r="GC373" s="35"/>
      <c r="GD373" s="35"/>
      <c r="GE373" s="35"/>
      <c r="GF373" s="35"/>
      <c r="GG373" s="35"/>
      <c r="GH373" s="35"/>
      <c r="GI373" s="35"/>
      <c r="GJ373" s="35"/>
      <c r="GK373" s="35"/>
      <c r="GL373" s="35"/>
      <c r="GM373" s="35"/>
      <c r="GN373" s="35"/>
      <c r="GO373" s="35"/>
      <c r="GP373" s="35"/>
      <c r="GQ373" s="35"/>
      <c r="GR373" s="35"/>
      <c r="GS373" s="35"/>
      <c r="GT373" s="35"/>
      <c r="GU373" s="35"/>
      <c r="GV373" s="35"/>
      <c r="GW373" s="35"/>
      <c r="GX373" s="35"/>
      <c r="GY373" s="35"/>
      <c r="GZ373" s="35"/>
      <c r="HA373" s="35"/>
      <c r="HB373" s="35"/>
      <c r="HC373" s="35"/>
      <c r="HD373" s="35"/>
      <c r="HE373" s="35"/>
      <c r="HF373" s="35"/>
      <c r="HG373" s="35"/>
      <c r="HH373" s="35"/>
      <c r="HI373" s="35"/>
      <c r="HJ373" s="35"/>
      <c r="HK373" s="35"/>
      <c r="HL373" s="35"/>
      <c r="HM373" s="35"/>
      <c r="HN373" s="35"/>
      <c r="HO373" s="35"/>
    </row>
    <row r="374" ht="20.1" customHeight="1" spans="2:223">
      <c r="B374" s="11">
        <v>15510001</v>
      </c>
      <c r="C374" s="11" t="s">
        <v>410</v>
      </c>
      <c r="D374" s="15">
        <v>1140001</v>
      </c>
      <c r="E374" s="15">
        <v>0</v>
      </c>
      <c r="F374" s="15">
        <v>1</v>
      </c>
      <c r="G374" s="15">
        <v>60</v>
      </c>
      <c r="H374" s="16">
        <v>0.2</v>
      </c>
      <c r="I374" s="26">
        <v>25</v>
      </c>
      <c r="J374" s="15">
        <v>0</v>
      </c>
      <c r="K374" s="15">
        <v>0</v>
      </c>
      <c r="L374" s="15">
        <f t="shared" si="92"/>
        <v>425</v>
      </c>
      <c r="M374" s="15">
        <v>850</v>
      </c>
      <c r="N374" s="15">
        <v>0</v>
      </c>
      <c r="O374" s="15">
        <v>0</v>
      </c>
      <c r="P374" s="15">
        <f t="shared" si="93"/>
        <v>0</v>
      </c>
      <c r="Q374" s="15">
        <v>0</v>
      </c>
      <c r="R374" s="15">
        <f t="shared" si="94"/>
        <v>0</v>
      </c>
      <c r="S374" s="15">
        <v>0</v>
      </c>
      <c r="T374" s="16">
        <v>0</v>
      </c>
      <c r="U374" s="15">
        <v>0</v>
      </c>
      <c r="V374" s="15">
        <v>0</v>
      </c>
      <c r="W374" s="15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46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</row>
    <row r="375" ht="20.1" customHeight="1" spans="2:223">
      <c r="B375" s="11">
        <v>15510002</v>
      </c>
      <c r="C375" s="11" t="s">
        <v>411</v>
      </c>
      <c r="D375" s="15">
        <v>1140001</v>
      </c>
      <c r="E375" s="15">
        <v>0</v>
      </c>
      <c r="F375" s="15">
        <v>1</v>
      </c>
      <c r="G375" s="15">
        <v>60</v>
      </c>
      <c r="H375" s="16">
        <v>0.2</v>
      </c>
      <c r="I375" s="26">
        <v>25</v>
      </c>
      <c r="J375" s="15">
        <v>0</v>
      </c>
      <c r="K375" s="15">
        <v>0</v>
      </c>
      <c r="L375" s="15">
        <f t="shared" si="92"/>
        <v>504</v>
      </c>
      <c r="M375" s="15">
        <v>1008</v>
      </c>
      <c r="N375" s="15">
        <v>0</v>
      </c>
      <c r="O375" s="15">
        <v>0</v>
      </c>
      <c r="P375" s="15">
        <f t="shared" si="93"/>
        <v>0</v>
      </c>
      <c r="Q375" s="15">
        <v>0</v>
      </c>
      <c r="R375" s="15">
        <f t="shared" si="94"/>
        <v>0</v>
      </c>
      <c r="S375" s="15">
        <v>0</v>
      </c>
      <c r="T375" s="16">
        <v>0</v>
      </c>
      <c r="U375" s="15">
        <v>0</v>
      </c>
      <c r="V375" s="15">
        <v>0</v>
      </c>
      <c r="W375" s="15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46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</row>
    <row r="376" ht="20.1" customHeight="1" spans="2:223">
      <c r="B376" s="11">
        <v>15510003</v>
      </c>
      <c r="C376" s="11" t="s">
        <v>412</v>
      </c>
      <c r="D376" s="15">
        <v>1140001</v>
      </c>
      <c r="E376" s="15">
        <v>0</v>
      </c>
      <c r="F376" s="15">
        <v>1</v>
      </c>
      <c r="G376" s="15">
        <v>60</v>
      </c>
      <c r="H376" s="16">
        <v>0.2</v>
      </c>
      <c r="I376" s="26">
        <v>25</v>
      </c>
      <c r="J376" s="15">
        <v>0</v>
      </c>
      <c r="K376" s="15">
        <v>0</v>
      </c>
      <c r="L376" s="15">
        <f t="shared" si="92"/>
        <v>425</v>
      </c>
      <c r="M376" s="15">
        <v>850</v>
      </c>
      <c r="N376" s="15">
        <v>0</v>
      </c>
      <c r="O376" s="15">
        <v>0</v>
      </c>
      <c r="P376" s="15">
        <f t="shared" si="93"/>
        <v>0</v>
      </c>
      <c r="Q376" s="15">
        <v>0</v>
      </c>
      <c r="R376" s="15">
        <f t="shared" si="94"/>
        <v>0</v>
      </c>
      <c r="S376" s="15">
        <v>0</v>
      </c>
      <c r="T376" s="16">
        <v>0</v>
      </c>
      <c r="U376" s="15">
        <v>0</v>
      </c>
      <c r="V376" s="15">
        <v>0</v>
      </c>
      <c r="W376" s="15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46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</row>
    <row r="377" ht="20.1" customHeight="1" spans="2:223">
      <c r="B377" s="11">
        <v>15510004</v>
      </c>
      <c r="C377" s="11" t="s">
        <v>413</v>
      </c>
      <c r="D377" s="15">
        <v>1140001</v>
      </c>
      <c r="E377" s="15">
        <v>0</v>
      </c>
      <c r="F377" s="15">
        <v>1</v>
      </c>
      <c r="G377" s="15">
        <v>60</v>
      </c>
      <c r="H377" s="16">
        <v>0.2</v>
      </c>
      <c r="I377" s="26">
        <v>25</v>
      </c>
      <c r="J377" s="15">
        <v>0</v>
      </c>
      <c r="K377" s="15">
        <v>0</v>
      </c>
      <c r="L377" s="15">
        <f t="shared" si="92"/>
        <v>504</v>
      </c>
      <c r="M377" s="15">
        <v>1008</v>
      </c>
      <c r="N377" s="15">
        <v>0</v>
      </c>
      <c r="O377" s="15">
        <v>0</v>
      </c>
      <c r="P377" s="15">
        <f t="shared" si="93"/>
        <v>0</v>
      </c>
      <c r="Q377" s="15">
        <v>0</v>
      </c>
      <c r="R377" s="15">
        <f t="shared" si="94"/>
        <v>0</v>
      </c>
      <c r="S377" s="15">
        <v>0</v>
      </c>
      <c r="T377" s="16">
        <v>0</v>
      </c>
      <c r="U377" s="15">
        <v>0</v>
      </c>
      <c r="V377" s="15">
        <v>0</v>
      </c>
      <c r="W377" s="15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46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</row>
    <row r="378" ht="20.1" customHeight="1" spans="2:223">
      <c r="B378" s="11">
        <v>15510011</v>
      </c>
      <c r="C378" s="39" t="s">
        <v>414</v>
      </c>
      <c r="D378" s="15">
        <v>1140001</v>
      </c>
      <c r="E378" s="15">
        <v>15051</v>
      </c>
      <c r="F378" s="15">
        <v>1</v>
      </c>
      <c r="G378" s="15">
        <v>60</v>
      </c>
      <c r="H378" s="16">
        <v>0.2</v>
      </c>
      <c r="I378" s="26">
        <v>25</v>
      </c>
      <c r="J378" s="15">
        <v>0</v>
      </c>
      <c r="K378" s="15">
        <v>0</v>
      </c>
      <c r="L378" s="15">
        <v>520</v>
      </c>
      <c r="M378" s="15">
        <v>1120</v>
      </c>
      <c r="N378" s="15">
        <v>0</v>
      </c>
      <c r="O378" s="15">
        <v>0</v>
      </c>
      <c r="P378" s="15">
        <f t="shared" ref="P378:P379" si="104">ROUND(Q378/2,0)</f>
        <v>0</v>
      </c>
      <c r="Q378" s="15">
        <v>0</v>
      </c>
      <c r="R378" s="15">
        <f t="shared" ref="R378:R379" si="105">ROUND(S378/2,0)</f>
        <v>0</v>
      </c>
      <c r="S378" s="15">
        <v>0</v>
      </c>
      <c r="T378" s="16">
        <v>0</v>
      </c>
      <c r="U378" s="15">
        <v>0</v>
      </c>
      <c r="V378" s="15">
        <v>0</v>
      </c>
      <c r="W378" s="15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50">
        <v>100009</v>
      </c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</row>
    <row r="379" ht="20.1" customHeight="1" spans="2:223">
      <c r="B379" s="11">
        <v>15510012</v>
      </c>
      <c r="C379" s="39" t="s">
        <v>415</v>
      </c>
      <c r="D379" s="15">
        <v>1140001</v>
      </c>
      <c r="E379" s="15">
        <v>15051</v>
      </c>
      <c r="F379" s="15">
        <v>1</v>
      </c>
      <c r="G379" s="15">
        <v>60</v>
      </c>
      <c r="H379" s="16">
        <v>0.2</v>
      </c>
      <c r="I379" s="26">
        <v>25</v>
      </c>
      <c r="J379" s="15">
        <v>0</v>
      </c>
      <c r="K379" s="15">
        <v>0</v>
      </c>
      <c r="L379" s="15">
        <v>520</v>
      </c>
      <c r="M379" s="15">
        <v>1120</v>
      </c>
      <c r="N379" s="15">
        <v>0</v>
      </c>
      <c r="O379" s="15">
        <v>0</v>
      </c>
      <c r="P379" s="15">
        <f t="shared" si="104"/>
        <v>0</v>
      </c>
      <c r="Q379" s="15">
        <v>0</v>
      </c>
      <c r="R379" s="15">
        <f t="shared" si="105"/>
        <v>0</v>
      </c>
      <c r="S379" s="15">
        <v>0</v>
      </c>
      <c r="T379" s="16">
        <v>0</v>
      </c>
      <c r="U379" s="15">
        <v>0</v>
      </c>
      <c r="V379" s="15">
        <v>0</v>
      </c>
      <c r="W379" s="15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46">
        <v>100008</v>
      </c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</row>
    <row r="380" ht="20.1" customHeight="1" spans="2:223">
      <c r="B380" s="11">
        <v>15510121</v>
      </c>
      <c r="C380" s="39" t="s">
        <v>416</v>
      </c>
      <c r="D380" s="15">
        <v>1140001</v>
      </c>
      <c r="E380" s="15">
        <v>15051</v>
      </c>
      <c r="F380" s="15">
        <v>1</v>
      </c>
      <c r="G380" s="15">
        <v>60</v>
      </c>
      <c r="H380" s="16">
        <v>0.2</v>
      </c>
      <c r="I380" s="26">
        <v>25</v>
      </c>
      <c r="J380" s="15">
        <v>0</v>
      </c>
      <c r="K380" s="15">
        <v>0</v>
      </c>
      <c r="L380" s="15">
        <v>520</v>
      </c>
      <c r="M380" s="15">
        <v>1120</v>
      </c>
      <c r="N380" s="15">
        <v>0</v>
      </c>
      <c r="O380" s="15">
        <v>0</v>
      </c>
      <c r="P380" s="15">
        <f t="shared" ref="P380:P384" si="106">ROUND(Q380/2,0)</f>
        <v>0</v>
      </c>
      <c r="Q380" s="15">
        <v>0</v>
      </c>
      <c r="R380" s="15">
        <f t="shared" ref="R380:R384" si="107">ROUND(S380/2,0)</f>
        <v>0</v>
      </c>
      <c r="S380" s="15">
        <v>0</v>
      </c>
      <c r="T380" s="16">
        <v>0</v>
      </c>
      <c r="U380" s="15">
        <v>0</v>
      </c>
      <c r="V380" s="15">
        <v>0</v>
      </c>
      <c r="W380" s="15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46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</row>
    <row r="381" ht="20.1" customHeight="1" spans="2:223">
      <c r="B381" s="11">
        <v>15510122</v>
      </c>
      <c r="C381" s="39" t="s">
        <v>417</v>
      </c>
      <c r="D381" s="15">
        <v>1140001</v>
      </c>
      <c r="E381" s="15">
        <v>15051</v>
      </c>
      <c r="F381" s="15">
        <v>1</v>
      </c>
      <c r="G381" s="15">
        <v>60</v>
      </c>
      <c r="H381" s="16">
        <v>0.2</v>
      </c>
      <c r="I381" s="26">
        <v>25</v>
      </c>
      <c r="J381" s="15">
        <v>0</v>
      </c>
      <c r="K381" s="15">
        <v>0</v>
      </c>
      <c r="L381" s="15">
        <v>520</v>
      </c>
      <c r="M381" s="15">
        <v>1120</v>
      </c>
      <c r="N381" s="15">
        <v>0</v>
      </c>
      <c r="O381" s="15">
        <v>0</v>
      </c>
      <c r="P381" s="15">
        <f t="shared" si="106"/>
        <v>0</v>
      </c>
      <c r="Q381" s="15">
        <v>0</v>
      </c>
      <c r="R381" s="15">
        <f t="shared" si="107"/>
        <v>0</v>
      </c>
      <c r="S381" s="15">
        <v>0</v>
      </c>
      <c r="T381" s="16">
        <v>0</v>
      </c>
      <c r="U381" s="15">
        <v>0</v>
      </c>
      <c r="V381" s="15">
        <v>0</v>
      </c>
      <c r="W381" s="15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46">
        <v>100010</v>
      </c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</row>
    <row r="382" ht="20.1" customHeight="1" spans="2:223">
      <c r="B382" s="11">
        <v>15510201</v>
      </c>
      <c r="C382" s="11" t="s">
        <v>418</v>
      </c>
      <c r="D382" s="15">
        <v>1140001</v>
      </c>
      <c r="E382" s="15">
        <v>0</v>
      </c>
      <c r="F382" s="15">
        <v>1</v>
      </c>
      <c r="G382" s="15">
        <v>60</v>
      </c>
      <c r="H382" s="16">
        <v>0.2</v>
      </c>
      <c r="I382" s="26">
        <v>25</v>
      </c>
      <c r="J382" s="15">
        <v>0</v>
      </c>
      <c r="K382" s="15">
        <v>0</v>
      </c>
      <c r="L382" s="15">
        <f t="shared" ref="L382:L383" si="108">ROUND(M382/2,0)</f>
        <v>425</v>
      </c>
      <c r="M382" s="15">
        <v>850</v>
      </c>
      <c r="N382" s="15">
        <v>0</v>
      </c>
      <c r="O382" s="15">
        <v>0</v>
      </c>
      <c r="P382" s="15">
        <f t="shared" si="106"/>
        <v>0</v>
      </c>
      <c r="Q382" s="15">
        <v>0</v>
      </c>
      <c r="R382" s="15">
        <f t="shared" si="107"/>
        <v>0</v>
      </c>
      <c r="S382" s="15">
        <v>0</v>
      </c>
      <c r="T382" s="16">
        <v>0</v>
      </c>
      <c r="U382" s="15">
        <v>0</v>
      </c>
      <c r="V382" s="15">
        <v>0</v>
      </c>
      <c r="W382" s="15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46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</row>
    <row r="383" ht="20.1" customHeight="1" spans="2:223">
      <c r="B383" s="11">
        <v>15510202</v>
      </c>
      <c r="C383" s="11" t="s">
        <v>419</v>
      </c>
      <c r="D383" s="15">
        <v>1140001</v>
      </c>
      <c r="E383" s="15">
        <v>0</v>
      </c>
      <c r="F383" s="15">
        <v>1</v>
      </c>
      <c r="G383" s="15">
        <v>60</v>
      </c>
      <c r="H383" s="16">
        <v>0.2</v>
      </c>
      <c r="I383" s="26">
        <v>25</v>
      </c>
      <c r="J383" s="15">
        <v>0</v>
      </c>
      <c r="K383" s="15">
        <v>0</v>
      </c>
      <c r="L383" s="15">
        <f t="shared" si="108"/>
        <v>504</v>
      </c>
      <c r="M383" s="15">
        <v>1008</v>
      </c>
      <c r="N383" s="15">
        <v>0</v>
      </c>
      <c r="O383" s="15">
        <v>0</v>
      </c>
      <c r="P383" s="15">
        <f t="shared" si="106"/>
        <v>0</v>
      </c>
      <c r="Q383" s="15">
        <v>0</v>
      </c>
      <c r="R383" s="15">
        <f t="shared" si="107"/>
        <v>0</v>
      </c>
      <c r="S383" s="15">
        <v>0</v>
      </c>
      <c r="T383" s="16">
        <v>0</v>
      </c>
      <c r="U383" s="15">
        <v>0</v>
      </c>
      <c r="V383" s="15">
        <v>0</v>
      </c>
      <c r="W383" s="15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46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</row>
    <row r="384" ht="20.1" customHeight="1" spans="2:223">
      <c r="B384" s="11">
        <v>15510211</v>
      </c>
      <c r="C384" s="39" t="s">
        <v>420</v>
      </c>
      <c r="D384" s="15">
        <v>1140001</v>
      </c>
      <c r="E384" s="15">
        <v>15051</v>
      </c>
      <c r="F384" s="15">
        <v>1</v>
      </c>
      <c r="G384" s="15">
        <v>60</v>
      </c>
      <c r="H384" s="16">
        <v>0.2</v>
      </c>
      <c r="I384" s="26">
        <v>25</v>
      </c>
      <c r="J384" s="15">
        <v>0</v>
      </c>
      <c r="K384" s="15">
        <v>0</v>
      </c>
      <c r="L384" s="15">
        <v>520</v>
      </c>
      <c r="M384" s="15">
        <v>1120</v>
      </c>
      <c r="N384" s="15">
        <v>0</v>
      </c>
      <c r="O384" s="15">
        <v>0</v>
      </c>
      <c r="P384" s="15">
        <f t="shared" si="106"/>
        <v>0</v>
      </c>
      <c r="Q384" s="15">
        <v>0</v>
      </c>
      <c r="R384" s="15">
        <f t="shared" si="107"/>
        <v>0</v>
      </c>
      <c r="S384" s="15">
        <v>0</v>
      </c>
      <c r="T384" s="16">
        <v>0</v>
      </c>
      <c r="U384" s="15">
        <v>0</v>
      </c>
      <c r="V384" s="15">
        <v>0</v>
      </c>
      <c r="W384" s="15">
        <v>0</v>
      </c>
      <c r="X384" s="16">
        <v>0</v>
      </c>
      <c r="Y384" s="16">
        <v>0</v>
      </c>
      <c r="Z384" s="16">
        <v>0</v>
      </c>
      <c r="AA384" s="16">
        <v>200103</v>
      </c>
      <c r="AB384" s="16">
        <v>500</v>
      </c>
      <c r="AC384" s="16">
        <v>1</v>
      </c>
      <c r="AD384" s="50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</row>
    <row r="385" ht="20.1" customHeight="1" spans="2:223">
      <c r="B385" s="11">
        <v>15511001</v>
      </c>
      <c r="C385" s="15" t="s">
        <v>421</v>
      </c>
      <c r="D385" s="15">
        <v>1140003</v>
      </c>
      <c r="E385" s="15">
        <v>0</v>
      </c>
      <c r="F385" s="15">
        <v>1</v>
      </c>
      <c r="G385" s="15">
        <v>60</v>
      </c>
      <c r="H385" s="16">
        <v>0.2</v>
      </c>
      <c r="I385" s="26">
        <v>25</v>
      </c>
      <c r="J385" s="15">
        <v>0</v>
      </c>
      <c r="K385" s="15">
        <v>6100</v>
      </c>
      <c r="L385" s="15">
        <f t="shared" si="92"/>
        <v>0</v>
      </c>
      <c r="M385" s="15">
        <v>0</v>
      </c>
      <c r="N385" s="15">
        <v>0</v>
      </c>
      <c r="O385" s="15">
        <v>0</v>
      </c>
      <c r="P385" s="15">
        <f t="shared" si="93"/>
        <v>75</v>
      </c>
      <c r="Q385" s="15">
        <v>150</v>
      </c>
      <c r="R385" s="15">
        <f t="shared" si="94"/>
        <v>75</v>
      </c>
      <c r="S385" s="15">
        <v>150</v>
      </c>
      <c r="T385" s="16">
        <v>0</v>
      </c>
      <c r="U385" s="15">
        <v>0</v>
      </c>
      <c r="V385" s="15">
        <v>0</v>
      </c>
      <c r="W385" s="15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</row>
    <row r="386" ht="20.1" customHeight="1" spans="2:223">
      <c r="B386" s="11">
        <v>15511002</v>
      </c>
      <c r="C386" s="15" t="s">
        <v>422</v>
      </c>
      <c r="D386" s="15">
        <v>1140003</v>
      </c>
      <c r="E386" s="15">
        <v>15011</v>
      </c>
      <c r="F386" s="15">
        <v>1</v>
      </c>
      <c r="G386" s="15">
        <v>60</v>
      </c>
      <c r="H386" s="16">
        <v>0.2</v>
      </c>
      <c r="I386" s="26">
        <v>25</v>
      </c>
      <c r="J386" s="15">
        <v>0</v>
      </c>
      <c r="K386" s="15">
        <v>7200</v>
      </c>
      <c r="L386" s="15">
        <f t="shared" si="92"/>
        <v>0</v>
      </c>
      <c r="M386" s="15">
        <v>0</v>
      </c>
      <c r="N386" s="15">
        <v>0</v>
      </c>
      <c r="O386" s="15">
        <v>0</v>
      </c>
      <c r="P386" s="15">
        <f t="shared" si="93"/>
        <v>90</v>
      </c>
      <c r="Q386" s="15">
        <v>180</v>
      </c>
      <c r="R386" s="15">
        <f t="shared" si="94"/>
        <v>90</v>
      </c>
      <c r="S386" s="15">
        <v>180</v>
      </c>
      <c r="T386" s="16">
        <v>0</v>
      </c>
      <c r="U386" s="15">
        <v>0</v>
      </c>
      <c r="V386" s="15">
        <v>0</v>
      </c>
      <c r="W386" s="15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</row>
    <row r="387" ht="20.1" customHeight="1" spans="2:223">
      <c r="B387" s="11">
        <v>15511003</v>
      </c>
      <c r="C387" s="15" t="s">
        <v>423</v>
      </c>
      <c r="D387" s="15">
        <v>1140003</v>
      </c>
      <c r="E387" s="15">
        <v>0</v>
      </c>
      <c r="F387" s="15">
        <v>1</v>
      </c>
      <c r="G387" s="15">
        <v>60</v>
      </c>
      <c r="H387" s="16">
        <v>0.2</v>
      </c>
      <c r="I387" s="26">
        <v>25</v>
      </c>
      <c r="J387" s="15">
        <v>0</v>
      </c>
      <c r="K387" s="15">
        <v>3050</v>
      </c>
      <c r="L387" s="15">
        <f t="shared" si="92"/>
        <v>0</v>
      </c>
      <c r="M387" s="15">
        <v>0</v>
      </c>
      <c r="N387" s="15">
        <v>0</v>
      </c>
      <c r="O387" s="15">
        <v>0</v>
      </c>
      <c r="P387" s="15">
        <f t="shared" si="93"/>
        <v>57</v>
      </c>
      <c r="Q387" s="15">
        <v>113</v>
      </c>
      <c r="R387" s="15">
        <f t="shared" si="94"/>
        <v>57</v>
      </c>
      <c r="S387" s="15">
        <v>113</v>
      </c>
      <c r="T387" s="16">
        <v>0</v>
      </c>
      <c r="U387" s="15">
        <v>0</v>
      </c>
      <c r="V387" s="15">
        <v>0</v>
      </c>
      <c r="W387" s="15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</row>
    <row r="388" ht="20.1" customHeight="1" spans="2:223">
      <c r="B388" s="11">
        <v>15511004</v>
      </c>
      <c r="C388" s="15" t="s">
        <v>424</v>
      </c>
      <c r="D388" s="15">
        <v>1140003</v>
      </c>
      <c r="E388" s="15">
        <v>15021</v>
      </c>
      <c r="F388" s="15">
        <v>1</v>
      </c>
      <c r="G388" s="15">
        <v>60</v>
      </c>
      <c r="H388" s="16">
        <v>0.2</v>
      </c>
      <c r="I388" s="26">
        <v>25</v>
      </c>
      <c r="J388" s="15">
        <v>0</v>
      </c>
      <c r="K388" s="15">
        <v>3600</v>
      </c>
      <c r="L388" s="15">
        <f t="shared" si="92"/>
        <v>0</v>
      </c>
      <c r="M388" s="15">
        <v>0</v>
      </c>
      <c r="N388" s="15">
        <v>0</v>
      </c>
      <c r="O388" s="15">
        <v>0</v>
      </c>
      <c r="P388" s="15">
        <f t="shared" si="93"/>
        <v>68</v>
      </c>
      <c r="Q388" s="15">
        <v>135</v>
      </c>
      <c r="R388" s="15">
        <f t="shared" si="94"/>
        <v>68</v>
      </c>
      <c r="S388" s="15">
        <v>135</v>
      </c>
      <c r="T388" s="16">
        <v>0</v>
      </c>
      <c r="U388" s="15">
        <v>0</v>
      </c>
      <c r="V388" s="15">
        <v>0</v>
      </c>
      <c r="W388" s="15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</row>
    <row r="389" ht="20.1" customHeight="1" spans="2:223">
      <c r="B389" s="11">
        <v>15511005</v>
      </c>
      <c r="C389" s="15" t="s">
        <v>425</v>
      </c>
      <c r="D389" s="15">
        <v>1140003</v>
      </c>
      <c r="E389" s="15">
        <v>0</v>
      </c>
      <c r="F389" s="15">
        <v>1</v>
      </c>
      <c r="G389" s="15">
        <v>60</v>
      </c>
      <c r="H389" s="16">
        <v>0.2</v>
      </c>
      <c r="I389" s="26">
        <v>25</v>
      </c>
      <c r="J389" s="15">
        <v>0</v>
      </c>
      <c r="K389" s="15">
        <f>K385*1.5</f>
        <v>9150</v>
      </c>
      <c r="L389" s="15">
        <f t="shared" si="92"/>
        <v>0</v>
      </c>
      <c r="M389" s="15">
        <v>0</v>
      </c>
      <c r="N389" s="15">
        <v>0</v>
      </c>
      <c r="O389" s="15">
        <v>0</v>
      </c>
      <c r="P389" s="15">
        <f t="shared" si="93"/>
        <v>94</v>
      </c>
      <c r="Q389" s="15">
        <v>188</v>
      </c>
      <c r="R389" s="15">
        <f t="shared" si="94"/>
        <v>94</v>
      </c>
      <c r="S389" s="15">
        <v>188</v>
      </c>
      <c r="T389" s="16">
        <v>0</v>
      </c>
      <c r="U389" s="15">
        <v>0</v>
      </c>
      <c r="V389" s="15">
        <v>0</v>
      </c>
      <c r="W389" s="15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</row>
    <row r="390" ht="20.1" customHeight="1" spans="2:223">
      <c r="B390" s="11">
        <v>15511006</v>
      </c>
      <c r="C390" s="15" t="s">
        <v>426</v>
      </c>
      <c r="D390" s="15">
        <v>1140003</v>
      </c>
      <c r="E390" s="15">
        <v>15031</v>
      </c>
      <c r="F390" s="15">
        <v>1</v>
      </c>
      <c r="G390" s="15">
        <v>60</v>
      </c>
      <c r="H390" s="16">
        <v>0.2</v>
      </c>
      <c r="I390" s="26">
        <v>25</v>
      </c>
      <c r="J390" s="15">
        <v>0</v>
      </c>
      <c r="K390" s="15">
        <f>K386*1.5</f>
        <v>10800</v>
      </c>
      <c r="L390" s="15">
        <f t="shared" si="92"/>
        <v>0</v>
      </c>
      <c r="M390" s="15">
        <v>0</v>
      </c>
      <c r="N390" s="15">
        <v>0</v>
      </c>
      <c r="O390" s="15">
        <v>0</v>
      </c>
      <c r="P390" s="15">
        <f t="shared" si="93"/>
        <v>113</v>
      </c>
      <c r="Q390" s="15">
        <v>225</v>
      </c>
      <c r="R390" s="15">
        <f t="shared" si="94"/>
        <v>113</v>
      </c>
      <c r="S390" s="15">
        <v>225</v>
      </c>
      <c r="T390" s="16">
        <v>0</v>
      </c>
      <c r="U390" s="15">
        <v>0</v>
      </c>
      <c r="V390" s="15">
        <v>0</v>
      </c>
      <c r="W390" s="15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</row>
    <row r="391" ht="20.1" customHeight="1" spans="2:223">
      <c r="B391" s="11">
        <v>15511011</v>
      </c>
      <c r="C391" s="39" t="s">
        <v>427</v>
      </c>
      <c r="D391" s="15">
        <v>1140003</v>
      </c>
      <c r="E391" s="15">
        <v>15011</v>
      </c>
      <c r="F391" s="15">
        <v>1</v>
      </c>
      <c r="G391" s="15">
        <v>60</v>
      </c>
      <c r="H391" s="16">
        <v>0.2</v>
      </c>
      <c r="I391" s="26">
        <v>25</v>
      </c>
      <c r="J391" s="15">
        <v>0</v>
      </c>
      <c r="K391" s="15">
        <v>8280</v>
      </c>
      <c r="L391" s="15">
        <v>0</v>
      </c>
      <c r="M391" s="15">
        <v>0</v>
      </c>
      <c r="N391" s="15">
        <v>0</v>
      </c>
      <c r="O391" s="15">
        <v>0</v>
      </c>
      <c r="P391" s="15">
        <v>100</v>
      </c>
      <c r="Q391" s="15">
        <v>200</v>
      </c>
      <c r="R391" s="15">
        <v>100</v>
      </c>
      <c r="S391" s="15">
        <v>200</v>
      </c>
      <c r="T391" s="16">
        <v>0</v>
      </c>
      <c r="U391" s="15">
        <v>0</v>
      </c>
      <c r="V391" s="15">
        <v>0</v>
      </c>
      <c r="W391" s="15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</row>
    <row r="392" ht="20.1" customHeight="1" spans="2:223">
      <c r="B392" s="11">
        <v>15511012</v>
      </c>
      <c r="C392" s="39" t="s">
        <v>428</v>
      </c>
      <c r="D392" s="15">
        <v>1140003</v>
      </c>
      <c r="E392" s="15">
        <v>15021</v>
      </c>
      <c r="F392" s="15">
        <v>1</v>
      </c>
      <c r="G392" s="15">
        <v>60</v>
      </c>
      <c r="H392" s="16">
        <v>0.2</v>
      </c>
      <c r="I392" s="26">
        <v>25</v>
      </c>
      <c r="J392" s="15">
        <v>0</v>
      </c>
      <c r="K392" s="15">
        <v>4140</v>
      </c>
      <c r="L392" s="15">
        <v>0</v>
      </c>
      <c r="M392" s="15">
        <v>0</v>
      </c>
      <c r="N392" s="15">
        <v>0</v>
      </c>
      <c r="O392" s="15">
        <v>0</v>
      </c>
      <c r="P392" s="15">
        <v>76</v>
      </c>
      <c r="Q392" s="15">
        <v>148</v>
      </c>
      <c r="R392" s="15">
        <v>76</v>
      </c>
      <c r="S392" s="15">
        <v>148</v>
      </c>
      <c r="T392" s="16">
        <v>0</v>
      </c>
      <c r="U392" s="15">
        <v>0</v>
      </c>
      <c r="V392" s="15">
        <v>0</v>
      </c>
      <c r="W392" s="15">
        <v>0</v>
      </c>
      <c r="X392" s="16">
        <v>0</v>
      </c>
      <c r="Y392" s="16">
        <v>0</v>
      </c>
      <c r="Z392" s="16">
        <v>0</v>
      </c>
      <c r="AA392" s="16">
        <v>100402</v>
      </c>
      <c r="AB392" s="16">
        <v>500</v>
      </c>
      <c r="AC392" s="16">
        <v>1</v>
      </c>
      <c r="AD392" s="16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</row>
    <row r="393" ht="20.1" customHeight="1" spans="2:223">
      <c r="B393" s="11">
        <v>15511013</v>
      </c>
      <c r="C393" s="39" t="s">
        <v>429</v>
      </c>
      <c r="D393" s="15">
        <v>1140003</v>
      </c>
      <c r="E393" s="15">
        <v>15031</v>
      </c>
      <c r="F393" s="15">
        <v>1</v>
      </c>
      <c r="G393" s="15">
        <v>60</v>
      </c>
      <c r="H393" s="16">
        <v>0.2</v>
      </c>
      <c r="I393" s="26">
        <v>25</v>
      </c>
      <c r="J393" s="15">
        <v>0</v>
      </c>
      <c r="K393" s="15">
        <f>K391*1.5</f>
        <v>12420</v>
      </c>
      <c r="L393" s="15">
        <v>0</v>
      </c>
      <c r="M393" s="15">
        <v>0</v>
      </c>
      <c r="N393" s="15">
        <v>0</v>
      </c>
      <c r="O393" s="15">
        <v>0</v>
      </c>
      <c r="P393" s="15">
        <v>120</v>
      </c>
      <c r="Q393" s="15">
        <v>245</v>
      </c>
      <c r="R393" s="15">
        <v>120</v>
      </c>
      <c r="S393" s="15">
        <v>245</v>
      </c>
      <c r="T393" s="16">
        <v>0</v>
      </c>
      <c r="U393" s="15">
        <v>0</v>
      </c>
      <c r="V393" s="15">
        <v>0</v>
      </c>
      <c r="W393" s="15">
        <v>0</v>
      </c>
      <c r="X393" s="16">
        <v>0</v>
      </c>
      <c r="Y393" s="16">
        <v>0</v>
      </c>
      <c r="Z393" s="16">
        <v>0</v>
      </c>
      <c r="AA393" s="16">
        <v>200303</v>
      </c>
      <c r="AB393" s="16">
        <v>500</v>
      </c>
      <c r="AC393" s="16">
        <v>1</v>
      </c>
      <c r="AD393" s="16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</row>
    <row r="394" ht="20.1" customHeight="1" spans="2:223">
      <c r="B394" s="11">
        <v>15601001</v>
      </c>
      <c r="C394" s="15" t="s">
        <v>369</v>
      </c>
      <c r="D394" s="15">
        <v>1140003</v>
      </c>
      <c r="E394" s="15">
        <v>16011</v>
      </c>
      <c r="F394" s="15">
        <v>1</v>
      </c>
      <c r="G394" s="15">
        <v>60</v>
      </c>
      <c r="H394" s="16">
        <v>0.2</v>
      </c>
      <c r="I394" s="26">
        <v>25</v>
      </c>
      <c r="J394" s="15">
        <v>0</v>
      </c>
      <c r="K394" s="15">
        <v>0</v>
      </c>
      <c r="L394" s="15">
        <v>70</v>
      </c>
      <c r="M394" s="15">
        <v>140</v>
      </c>
      <c r="N394" s="15">
        <v>0</v>
      </c>
      <c r="O394" s="15">
        <v>0</v>
      </c>
      <c r="P394" s="15">
        <v>40</v>
      </c>
      <c r="Q394" s="15">
        <v>90</v>
      </c>
      <c r="R394" s="15">
        <v>40</v>
      </c>
      <c r="S394" s="15">
        <v>90</v>
      </c>
      <c r="T394" s="16">
        <v>0</v>
      </c>
      <c r="U394" s="15">
        <v>0</v>
      </c>
      <c r="V394" s="15">
        <v>0</v>
      </c>
      <c r="W394" s="15">
        <v>0</v>
      </c>
      <c r="X394" s="16">
        <v>0</v>
      </c>
      <c r="Y394" s="16">
        <v>0</v>
      </c>
      <c r="Z394" s="16">
        <v>0</v>
      </c>
      <c r="AA394" s="16">
        <v>200503</v>
      </c>
      <c r="AB394" s="16">
        <v>100</v>
      </c>
      <c r="AC394" s="16">
        <v>1</v>
      </c>
      <c r="AD394" s="16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</row>
    <row r="395" ht="20.1" customHeight="1" spans="2:223">
      <c r="B395" s="11">
        <v>15601002</v>
      </c>
      <c r="C395" s="15" t="s">
        <v>371</v>
      </c>
      <c r="D395" s="15">
        <v>1140003</v>
      </c>
      <c r="E395" s="15">
        <v>16021</v>
      </c>
      <c r="F395" s="15">
        <v>1</v>
      </c>
      <c r="G395" s="15">
        <v>60</v>
      </c>
      <c r="H395" s="16">
        <v>0.2</v>
      </c>
      <c r="I395" s="26">
        <v>25</v>
      </c>
      <c r="J395" s="15">
        <v>0</v>
      </c>
      <c r="K395" s="15">
        <v>0</v>
      </c>
      <c r="L395" s="15">
        <v>100</v>
      </c>
      <c r="M395" s="15">
        <v>190</v>
      </c>
      <c r="N395" s="15">
        <v>0</v>
      </c>
      <c r="O395" s="15">
        <v>0</v>
      </c>
      <c r="P395" s="15">
        <v>30</v>
      </c>
      <c r="Q395" s="15">
        <v>60</v>
      </c>
      <c r="R395" s="15">
        <v>30</v>
      </c>
      <c r="S395" s="15">
        <v>60</v>
      </c>
      <c r="T395" s="16">
        <v>0</v>
      </c>
      <c r="U395" s="15">
        <v>0</v>
      </c>
      <c r="V395" s="15">
        <v>0</v>
      </c>
      <c r="W395" s="15">
        <v>0</v>
      </c>
      <c r="X395" s="16">
        <v>0</v>
      </c>
      <c r="Y395" s="16">
        <v>0</v>
      </c>
      <c r="Z395" s="16">
        <v>0</v>
      </c>
      <c r="AA395" s="16">
        <v>200603</v>
      </c>
      <c r="AB395" s="16">
        <v>100</v>
      </c>
      <c r="AC395" s="16">
        <v>1</v>
      </c>
      <c r="AD395" s="16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</row>
    <row r="396" ht="20.1" customHeight="1" spans="2:223">
      <c r="B396" s="11">
        <v>15601003</v>
      </c>
      <c r="C396" s="15" t="s">
        <v>373</v>
      </c>
      <c r="D396" s="15">
        <v>1140003</v>
      </c>
      <c r="E396" s="15">
        <v>16031</v>
      </c>
      <c r="F396" s="15">
        <v>1</v>
      </c>
      <c r="G396" s="15">
        <v>60</v>
      </c>
      <c r="H396" s="16">
        <v>0.2</v>
      </c>
      <c r="I396" s="26">
        <v>25</v>
      </c>
      <c r="J396" s="15">
        <v>0</v>
      </c>
      <c r="K396" s="15">
        <v>0</v>
      </c>
      <c r="L396" s="15">
        <v>50</v>
      </c>
      <c r="M396" s="15">
        <v>110</v>
      </c>
      <c r="N396" s="15">
        <v>0</v>
      </c>
      <c r="O396" s="15">
        <v>0</v>
      </c>
      <c r="P396" s="15">
        <v>50</v>
      </c>
      <c r="Q396" s="15">
        <v>110</v>
      </c>
      <c r="R396" s="15">
        <v>50</v>
      </c>
      <c r="S396" s="15">
        <v>110</v>
      </c>
      <c r="T396" s="16">
        <v>0</v>
      </c>
      <c r="U396" s="15">
        <v>0</v>
      </c>
      <c r="V396" s="15">
        <v>0</v>
      </c>
      <c r="W396" s="15">
        <v>0</v>
      </c>
      <c r="X396" s="16">
        <v>0</v>
      </c>
      <c r="Y396" s="16">
        <v>0</v>
      </c>
      <c r="Z396" s="16">
        <v>0</v>
      </c>
      <c r="AA396" s="16">
        <v>200503</v>
      </c>
      <c r="AB396" s="16">
        <v>100</v>
      </c>
      <c r="AC396" s="16">
        <v>1</v>
      </c>
      <c r="AD396" s="16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</row>
    <row r="397" ht="20.1" customHeight="1" spans="2:223">
      <c r="B397" s="11">
        <v>15602001</v>
      </c>
      <c r="C397" s="15" t="s">
        <v>375</v>
      </c>
      <c r="D397" s="15">
        <v>1140003</v>
      </c>
      <c r="E397" s="15">
        <v>16011</v>
      </c>
      <c r="F397" s="15">
        <v>1</v>
      </c>
      <c r="G397" s="15">
        <v>60</v>
      </c>
      <c r="H397" s="16">
        <v>0.2</v>
      </c>
      <c r="I397" s="26">
        <v>25</v>
      </c>
      <c r="J397" s="15">
        <v>0</v>
      </c>
      <c r="K397" s="15">
        <v>0</v>
      </c>
      <c r="L397" s="15">
        <v>90</v>
      </c>
      <c r="M397" s="15">
        <v>190</v>
      </c>
      <c r="N397" s="15">
        <v>0</v>
      </c>
      <c r="O397" s="15">
        <v>0</v>
      </c>
      <c r="P397" s="15">
        <v>0</v>
      </c>
      <c r="Q397" s="15">
        <v>0</v>
      </c>
      <c r="R397" s="15">
        <v>130</v>
      </c>
      <c r="S397" s="15">
        <v>260</v>
      </c>
      <c r="T397" s="16">
        <v>0</v>
      </c>
      <c r="U397" s="15">
        <v>0</v>
      </c>
      <c r="V397" s="15">
        <v>0</v>
      </c>
      <c r="W397" s="15">
        <v>0</v>
      </c>
      <c r="X397" s="16">
        <v>0</v>
      </c>
      <c r="Y397" s="16">
        <v>0</v>
      </c>
      <c r="Z397" s="16">
        <v>0</v>
      </c>
      <c r="AA397" s="16">
        <v>202303</v>
      </c>
      <c r="AB397" s="16">
        <v>100</v>
      </c>
      <c r="AC397" s="16">
        <v>1</v>
      </c>
      <c r="AD397" s="16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</row>
    <row r="398" ht="20.1" customHeight="1" spans="2:223">
      <c r="B398" s="11">
        <v>15602002</v>
      </c>
      <c r="C398" s="15" t="s">
        <v>377</v>
      </c>
      <c r="D398" s="15">
        <v>1140003</v>
      </c>
      <c r="E398" s="15">
        <v>16021</v>
      </c>
      <c r="F398" s="15">
        <v>1</v>
      </c>
      <c r="G398" s="15">
        <v>60</v>
      </c>
      <c r="H398" s="16">
        <v>0.2</v>
      </c>
      <c r="I398" s="26">
        <v>25</v>
      </c>
      <c r="J398" s="15">
        <v>0</v>
      </c>
      <c r="K398" s="15">
        <v>0</v>
      </c>
      <c r="L398" s="15">
        <v>130</v>
      </c>
      <c r="M398" s="15">
        <v>250</v>
      </c>
      <c r="N398" s="15">
        <v>0</v>
      </c>
      <c r="O398" s="15">
        <v>0</v>
      </c>
      <c r="P398" s="15">
        <v>0</v>
      </c>
      <c r="Q398" s="15">
        <v>0</v>
      </c>
      <c r="R398" s="15">
        <v>100</v>
      </c>
      <c r="S398" s="15">
        <v>190</v>
      </c>
      <c r="T398" s="16">
        <v>0</v>
      </c>
      <c r="U398" s="15">
        <v>0</v>
      </c>
      <c r="V398" s="15">
        <v>0</v>
      </c>
      <c r="W398" s="15">
        <v>0</v>
      </c>
      <c r="X398" s="16">
        <v>0</v>
      </c>
      <c r="Y398" s="16">
        <v>0</v>
      </c>
      <c r="Z398" s="16">
        <v>0</v>
      </c>
      <c r="AA398" s="16">
        <v>202303</v>
      </c>
      <c r="AB398" s="16">
        <v>100</v>
      </c>
      <c r="AC398" s="16">
        <v>1</v>
      </c>
      <c r="AD398" s="16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</row>
    <row r="399" ht="20.1" customHeight="1" spans="2:223">
      <c r="B399" s="11">
        <v>15602003</v>
      </c>
      <c r="C399" s="15" t="s">
        <v>379</v>
      </c>
      <c r="D399" s="15">
        <v>1140003</v>
      </c>
      <c r="E399" s="15">
        <v>16031</v>
      </c>
      <c r="F399" s="15">
        <v>1</v>
      </c>
      <c r="G399" s="15">
        <v>60</v>
      </c>
      <c r="H399" s="16">
        <v>0.2</v>
      </c>
      <c r="I399" s="26">
        <v>25</v>
      </c>
      <c r="J399" s="15">
        <v>0</v>
      </c>
      <c r="K399" s="15">
        <v>0</v>
      </c>
      <c r="L399" s="15">
        <v>70</v>
      </c>
      <c r="M399" s="15">
        <v>140</v>
      </c>
      <c r="N399" s="15">
        <v>0</v>
      </c>
      <c r="O399" s="15">
        <v>0</v>
      </c>
      <c r="P399" s="15">
        <v>0</v>
      </c>
      <c r="Q399" s="15">
        <v>0</v>
      </c>
      <c r="R399" s="15">
        <v>160</v>
      </c>
      <c r="S399" s="15">
        <v>320</v>
      </c>
      <c r="T399" s="16">
        <v>0</v>
      </c>
      <c r="U399" s="15">
        <v>0</v>
      </c>
      <c r="V399" s="15">
        <v>0</v>
      </c>
      <c r="W399" s="15">
        <v>0</v>
      </c>
      <c r="X399" s="16">
        <v>0</v>
      </c>
      <c r="Y399" s="16">
        <v>0</v>
      </c>
      <c r="Z399" s="16">
        <v>0</v>
      </c>
      <c r="AA399" s="16">
        <v>202303</v>
      </c>
      <c r="AB399" s="16">
        <v>100</v>
      </c>
      <c r="AC399" s="16">
        <v>1</v>
      </c>
      <c r="AD399" s="16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</row>
    <row r="400" ht="20.1" customHeight="1" spans="2:223">
      <c r="B400" s="11">
        <v>15603001</v>
      </c>
      <c r="C400" s="15" t="s">
        <v>381</v>
      </c>
      <c r="D400" s="15">
        <v>1140003</v>
      </c>
      <c r="E400" s="15">
        <v>16011</v>
      </c>
      <c r="F400" s="15">
        <v>1</v>
      </c>
      <c r="G400" s="15">
        <v>60</v>
      </c>
      <c r="H400" s="16">
        <v>0.2</v>
      </c>
      <c r="I400" s="26">
        <v>25</v>
      </c>
      <c r="J400" s="15">
        <v>0</v>
      </c>
      <c r="K400" s="15">
        <v>3020</v>
      </c>
      <c r="L400" s="15">
        <v>50</v>
      </c>
      <c r="M400" s="15">
        <v>100</v>
      </c>
      <c r="N400" s="15">
        <v>0</v>
      </c>
      <c r="O400" s="15">
        <v>0</v>
      </c>
      <c r="P400" s="15">
        <v>90</v>
      </c>
      <c r="Q400" s="15">
        <v>170</v>
      </c>
      <c r="R400" s="15">
        <v>0</v>
      </c>
      <c r="S400" s="15">
        <v>0</v>
      </c>
      <c r="T400" s="16">
        <v>0</v>
      </c>
      <c r="U400" s="15">
        <v>0</v>
      </c>
      <c r="V400" s="15">
        <v>0</v>
      </c>
      <c r="W400" s="15">
        <v>0</v>
      </c>
      <c r="X400" s="16">
        <v>0</v>
      </c>
      <c r="Y400" s="16">
        <v>0</v>
      </c>
      <c r="Z400" s="16">
        <v>0</v>
      </c>
      <c r="AA400" s="16">
        <v>200403</v>
      </c>
      <c r="AB400" s="16">
        <v>100</v>
      </c>
      <c r="AC400" s="16">
        <v>1</v>
      </c>
      <c r="AD400" s="16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</row>
    <row r="401" ht="20.1" customHeight="1" spans="2:223">
      <c r="B401" s="11">
        <v>15603002</v>
      </c>
      <c r="C401" s="15" t="s">
        <v>383</v>
      </c>
      <c r="D401" s="15">
        <v>1140003</v>
      </c>
      <c r="E401" s="15">
        <v>16021</v>
      </c>
      <c r="F401" s="15">
        <v>1</v>
      </c>
      <c r="G401" s="15">
        <v>60</v>
      </c>
      <c r="H401" s="16">
        <v>0.2</v>
      </c>
      <c r="I401" s="26">
        <v>25</v>
      </c>
      <c r="J401" s="15">
        <v>0</v>
      </c>
      <c r="K401" s="15">
        <v>1510</v>
      </c>
      <c r="L401" s="15">
        <v>70</v>
      </c>
      <c r="M401" s="15">
        <v>140</v>
      </c>
      <c r="N401" s="15">
        <v>0</v>
      </c>
      <c r="O401" s="15">
        <v>0</v>
      </c>
      <c r="P401" s="15">
        <v>60</v>
      </c>
      <c r="Q401" s="15">
        <v>130</v>
      </c>
      <c r="R401" s="15">
        <v>0</v>
      </c>
      <c r="S401" s="15">
        <v>0</v>
      </c>
      <c r="T401" s="16">
        <v>0</v>
      </c>
      <c r="U401" s="15">
        <v>0</v>
      </c>
      <c r="V401" s="15">
        <v>0</v>
      </c>
      <c r="W401" s="15">
        <v>0</v>
      </c>
      <c r="X401" s="16">
        <v>0</v>
      </c>
      <c r="Y401" s="16">
        <v>0</v>
      </c>
      <c r="Z401" s="16">
        <v>0</v>
      </c>
      <c r="AA401" s="16">
        <v>200403</v>
      </c>
      <c r="AB401" s="16">
        <v>100</v>
      </c>
      <c r="AC401" s="16">
        <v>1</v>
      </c>
      <c r="AD401" s="16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</row>
    <row r="402" ht="20.1" customHeight="1" spans="2:223">
      <c r="B402" s="11">
        <v>15603003</v>
      </c>
      <c r="C402" s="15" t="s">
        <v>385</v>
      </c>
      <c r="D402" s="15">
        <v>1140003</v>
      </c>
      <c r="E402" s="15">
        <v>16031</v>
      </c>
      <c r="F402" s="15">
        <v>1</v>
      </c>
      <c r="G402" s="15">
        <v>60</v>
      </c>
      <c r="H402" s="16">
        <v>0.2</v>
      </c>
      <c r="I402" s="26">
        <v>25</v>
      </c>
      <c r="J402" s="15">
        <v>0</v>
      </c>
      <c r="K402" s="15">
        <v>4540</v>
      </c>
      <c r="L402" s="15">
        <v>40</v>
      </c>
      <c r="M402" s="15">
        <v>80</v>
      </c>
      <c r="N402" s="15">
        <v>0</v>
      </c>
      <c r="O402" s="15">
        <v>0</v>
      </c>
      <c r="P402" s="15">
        <v>110</v>
      </c>
      <c r="Q402" s="15">
        <v>220</v>
      </c>
      <c r="R402" s="15">
        <v>0</v>
      </c>
      <c r="S402" s="15">
        <v>0</v>
      </c>
      <c r="T402" s="16">
        <v>0</v>
      </c>
      <c r="U402" s="15">
        <v>0</v>
      </c>
      <c r="V402" s="15">
        <v>0</v>
      </c>
      <c r="W402" s="15">
        <v>0</v>
      </c>
      <c r="X402" s="16">
        <v>0</v>
      </c>
      <c r="Y402" s="16">
        <v>0</v>
      </c>
      <c r="Z402" s="16">
        <v>0</v>
      </c>
      <c r="AA402" s="16">
        <v>200403</v>
      </c>
      <c r="AB402" s="16">
        <v>100</v>
      </c>
      <c r="AC402" s="16">
        <v>1</v>
      </c>
      <c r="AD402" s="16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</row>
    <row r="403" ht="20.1" customHeight="1" spans="2:223">
      <c r="B403" s="11">
        <v>15604001</v>
      </c>
      <c r="C403" s="15" t="s">
        <v>388</v>
      </c>
      <c r="D403" s="15">
        <v>1140003</v>
      </c>
      <c r="E403" s="15">
        <v>16011</v>
      </c>
      <c r="F403" s="15">
        <v>1</v>
      </c>
      <c r="G403" s="15">
        <v>60</v>
      </c>
      <c r="H403" s="16">
        <v>0.2</v>
      </c>
      <c r="I403" s="26">
        <v>25</v>
      </c>
      <c r="J403" s="15">
        <v>0</v>
      </c>
      <c r="K403" s="15">
        <v>0</v>
      </c>
      <c r="L403" s="15">
        <v>80</v>
      </c>
      <c r="M403" s="15">
        <v>160</v>
      </c>
      <c r="N403" s="15">
        <v>0</v>
      </c>
      <c r="O403" s="15">
        <v>0</v>
      </c>
      <c r="P403" s="15">
        <v>90</v>
      </c>
      <c r="Q403" s="15">
        <v>170</v>
      </c>
      <c r="R403" s="15">
        <v>90</v>
      </c>
      <c r="S403" s="15">
        <v>170</v>
      </c>
      <c r="T403" s="16">
        <v>0</v>
      </c>
      <c r="U403" s="15">
        <v>0</v>
      </c>
      <c r="V403" s="15">
        <v>0</v>
      </c>
      <c r="W403" s="15">
        <v>0</v>
      </c>
      <c r="X403" s="16">
        <v>0</v>
      </c>
      <c r="Y403" s="16">
        <v>0</v>
      </c>
      <c r="Z403" s="16">
        <v>0</v>
      </c>
      <c r="AA403" s="16">
        <v>202203</v>
      </c>
      <c r="AB403" s="16">
        <v>100</v>
      </c>
      <c r="AC403" s="16">
        <v>1</v>
      </c>
      <c r="AD403" s="16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</row>
    <row r="404" ht="20.1" customHeight="1" spans="2:223">
      <c r="B404" s="11">
        <v>15604002</v>
      </c>
      <c r="C404" s="15" t="s">
        <v>390</v>
      </c>
      <c r="D404" s="15">
        <v>1140003</v>
      </c>
      <c r="E404" s="15">
        <v>16021</v>
      </c>
      <c r="F404" s="15">
        <v>1</v>
      </c>
      <c r="G404" s="15">
        <v>60</v>
      </c>
      <c r="H404" s="16">
        <v>0.2</v>
      </c>
      <c r="I404" s="26">
        <v>25</v>
      </c>
      <c r="J404" s="15">
        <v>0</v>
      </c>
      <c r="K404" s="15">
        <v>0</v>
      </c>
      <c r="L404" s="15">
        <v>110</v>
      </c>
      <c r="M404" s="15">
        <v>210</v>
      </c>
      <c r="N404" s="15">
        <v>0</v>
      </c>
      <c r="O404" s="15">
        <v>0</v>
      </c>
      <c r="P404" s="15">
        <v>60</v>
      </c>
      <c r="Q404" s="15">
        <v>130</v>
      </c>
      <c r="R404" s="15">
        <v>60</v>
      </c>
      <c r="S404" s="15">
        <v>130</v>
      </c>
      <c r="T404" s="16">
        <v>0</v>
      </c>
      <c r="U404" s="15">
        <v>0</v>
      </c>
      <c r="V404" s="15">
        <v>0</v>
      </c>
      <c r="W404" s="15">
        <v>0</v>
      </c>
      <c r="X404" s="16">
        <v>0</v>
      </c>
      <c r="Y404" s="16">
        <v>0</v>
      </c>
      <c r="Z404" s="16">
        <v>0</v>
      </c>
      <c r="AA404" s="16">
        <v>202303</v>
      </c>
      <c r="AB404" s="16">
        <v>100</v>
      </c>
      <c r="AC404" s="16">
        <v>1</v>
      </c>
      <c r="AD404" s="16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</row>
    <row r="405" ht="20.1" customHeight="1" spans="2:223">
      <c r="B405" s="11">
        <v>15604003</v>
      </c>
      <c r="C405" s="15" t="s">
        <v>392</v>
      </c>
      <c r="D405" s="15">
        <v>1140003</v>
      </c>
      <c r="E405" s="15">
        <v>16031</v>
      </c>
      <c r="F405" s="15">
        <v>1</v>
      </c>
      <c r="G405" s="15">
        <v>60</v>
      </c>
      <c r="H405" s="16">
        <v>0.2</v>
      </c>
      <c r="I405" s="26">
        <v>25</v>
      </c>
      <c r="J405" s="15">
        <v>0</v>
      </c>
      <c r="K405" s="15">
        <v>0</v>
      </c>
      <c r="L405" s="15">
        <v>60</v>
      </c>
      <c r="M405" s="15">
        <v>120</v>
      </c>
      <c r="N405" s="15">
        <v>0</v>
      </c>
      <c r="O405" s="15">
        <v>0</v>
      </c>
      <c r="P405" s="15">
        <v>110</v>
      </c>
      <c r="Q405" s="15">
        <v>220</v>
      </c>
      <c r="R405" s="15">
        <v>110</v>
      </c>
      <c r="S405" s="15">
        <v>220</v>
      </c>
      <c r="T405" s="16">
        <v>0</v>
      </c>
      <c r="U405" s="15">
        <v>0</v>
      </c>
      <c r="V405" s="15">
        <v>0</v>
      </c>
      <c r="W405" s="15">
        <v>0</v>
      </c>
      <c r="X405" s="16">
        <v>0</v>
      </c>
      <c r="Y405" s="16">
        <v>0</v>
      </c>
      <c r="Z405" s="16">
        <v>0</v>
      </c>
      <c r="AA405" s="16">
        <v>202203</v>
      </c>
      <c r="AB405" s="16">
        <v>100</v>
      </c>
      <c r="AC405" s="16">
        <v>1</v>
      </c>
      <c r="AD405" s="16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</row>
    <row r="406" ht="20.1" customHeight="1" spans="2:223">
      <c r="B406" s="11">
        <v>15605001</v>
      </c>
      <c r="C406" s="15" t="s">
        <v>394</v>
      </c>
      <c r="D406" s="15">
        <v>1140003</v>
      </c>
      <c r="E406" s="15">
        <v>16011</v>
      </c>
      <c r="F406" s="15">
        <v>1</v>
      </c>
      <c r="G406" s="15">
        <v>60</v>
      </c>
      <c r="H406" s="16">
        <v>0.2</v>
      </c>
      <c r="I406" s="26">
        <v>25</v>
      </c>
      <c r="J406" s="15">
        <v>0</v>
      </c>
      <c r="K406" s="15">
        <v>7560</v>
      </c>
      <c r="L406" s="15">
        <v>110</v>
      </c>
      <c r="M406" s="15">
        <v>220</v>
      </c>
      <c r="N406" s="15">
        <v>0</v>
      </c>
      <c r="O406" s="15">
        <v>0</v>
      </c>
      <c r="P406" s="15">
        <v>40</v>
      </c>
      <c r="Q406" s="15">
        <v>90</v>
      </c>
      <c r="R406" s="15">
        <v>0</v>
      </c>
      <c r="S406" s="15">
        <v>0</v>
      </c>
      <c r="T406" s="16">
        <v>0</v>
      </c>
      <c r="U406" s="15">
        <v>0</v>
      </c>
      <c r="V406" s="15">
        <v>0</v>
      </c>
      <c r="W406" s="15">
        <v>0</v>
      </c>
      <c r="X406" s="16">
        <v>0</v>
      </c>
      <c r="Y406" s="16">
        <v>0</v>
      </c>
      <c r="Z406" s="16">
        <v>0</v>
      </c>
      <c r="AA406" s="16">
        <v>200103</v>
      </c>
      <c r="AB406" s="16">
        <v>100</v>
      </c>
      <c r="AC406" s="16">
        <v>1</v>
      </c>
      <c r="AD406" s="16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</row>
    <row r="407" ht="20.1" customHeight="1" spans="2:223">
      <c r="B407" s="11">
        <v>15605002</v>
      </c>
      <c r="C407" s="15" t="s">
        <v>396</v>
      </c>
      <c r="D407" s="15">
        <v>1140003</v>
      </c>
      <c r="E407" s="15">
        <v>16021</v>
      </c>
      <c r="F407" s="15">
        <v>1</v>
      </c>
      <c r="G407" s="15">
        <v>60</v>
      </c>
      <c r="H407" s="16">
        <v>0.2</v>
      </c>
      <c r="I407" s="26">
        <v>25</v>
      </c>
      <c r="J407" s="15">
        <v>0</v>
      </c>
      <c r="K407" s="15">
        <v>3780</v>
      </c>
      <c r="L407" s="15">
        <v>150</v>
      </c>
      <c r="M407" s="15">
        <v>290</v>
      </c>
      <c r="N407" s="15">
        <v>0</v>
      </c>
      <c r="O407" s="15">
        <v>0</v>
      </c>
      <c r="P407" s="15">
        <v>30</v>
      </c>
      <c r="Q407" s="15">
        <v>60</v>
      </c>
      <c r="R407" s="15">
        <v>0</v>
      </c>
      <c r="S407" s="15">
        <v>0</v>
      </c>
      <c r="T407" s="16">
        <v>0</v>
      </c>
      <c r="U407" s="15">
        <v>0</v>
      </c>
      <c r="V407" s="15">
        <v>0</v>
      </c>
      <c r="W407" s="15">
        <v>0</v>
      </c>
      <c r="X407" s="16">
        <v>0</v>
      </c>
      <c r="Y407" s="16">
        <v>0</v>
      </c>
      <c r="Z407" s="16">
        <v>0</v>
      </c>
      <c r="AA407" s="16">
        <v>200103</v>
      </c>
      <c r="AB407" s="16">
        <v>100</v>
      </c>
      <c r="AC407" s="16">
        <v>1</v>
      </c>
      <c r="AD407" s="16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</row>
    <row r="408" ht="20.1" customHeight="1" spans="2:223">
      <c r="B408" s="11">
        <v>15605003</v>
      </c>
      <c r="C408" s="15" t="s">
        <v>398</v>
      </c>
      <c r="D408" s="15">
        <v>1140003</v>
      </c>
      <c r="E408" s="15">
        <v>16031</v>
      </c>
      <c r="F408" s="15">
        <v>1</v>
      </c>
      <c r="G408" s="15">
        <v>60</v>
      </c>
      <c r="H408" s="16">
        <v>0.2</v>
      </c>
      <c r="I408" s="26">
        <v>25</v>
      </c>
      <c r="J408" s="15">
        <v>0</v>
      </c>
      <c r="K408" s="15">
        <v>11340</v>
      </c>
      <c r="L408" s="15">
        <v>80</v>
      </c>
      <c r="M408" s="15">
        <v>160</v>
      </c>
      <c r="N408" s="15">
        <v>0</v>
      </c>
      <c r="O408" s="15">
        <v>0</v>
      </c>
      <c r="P408" s="15">
        <v>50</v>
      </c>
      <c r="Q408" s="15">
        <v>110</v>
      </c>
      <c r="R408" s="15">
        <v>0</v>
      </c>
      <c r="S408" s="15">
        <v>0</v>
      </c>
      <c r="T408" s="16">
        <v>0</v>
      </c>
      <c r="U408" s="15">
        <v>0</v>
      </c>
      <c r="V408" s="15">
        <v>0</v>
      </c>
      <c r="W408" s="15">
        <v>0</v>
      </c>
      <c r="X408" s="16">
        <v>0</v>
      </c>
      <c r="Y408" s="16">
        <v>0</v>
      </c>
      <c r="Z408" s="16">
        <v>0</v>
      </c>
      <c r="AA408" s="16">
        <v>200103</v>
      </c>
      <c r="AB408" s="16">
        <v>100</v>
      </c>
      <c r="AC408" s="16">
        <v>1</v>
      </c>
      <c r="AD408" s="16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</row>
    <row r="409" ht="20.1" customHeight="1" spans="2:223">
      <c r="B409" s="11">
        <v>15606001</v>
      </c>
      <c r="C409" s="15" t="s">
        <v>400</v>
      </c>
      <c r="D409" s="15">
        <v>1140002</v>
      </c>
      <c r="E409" s="15">
        <v>16051</v>
      </c>
      <c r="F409" s="15">
        <v>1</v>
      </c>
      <c r="G409" s="15">
        <v>60</v>
      </c>
      <c r="H409" s="16">
        <v>0.2</v>
      </c>
      <c r="I409" s="26">
        <v>25</v>
      </c>
      <c r="J409" s="15">
        <v>0</v>
      </c>
      <c r="K409" s="15">
        <v>0</v>
      </c>
      <c r="L409" s="15">
        <v>220</v>
      </c>
      <c r="M409" s="15">
        <v>430</v>
      </c>
      <c r="N409" s="15">
        <v>0</v>
      </c>
      <c r="O409" s="15">
        <v>0</v>
      </c>
      <c r="P409" s="15">
        <v>60</v>
      </c>
      <c r="Q409" s="15">
        <v>130</v>
      </c>
      <c r="R409" s="15">
        <v>0</v>
      </c>
      <c r="S409" s="15">
        <v>0</v>
      </c>
      <c r="T409" s="16">
        <v>0</v>
      </c>
      <c r="U409" s="15">
        <v>0</v>
      </c>
      <c r="V409" s="15">
        <v>0</v>
      </c>
      <c r="W409" s="15">
        <v>0</v>
      </c>
      <c r="X409" s="16">
        <v>0</v>
      </c>
      <c r="Y409" s="16">
        <v>0</v>
      </c>
      <c r="Z409" s="16">
        <v>0</v>
      </c>
      <c r="AA409" s="16">
        <v>100402</v>
      </c>
      <c r="AB409" s="16">
        <v>100</v>
      </c>
      <c r="AC409" s="16">
        <v>1</v>
      </c>
      <c r="AD409" s="16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</row>
    <row r="410" ht="20.1" customHeight="1" spans="2:223">
      <c r="B410" s="11">
        <v>15607001</v>
      </c>
      <c r="C410" s="15" t="s">
        <v>403</v>
      </c>
      <c r="D410" s="15">
        <v>1140002</v>
      </c>
      <c r="E410" s="15">
        <v>0</v>
      </c>
      <c r="F410" s="15">
        <v>1</v>
      </c>
      <c r="G410" s="15">
        <v>60</v>
      </c>
      <c r="H410" s="16">
        <v>0.2</v>
      </c>
      <c r="I410" s="26">
        <v>25</v>
      </c>
      <c r="J410" s="15">
        <v>0</v>
      </c>
      <c r="K410" s="15">
        <v>0</v>
      </c>
      <c r="L410" s="15">
        <v>220</v>
      </c>
      <c r="M410" s="15">
        <v>430</v>
      </c>
      <c r="N410" s="15">
        <v>0</v>
      </c>
      <c r="O410" s="15">
        <v>0</v>
      </c>
      <c r="P410" s="15">
        <v>0</v>
      </c>
      <c r="Q410" s="15">
        <v>0</v>
      </c>
      <c r="R410" s="15">
        <v>60</v>
      </c>
      <c r="S410" s="15">
        <v>130</v>
      </c>
      <c r="T410" s="16">
        <v>0</v>
      </c>
      <c r="U410" s="15">
        <v>0</v>
      </c>
      <c r="V410" s="15">
        <v>0</v>
      </c>
      <c r="W410" s="15">
        <v>0</v>
      </c>
      <c r="X410" s="16">
        <v>0</v>
      </c>
      <c r="Y410" s="16">
        <v>0</v>
      </c>
      <c r="Z410" s="16">
        <v>0</v>
      </c>
      <c r="AA410" s="16">
        <v>200203</v>
      </c>
      <c r="AB410" s="16">
        <v>100</v>
      </c>
      <c r="AC410" s="16">
        <v>1</v>
      </c>
      <c r="AD410" s="16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</row>
    <row r="411" ht="20.1" customHeight="1" spans="2:223">
      <c r="B411" s="11">
        <v>15608001</v>
      </c>
      <c r="C411" s="15" t="s">
        <v>405</v>
      </c>
      <c r="D411" s="15">
        <v>1140002</v>
      </c>
      <c r="E411" s="15">
        <v>0</v>
      </c>
      <c r="F411" s="15">
        <v>1</v>
      </c>
      <c r="G411" s="15">
        <v>60</v>
      </c>
      <c r="H411" s="16">
        <v>0.2</v>
      </c>
      <c r="I411" s="26">
        <v>25</v>
      </c>
      <c r="J411" s="15">
        <v>0</v>
      </c>
      <c r="K411" s="15">
        <v>0</v>
      </c>
      <c r="L411" s="15">
        <v>40</v>
      </c>
      <c r="M411" s="15">
        <v>100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6">
        <v>0</v>
      </c>
      <c r="U411" s="15">
        <v>0</v>
      </c>
      <c r="V411" s="15">
        <v>0</v>
      </c>
      <c r="W411" s="15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</row>
    <row r="412" ht="20.1" customHeight="1" spans="2:223">
      <c r="B412" s="11">
        <v>15609001</v>
      </c>
      <c r="C412" s="15" t="s">
        <v>408</v>
      </c>
      <c r="D412" s="15">
        <v>1140001</v>
      </c>
      <c r="E412" s="15">
        <v>0</v>
      </c>
      <c r="F412" s="15">
        <v>1</v>
      </c>
      <c r="G412" s="15">
        <v>60</v>
      </c>
      <c r="H412" s="16">
        <v>0.2</v>
      </c>
      <c r="I412" s="26">
        <v>25</v>
      </c>
      <c r="J412" s="15">
        <v>0</v>
      </c>
      <c r="K412" s="15">
        <v>12100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6">
        <v>0</v>
      </c>
      <c r="U412" s="15">
        <v>0</v>
      </c>
      <c r="V412" s="15">
        <v>0</v>
      </c>
      <c r="W412" s="15">
        <v>0</v>
      </c>
      <c r="X412" s="16">
        <v>0</v>
      </c>
      <c r="Y412" s="16">
        <v>0</v>
      </c>
      <c r="Z412" s="16">
        <v>0</v>
      </c>
      <c r="AA412" s="16">
        <v>200303</v>
      </c>
      <c r="AB412" s="16">
        <v>100</v>
      </c>
      <c r="AC412" s="16">
        <v>1</v>
      </c>
      <c r="AD412" s="16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</row>
    <row r="413" ht="20.1" customHeight="1" spans="2:223">
      <c r="B413" s="11">
        <v>15610001</v>
      </c>
      <c r="C413" s="11" t="s">
        <v>411</v>
      </c>
      <c r="D413" s="15">
        <v>1140001</v>
      </c>
      <c r="E413" s="15">
        <v>16051</v>
      </c>
      <c r="F413" s="15">
        <v>1</v>
      </c>
      <c r="G413" s="15">
        <v>60</v>
      </c>
      <c r="H413" s="16">
        <v>0.2</v>
      </c>
      <c r="I413" s="26">
        <v>25</v>
      </c>
      <c r="J413" s="15">
        <v>0</v>
      </c>
      <c r="K413" s="15">
        <v>0</v>
      </c>
      <c r="L413" s="15">
        <v>600</v>
      </c>
      <c r="M413" s="15">
        <v>1320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6">
        <v>0</v>
      </c>
      <c r="U413" s="15">
        <v>0</v>
      </c>
      <c r="V413" s="15">
        <v>0</v>
      </c>
      <c r="W413" s="15">
        <v>0</v>
      </c>
      <c r="X413" s="16">
        <v>0</v>
      </c>
      <c r="Y413" s="16">
        <v>0</v>
      </c>
      <c r="Z413" s="16">
        <v>0</v>
      </c>
      <c r="AA413" s="16">
        <v>200903</v>
      </c>
      <c r="AB413" s="16">
        <v>100</v>
      </c>
      <c r="AC413" s="16">
        <v>1</v>
      </c>
      <c r="AD413" s="16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</row>
    <row r="414" ht="20.1" customHeight="1" spans="2:223">
      <c r="B414" s="11">
        <v>15610002</v>
      </c>
      <c r="C414" s="11" t="s">
        <v>413</v>
      </c>
      <c r="D414" s="15">
        <v>1140001</v>
      </c>
      <c r="E414" s="15">
        <v>16051</v>
      </c>
      <c r="F414" s="15">
        <v>1</v>
      </c>
      <c r="G414" s="15">
        <v>60</v>
      </c>
      <c r="H414" s="16">
        <v>0.2</v>
      </c>
      <c r="I414" s="26">
        <v>25</v>
      </c>
      <c r="J414" s="15">
        <v>0</v>
      </c>
      <c r="K414" s="15">
        <v>0</v>
      </c>
      <c r="L414" s="15">
        <v>600</v>
      </c>
      <c r="M414" s="15">
        <v>1320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6">
        <v>0</v>
      </c>
      <c r="U414" s="15">
        <v>0</v>
      </c>
      <c r="V414" s="15">
        <v>0</v>
      </c>
      <c r="W414" s="15">
        <v>0</v>
      </c>
      <c r="X414" s="16">
        <v>0</v>
      </c>
      <c r="Y414" s="16">
        <v>0</v>
      </c>
      <c r="Z414" s="16">
        <v>0</v>
      </c>
      <c r="AA414" s="16">
        <v>200903</v>
      </c>
      <c r="AB414" s="16">
        <v>100</v>
      </c>
      <c r="AC414" s="16">
        <v>1</v>
      </c>
      <c r="AD414" s="16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</row>
    <row r="415" ht="20.1" customHeight="1" spans="2:223">
      <c r="B415" s="11">
        <v>15610201</v>
      </c>
      <c r="C415" s="51" t="s">
        <v>430</v>
      </c>
      <c r="D415" s="15">
        <v>1140001</v>
      </c>
      <c r="E415" s="15">
        <v>16051</v>
      </c>
      <c r="F415" s="15">
        <v>1</v>
      </c>
      <c r="G415" s="15">
        <v>60</v>
      </c>
      <c r="H415" s="16">
        <v>0.2</v>
      </c>
      <c r="I415" s="26">
        <v>25</v>
      </c>
      <c r="J415" s="15">
        <v>0</v>
      </c>
      <c r="K415" s="15">
        <v>0</v>
      </c>
      <c r="L415" s="15">
        <v>600</v>
      </c>
      <c r="M415" s="15">
        <v>1320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6">
        <v>0</v>
      </c>
      <c r="U415" s="15">
        <v>0</v>
      </c>
      <c r="V415" s="15">
        <v>0</v>
      </c>
      <c r="W415" s="15">
        <v>0</v>
      </c>
      <c r="X415" s="16">
        <v>0</v>
      </c>
      <c r="Y415" s="16">
        <v>0</v>
      </c>
      <c r="Z415" s="16">
        <v>0</v>
      </c>
      <c r="AA415" s="16">
        <v>200903</v>
      </c>
      <c r="AB415" s="16">
        <v>100</v>
      </c>
      <c r="AC415" s="16">
        <v>1</v>
      </c>
      <c r="AD415" s="16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</row>
    <row r="416" ht="20.1" customHeight="1" spans="2:223">
      <c r="B416" s="11">
        <v>15611001</v>
      </c>
      <c r="C416" s="15" t="s">
        <v>422</v>
      </c>
      <c r="D416" s="15">
        <v>1140003</v>
      </c>
      <c r="E416" s="15">
        <v>16011</v>
      </c>
      <c r="F416" s="15">
        <v>1</v>
      </c>
      <c r="G416" s="15">
        <v>60</v>
      </c>
      <c r="H416" s="16">
        <v>0.2</v>
      </c>
      <c r="I416" s="26">
        <v>25</v>
      </c>
      <c r="J416" s="15">
        <v>0</v>
      </c>
      <c r="K416" s="15">
        <v>10370</v>
      </c>
      <c r="L416" s="15">
        <v>0</v>
      </c>
      <c r="M416" s="15">
        <v>0</v>
      </c>
      <c r="N416" s="15">
        <v>0</v>
      </c>
      <c r="O416" s="15">
        <v>0</v>
      </c>
      <c r="P416" s="15">
        <v>110</v>
      </c>
      <c r="Q416" s="15">
        <v>220</v>
      </c>
      <c r="R416" s="15">
        <v>110</v>
      </c>
      <c r="S416" s="15">
        <v>220</v>
      </c>
      <c r="T416" s="16">
        <v>0</v>
      </c>
      <c r="U416" s="15">
        <v>0</v>
      </c>
      <c r="V416" s="15">
        <v>0</v>
      </c>
      <c r="W416" s="15">
        <v>0</v>
      </c>
      <c r="X416" s="16">
        <v>0</v>
      </c>
      <c r="Y416" s="16">
        <v>0</v>
      </c>
      <c r="Z416" s="16">
        <v>0</v>
      </c>
      <c r="AA416" s="16">
        <v>201003</v>
      </c>
      <c r="AB416" s="16">
        <v>100</v>
      </c>
      <c r="AC416" s="16">
        <v>1</v>
      </c>
      <c r="AD416" s="16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</row>
    <row r="417" ht="20.1" customHeight="1" spans="2:223">
      <c r="B417" s="11">
        <v>15611002</v>
      </c>
      <c r="C417" s="44" t="s">
        <v>424</v>
      </c>
      <c r="D417" s="15">
        <v>1140003</v>
      </c>
      <c r="E417" s="15">
        <v>16021</v>
      </c>
      <c r="F417" s="15">
        <v>1</v>
      </c>
      <c r="G417" s="15">
        <v>60</v>
      </c>
      <c r="H417" s="16">
        <v>0.2</v>
      </c>
      <c r="I417" s="26">
        <v>25</v>
      </c>
      <c r="J417" s="15">
        <v>0</v>
      </c>
      <c r="K417" s="15">
        <v>5180</v>
      </c>
      <c r="L417" s="15">
        <v>0</v>
      </c>
      <c r="M417" s="15">
        <v>0</v>
      </c>
      <c r="N417" s="15">
        <v>0</v>
      </c>
      <c r="O417" s="15">
        <v>0</v>
      </c>
      <c r="P417" s="15">
        <v>80</v>
      </c>
      <c r="Q417" s="15">
        <v>160</v>
      </c>
      <c r="R417" s="15">
        <v>80</v>
      </c>
      <c r="S417" s="15">
        <v>160</v>
      </c>
      <c r="T417" s="16">
        <v>0</v>
      </c>
      <c r="U417" s="15">
        <v>0</v>
      </c>
      <c r="V417" s="15">
        <v>0</v>
      </c>
      <c r="W417" s="15">
        <v>0</v>
      </c>
      <c r="X417" s="16">
        <v>0</v>
      </c>
      <c r="Y417" s="16">
        <v>0</v>
      </c>
      <c r="Z417" s="16">
        <v>0</v>
      </c>
      <c r="AA417" s="16">
        <v>201003</v>
      </c>
      <c r="AB417" s="16">
        <v>100</v>
      </c>
      <c r="AC417" s="16">
        <v>1</v>
      </c>
      <c r="AD417" s="16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</row>
    <row r="418" ht="20.1" customHeight="1" spans="2:223">
      <c r="B418" s="11">
        <v>15611003</v>
      </c>
      <c r="C418" s="15" t="s">
        <v>426</v>
      </c>
      <c r="D418" s="15">
        <v>1140003</v>
      </c>
      <c r="E418" s="15">
        <v>16031</v>
      </c>
      <c r="F418" s="15">
        <v>1</v>
      </c>
      <c r="G418" s="15">
        <v>60</v>
      </c>
      <c r="H418" s="16">
        <v>0.2</v>
      </c>
      <c r="I418" s="26">
        <v>25</v>
      </c>
      <c r="J418" s="15">
        <v>0</v>
      </c>
      <c r="K418" s="15">
        <v>15550</v>
      </c>
      <c r="L418" s="15">
        <v>0</v>
      </c>
      <c r="M418" s="15">
        <v>0</v>
      </c>
      <c r="N418" s="15">
        <v>0</v>
      </c>
      <c r="O418" s="15">
        <v>0</v>
      </c>
      <c r="P418" s="15">
        <v>140</v>
      </c>
      <c r="Q418" s="15">
        <v>270</v>
      </c>
      <c r="R418" s="15">
        <v>140</v>
      </c>
      <c r="S418" s="15">
        <v>270</v>
      </c>
      <c r="T418" s="16">
        <v>0</v>
      </c>
      <c r="U418" s="15">
        <v>0</v>
      </c>
      <c r="V418" s="15">
        <v>0</v>
      </c>
      <c r="W418" s="15">
        <v>0</v>
      </c>
      <c r="X418" s="16">
        <v>0</v>
      </c>
      <c r="Y418" s="16">
        <v>0</v>
      </c>
      <c r="Z418" s="16">
        <v>0</v>
      </c>
      <c r="AA418" s="16">
        <v>201003</v>
      </c>
      <c r="AB418" s="16">
        <v>100</v>
      </c>
      <c r="AC418" s="16">
        <v>1</v>
      </c>
      <c r="AD418" s="16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</row>
    <row r="419" ht="20.1" customHeight="1" spans="2:223">
      <c r="B419" s="11">
        <v>15701001</v>
      </c>
      <c r="C419" s="15" t="s">
        <v>369</v>
      </c>
      <c r="D419" s="15">
        <v>1140003</v>
      </c>
      <c r="E419" s="15">
        <v>17011</v>
      </c>
      <c r="F419" s="15">
        <v>1</v>
      </c>
      <c r="G419" s="15">
        <v>60</v>
      </c>
      <c r="H419" s="16">
        <v>0.2</v>
      </c>
      <c r="I419" s="26">
        <v>30</v>
      </c>
      <c r="J419" s="15">
        <v>0</v>
      </c>
      <c r="K419" s="15">
        <v>0</v>
      </c>
      <c r="L419" s="15">
        <v>106</v>
      </c>
      <c r="M419" s="15">
        <v>210</v>
      </c>
      <c r="N419" s="15">
        <v>0</v>
      </c>
      <c r="O419" s="15">
        <v>0</v>
      </c>
      <c r="P419" s="15">
        <v>60</v>
      </c>
      <c r="Q419" s="15">
        <v>136</v>
      </c>
      <c r="R419" s="15">
        <v>60</v>
      </c>
      <c r="S419" s="15">
        <v>136</v>
      </c>
      <c r="T419" s="16">
        <v>0</v>
      </c>
      <c r="U419" s="15">
        <v>0</v>
      </c>
      <c r="V419" s="15">
        <v>0</v>
      </c>
      <c r="W419" s="15">
        <v>0</v>
      </c>
      <c r="X419" s="16">
        <v>0</v>
      </c>
      <c r="Y419" s="16">
        <v>0</v>
      </c>
      <c r="Z419" s="16">
        <v>0</v>
      </c>
      <c r="AA419" s="16">
        <v>200503</v>
      </c>
      <c r="AB419" s="16">
        <v>200</v>
      </c>
      <c r="AC419" s="16">
        <v>1</v>
      </c>
      <c r="AD419" s="16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</row>
    <row r="420" ht="20.1" customHeight="1" spans="2:223">
      <c r="B420" s="11">
        <v>15701002</v>
      </c>
      <c r="C420" s="15" t="s">
        <v>371</v>
      </c>
      <c r="D420" s="15">
        <v>1140003</v>
      </c>
      <c r="E420" s="15">
        <v>17021</v>
      </c>
      <c r="F420" s="15">
        <v>1</v>
      </c>
      <c r="G420" s="15">
        <v>60</v>
      </c>
      <c r="H420" s="16">
        <v>0.2</v>
      </c>
      <c r="I420" s="26">
        <v>30</v>
      </c>
      <c r="J420" s="15">
        <v>0</v>
      </c>
      <c r="K420" s="15">
        <v>0</v>
      </c>
      <c r="L420" s="15">
        <v>150</v>
      </c>
      <c r="M420" s="15">
        <v>286</v>
      </c>
      <c r="N420" s="15">
        <v>0</v>
      </c>
      <c r="O420" s="15">
        <v>0</v>
      </c>
      <c r="P420" s="15">
        <v>46</v>
      </c>
      <c r="Q420" s="15">
        <v>90</v>
      </c>
      <c r="R420" s="15">
        <v>46</v>
      </c>
      <c r="S420" s="15">
        <v>90</v>
      </c>
      <c r="T420" s="16">
        <v>0</v>
      </c>
      <c r="U420" s="15">
        <v>0</v>
      </c>
      <c r="V420" s="15">
        <v>0</v>
      </c>
      <c r="W420" s="15">
        <v>0</v>
      </c>
      <c r="X420" s="16">
        <v>0</v>
      </c>
      <c r="Y420" s="16">
        <v>0</v>
      </c>
      <c r="Z420" s="16">
        <v>0</v>
      </c>
      <c r="AA420" s="16">
        <v>200603</v>
      </c>
      <c r="AB420" s="16">
        <v>200</v>
      </c>
      <c r="AC420" s="16">
        <v>1</v>
      </c>
      <c r="AD420" s="16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</row>
    <row r="421" ht="20.1" customHeight="1" spans="2:223">
      <c r="B421" s="11">
        <v>15701003</v>
      </c>
      <c r="C421" s="15" t="s">
        <v>373</v>
      </c>
      <c r="D421" s="15">
        <v>1140003</v>
      </c>
      <c r="E421" s="15">
        <v>17031</v>
      </c>
      <c r="F421" s="15">
        <v>1</v>
      </c>
      <c r="G421" s="15">
        <v>60</v>
      </c>
      <c r="H421" s="16">
        <v>0.2</v>
      </c>
      <c r="I421" s="26">
        <v>30</v>
      </c>
      <c r="J421" s="15">
        <v>0</v>
      </c>
      <c r="K421" s="15">
        <v>0</v>
      </c>
      <c r="L421" s="15">
        <v>76</v>
      </c>
      <c r="M421" s="15">
        <v>166</v>
      </c>
      <c r="N421" s="15">
        <v>0</v>
      </c>
      <c r="O421" s="15">
        <v>0</v>
      </c>
      <c r="P421" s="15">
        <v>76</v>
      </c>
      <c r="Q421" s="15">
        <v>166</v>
      </c>
      <c r="R421" s="15">
        <v>76</v>
      </c>
      <c r="S421" s="15">
        <v>166</v>
      </c>
      <c r="T421" s="16">
        <v>0</v>
      </c>
      <c r="U421" s="15">
        <v>0</v>
      </c>
      <c r="V421" s="15">
        <v>0</v>
      </c>
      <c r="W421" s="15">
        <v>0</v>
      </c>
      <c r="X421" s="16">
        <v>0</v>
      </c>
      <c r="Y421" s="16">
        <v>0</v>
      </c>
      <c r="Z421" s="16">
        <v>0</v>
      </c>
      <c r="AA421" s="16">
        <v>200503</v>
      </c>
      <c r="AB421" s="16">
        <v>200</v>
      </c>
      <c r="AC421" s="16">
        <v>1</v>
      </c>
      <c r="AD421" s="16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</row>
    <row r="422" ht="20.1" customHeight="1" spans="2:223">
      <c r="B422" s="11">
        <v>15702001</v>
      </c>
      <c r="C422" s="15" t="s">
        <v>375</v>
      </c>
      <c r="D422" s="15">
        <v>1140003</v>
      </c>
      <c r="E422" s="15">
        <v>17011</v>
      </c>
      <c r="F422" s="15">
        <v>1</v>
      </c>
      <c r="G422" s="15">
        <v>60</v>
      </c>
      <c r="H422" s="16">
        <v>0.2</v>
      </c>
      <c r="I422" s="26">
        <v>30</v>
      </c>
      <c r="J422" s="15">
        <v>0</v>
      </c>
      <c r="K422" s="15">
        <v>0</v>
      </c>
      <c r="L422" s="15">
        <v>136</v>
      </c>
      <c r="M422" s="15">
        <v>286</v>
      </c>
      <c r="N422" s="15">
        <v>0</v>
      </c>
      <c r="O422" s="15">
        <v>0</v>
      </c>
      <c r="P422" s="15">
        <v>0</v>
      </c>
      <c r="Q422" s="15">
        <v>0</v>
      </c>
      <c r="R422" s="15">
        <v>196</v>
      </c>
      <c r="S422" s="15">
        <v>390</v>
      </c>
      <c r="T422" s="16">
        <v>0</v>
      </c>
      <c r="U422" s="15">
        <v>0</v>
      </c>
      <c r="V422" s="15">
        <v>0</v>
      </c>
      <c r="W422" s="15">
        <v>0</v>
      </c>
      <c r="X422" s="16">
        <v>0</v>
      </c>
      <c r="Y422" s="16">
        <v>0</v>
      </c>
      <c r="Z422" s="16">
        <v>0</v>
      </c>
      <c r="AA422" s="16">
        <v>202303</v>
      </c>
      <c r="AB422" s="16">
        <v>200</v>
      </c>
      <c r="AC422" s="16">
        <v>1</v>
      </c>
      <c r="AD422" s="16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</row>
    <row r="423" ht="20.1" customHeight="1" spans="2:223">
      <c r="B423" s="11">
        <v>15702002</v>
      </c>
      <c r="C423" s="15" t="s">
        <v>377</v>
      </c>
      <c r="D423" s="15">
        <v>1140003</v>
      </c>
      <c r="E423" s="15">
        <v>17021</v>
      </c>
      <c r="F423" s="15">
        <v>1</v>
      </c>
      <c r="G423" s="15">
        <v>60</v>
      </c>
      <c r="H423" s="16">
        <v>0.2</v>
      </c>
      <c r="I423" s="26">
        <v>30</v>
      </c>
      <c r="J423" s="15">
        <v>0</v>
      </c>
      <c r="K423" s="15">
        <v>0</v>
      </c>
      <c r="L423" s="15">
        <v>196</v>
      </c>
      <c r="M423" s="15">
        <v>376</v>
      </c>
      <c r="N423" s="15">
        <v>0</v>
      </c>
      <c r="O423" s="15">
        <v>0</v>
      </c>
      <c r="P423" s="15">
        <v>0</v>
      </c>
      <c r="Q423" s="15">
        <v>0</v>
      </c>
      <c r="R423" s="15">
        <v>150</v>
      </c>
      <c r="S423" s="15">
        <v>286</v>
      </c>
      <c r="T423" s="16">
        <v>0</v>
      </c>
      <c r="U423" s="15">
        <v>0</v>
      </c>
      <c r="V423" s="15">
        <v>0</v>
      </c>
      <c r="W423" s="15">
        <v>0</v>
      </c>
      <c r="X423" s="16">
        <v>0</v>
      </c>
      <c r="Y423" s="16">
        <v>0</v>
      </c>
      <c r="Z423" s="16">
        <v>0</v>
      </c>
      <c r="AA423" s="16">
        <v>202303</v>
      </c>
      <c r="AB423" s="16">
        <v>200</v>
      </c>
      <c r="AC423" s="16">
        <v>1</v>
      </c>
      <c r="AD423" s="16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</row>
    <row r="424" ht="20.1" customHeight="1" spans="2:223">
      <c r="B424" s="11">
        <v>15702003</v>
      </c>
      <c r="C424" s="15" t="s">
        <v>379</v>
      </c>
      <c r="D424" s="15">
        <v>1140003</v>
      </c>
      <c r="E424" s="15">
        <v>17031</v>
      </c>
      <c r="F424" s="15">
        <v>1</v>
      </c>
      <c r="G424" s="15">
        <v>60</v>
      </c>
      <c r="H424" s="16">
        <v>0.2</v>
      </c>
      <c r="I424" s="26">
        <v>30</v>
      </c>
      <c r="J424" s="15">
        <v>0</v>
      </c>
      <c r="K424" s="15">
        <v>0</v>
      </c>
      <c r="L424" s="15">
        <v>106</v>
      </c>
      <c r="M424" s="15">
        <v>210</v>
      </c>
      <c r="N424" s="15">
        <v>0</v>
      </c>
      <c r="O424" s="15">
        <v>0</v>
      </c>
      <c r="P424" s="15">
        <v>0</v>
      </c>
      <c r="Q424" s="15">
        <v>0</v>
      </c>
      <c r="R424" s="15">
        <v>240</v>
      </c>
      <c r="S424" s="15">
        <v>480</v>
      </c>
      <c r="T424" s="16">
        <v>0</v>
      </c>
      <c r="U424" s="15">
        <v>0</v>
      </c>
      <c r="V424" s="15">
        <v>0</v>
      </c>
      <c r="W424" s="15">
        <v>0</v>
      </c>
      <c r="X424" s="16">
        <v>0</v>
      </c>
      <c r="Y424" s="16">
        <v>0</v>
      </c>
      <c r="Z424" s="16">
        <v>0</v>
      </c>
      <c r="AA424" s="16">
        <v>202303</v>
      </c>
      <c r="AB424" s="16">
        <v>200</v>
      </c>
      <c r="AC424" s="16">
        <v>1</v>
      </c>
      <c r="AD424" s="16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</row>
    <row r="425" ht="20.1" customHeight="1" spans="2:223">
      <c r="B425" s="11">
        <v>15703001</v>
      </c>
      <c r="C425" s="15" t="s">
        <v>381</v>
      </c>
      <c r="D425" s="15">
        <v>1140003</v>
      </c>
      <c r="E425" s="15">
        <v>17011</v>
      </c>
      <c r="F425" s="15">
        <v>1</v>
      </c>
      <c r="G425" s="15">
        <v>60</v>
      </c>
      <c r="H425" s="16">
        <v>0.2</v>
      </c>
      <c r="I425" s="26">
        <v>30</v>
      </c>
      <c r="J425" s="15">
        <v>0</v>
      </c>
      <c r="K425" s="15">
        <v>4530</v>
      </c>
      <c r="L425" s="15">
        <v>76</v>
      </c>
      <c r="M425" s="15">
        <v>150</v>
      </c>
      <c r="N425" s="15">
        <v>0</v>
      </c>
      <c r="O425" s="15">
        <v>0</v>
      </c>
      <c r="P425" s="15">
        <v>136</v>
      </c>
      <c r="Q425" s="15">
        <v>256</v>
      </c>
      <c r="R425" s="15">
        <v>0</v>
      </c>
      <c r="S425" s="15">
        <v>0</v>
      </c>
      <c r="T425" s="16">
        <v>0</v>
      </c>
      <c r="U425" s="15">
        <v>0</v>
      </c>
      <c r="V425" s="15">
        <v>0</v>
      </c>
      <c r="W425" s="15">
        <v>0</v>
      </c>
      <c r="X425" s="16">
        <v>0</v>
      </c>
      <c r="Y425" s="16">
        <v>0</v>
      </c>
      <c r="Z425" s="16">
        <v>0</v>
      </c>
      <c r="AA425" s="16">
        <v>200403</v>
      </c>
      <c r="AB425" s="16">
        <v>200</v>
      </c>
      <c r="AC425" s="16">
        <v>1</v>
      </c>
      <c r="AD425" s="16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</row>
    <row r="426" ht="20.1" customHeight="1" spans="2:223">
      <c r="B426" s="11">
        <v>15703002</v>
      </c>
      <c r="C426" s="15" t="s">
        <v>383</v>
      </c>
      <c r="D426" s="15">
        <v>1140003</v>
      </c>
      <c r="E426" s="15">
        <v>17021</v>
      </c>
      <c r="F426" s="15">
        <v>1</v>
      </c>
      <c r="G426" s="15">
        <v>60</v>
      </c>
      <c r="H426" s="16">
        <v>0.2</v>
      </c>
      <c r="I426" s="26">
        <v>30</v>
      </c>
      <c r="J426" s="15">
        <v>0</v>
      </c>
      <c r="K426" s="15">
        <v>2270</v>
      </c>
      <c r="L426" s="15">
        <v>106</v>
      </c>
      <c r="M426" s="15">
        <v>210</v>
      </c>
      <c r="N426" s="15">
        <v>0</v>
      </c>
      <c r="O426" s="15">
        <v>0</v>
      </c>
      <c r="P426" s="15">
        <v>90</v>
      </c>
      <c r="Q426" s="15">
        <v>196</v>
      </c>
      <c r="R426" s="15">
        <v>0</v>
      </c>
      <c r="S426" s="15">
        <v>0</v>
      </c>
      <c r="T426" s="16">
        <v>0</v>
      </c>
      <c r="U426" s="15">
        <v>0</v>
      </c>
      <c r="V426" s="15">
        <v>0</v>
      </c>
      <c r="W426" s="15">
        <v>0</v>
      </c>
      <c r="X426" s="16">
        <v>0</v>
      </c>
      <c r="Y426" s="16">
        <v>0</v>
      </c>
      <c r="Z426" s="16">
        <v>0</v>
      </c>
      <c r="AA426" s="16">
        <v>200403</v>
      </c>
      <c r="AB426" s="16">
        <v>200</v>
      </c>
      <c r="AC426" s="16">
        <v>1</v>
      </c>
      <c r="AD426" s="16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</row>
    <row r="427" ht="20.1" customHeight="1" spans="2:223">
      <c r="B427" s="11">
        <v>15703003</v>
      </c>
      <c r="C427" s="15" t="s">
        <v>385</v>
      </c>
      <c r="D427" s="15">
        <v>1140003</v>
      </c>
      <c r="E427" s="15">
        <v>17031</v>
      </c>
      <c r="F427" s="15">
        <v>1</v>
      </c>
      <c r="G427" s="15">
        <v>60</v>
      </c>
      <c r="H427" s="16">
        <v>0.2</v>
      </c>
      <c r="I427" s="26">
        <v>30</v>
      </c>
      <c r="J427" s="15">
        <v>0</v>
      </c>
      <c r="K427" s="15">
        <v>6810</v>
      </c>
      <c r="L427" s="15">
        <v>60</v>
      </c>
      <c r="M427" s="15">
        <v>120</v>
      </c>
      <c r="N427" s="15">
        <v>0</v>
      </c>
      <c r="O427" s="15">
        <v>0</v>
      </c>
      <c r="P427" s="15">
        <v>166</v>
      </c>
      <c r="Q427" s="15">
        <v>330</v>
      </c>
      <c r="R427" s="15">
        <v>0</v>
      </c>
      <c r="S427" s="15">
        <v>0</v>
      </c>
      <c r="T427" s="16">
        <v>0</v>
      </c>
      <c r="U427" s="15">
        <v>0</v>
      </c>
      <c r="V427" s="15">
        <v>0</v>
      </c>
      <c r="W427" s="15">
        <v>0</v>
      </c>
      <c r="X427" s="16">
        <v>0</v>
      </c>
      <c r="Y427" s="16">
        <v>0</v>
      </c>
      <c r="Z427" s="16">
        <v>0</v>
      </c>
      <c r="AA427" s="16">
        <v>200403</v>
      </c>
      <c r="AB427" s="16">
        <v>200</v>
      </c>
      <c r="AC427" s="16">
        <v>1</v>
      </c>
      <c r="AD427" s="16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</row>
    <row r="428" ht="20.1" customHeight="1" spans="2:223">
      <c r="B428" s="11">
        <v>15704001</v>
      </c>
      <c r="C428" s="15" t="s">
        <v>388</v>
      </c>
      <c r="D428" s="15">
        <v>1140003</v>
      </c>
      <c r="E428" s="15">
        <v>17011</v>
      </c>
      <c r="F428" s="15">
        <v>1</v>
      </c>
      <c r="G428" s="15">
        <v>60</v>
      </c>
      <c r="H428" s="16">
        <v>0.2</v>
      </c>
      <c r="I428" s="26">
        <v>30</v>
      </c>
      <c r="J428" s="15">
        <v>0</v>
      </c>
      <c r="K428" s="15">
        <v>0</v>
      </c>
      <c r="L428" s="15">
        <v>120</v>
      </c>
      <c r="M428" s="15">
        <v>240</v>
      </c>
      <c r="N428" s="15">
        <v>0</v>
      </c>
      <c r="O428" s="15">
        <v>0</v>
      </c>
      <c r="P428" s="15">
        <v>136</v>
      </c>
      <c r="Q428" s="15">
        <v>256</v>
      </c>
      <c r="R428" s="15">
        <v>136</v>
      </c>
      <c r="S428" s="15">
        <v>256</v>
      </c>
      <c r="T428" s="16">
        <v>0</v>
      </c>
      <c r="U428" s="15">
        <v>0</v>
      </c>
      <c r="V428" s="15">
        <v>0</v>
      </c>
      <c r="W428" s="15">
        <v>0</v>
      </c>
      <c r="X428" s="16">
        <v>0</v>
      </c>
      <c r="Y428" s="16">
        <v>0</v>
      </c>
      <c r="Z428" s="16">
        <v>0</v>
      </c>
      <c r="AA428" s="16">
        <v>202203</v>
      </c>
      <c r="AB428" s="16">
        <v>200</v>
      </c>
      <c r="AC428" s="16">
        <v>1</v>
      </c>
      <c r="AD428" s="16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</row>
    <row r="429" ht="20.1" customHeight="1" spans="2:223">
      <c r="B429" s="11">
        <v>15704002</v>
      </c>
      <c r="C429" s="15" t="s">
        <v>390</v>
      </c>
      <c r="D429" s="15">
        <v>1140003</v>
      </c>
      <c r="E429" s="15">
        <v>17021</v>
      </c>
      <c r="F429" s="15">
        <v>1</v>
      </c>
      <c r="G429" s="15">
        <v>60</v>
      </c>
      <c r="H429" s="16">
        <v>0.2</v>
      </c>
      <c r="I429" s="26">
        <v>30</v>
      </c>
      <c r="J429" s="15">
        <v>0</v>
      </c>
      <c r="K429" s="15">
        <v>0</v>
      </c>
      <c r="L429" s="15">
        <v>166</v>
      </c>
      <c r="M429" s="15">
        <v>316</v>
      </c>
      <c r="N429" s="15">
        <v>0</v>
      </c>
      <c r="O429" s="15">
        <v>0</v>
      </c>
      <c r="P429" s="15">
        <v>90</v>
      </c>
      <c r="Q429" s="15">
        <v>196</v>
      </c>
      <c r="R429" s="15">
        <v>90</v>
      </c>
      <c r="S429" s="15">
        <v>196</v>
      </c>
      <c r="T429" s="16">
        <v>0</v>
      </c>
      <c r="U429" s="15">
        <v>0</v>
      </c>
      <c r="V429" s="15">
        <v>0</v>
      </c>
      <c r="W429" s="15">
        <v>0</v>
      </c>
      <c r="X429" s="16">
        <v>0</v>
      </c>
      <c r="Y429" s="16">
        <v>0</v>
      </c>
      <c r="Z429" s="16">
        <v>0</v>
      </c>
      <c r="AA429" s="16">
        <v>202303</v>
      </c>
      <c r="AB429" s="16">
        <v>200</v>
      </c>
      <c r="AC429" s="16">
        <v>1</v>
      </c>
      <c r="AD429" s="16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</row>
    <row r="430" ht="20.1" customHeight="1" spans="2:223">
      <c r="B430" s="11">
        <v>15704003</v>
      </c>
      <c r="C430" s="15" t="s">
        <v>392</v>
      </c>
      <c r="D430" s="15">
        <v>1140003</v>
      </c>
      <c r="E430" s="15">
        <v>17031</v>
      </c>
      <c r="F430" s="15">
        <v>1</v>
      </c>
      <c r="G430" s="15">
        <v>60</v>
      </c>
      <c r="H430" s="16">
        <v>0.2</v>
      </c>
      <c r="I430" s="26">
        <v>30</v>
      </c>
      <c r="J430" s="15">
        <v>0</v>
      </c>
      <c r="K430" s="15">
        <v>0</v>
      </c>
      <c r="L430" s="15">
        <v>90</v>
      </c>
      <c r="M430" s="15">
        <v>180</v>
      </c>
      <c r="N430" s="15">
        <v>0</v>
      </c>
      <c r="O430" s="15">
        <v>0</v>
      </c>
      <c r="P430" s="15">
        <v>166</v>
      </c>
      <c r="Q430" s="15">
        <v>330</v>
      </c>
      <c r="R430" s="15">
        <v>166</v>
      </c>
      <c r="S430" s="15">
        <v>330</v>
      </c>
      <c r="T430" s="16">
        <v>0</v>
      </c>
      <c r="U430" s="15">
        <v>0</v>
      </c>
      <c r="V430" s="15">
        <v>0</v>
      </c>
      <c r="W430" s="15">
        <v>0</v>
      </c>
      <c r="X430" s="16">
        <v>0</v>
      </c>
      <c r="Y430" s="16">
        <v>0</v>
      </c>
      <c r="Z430" s="16">
        <v>0</v>
      </c>
      <c r="AA430" s="16">
        <v>202203</v>
      </c>
      <c r="AB430" s="16">
        <v>200</v>
      </c>
      <c r="AC430" s="16">
        <v>1</v>
      </c>
      <c r="AD430" s="16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</row>
    <row r="431" ht="20.1" customHeight="1" spans="2:223">
      <c r="B431" s="11">
        <v>15705001</v>
      </c>
      <c r="C431" s="15" t="s">
        <v>394</v>
      </c>
      <c r="D431" s="15">
        <v>1140003</v>
      </c>
      <c r="E431" s="15">
        <v>17011</v>
      </c>
      <c r="F431" s="15">
        <v>1</v>
      </c>
      <c r="G431" s="15">
        <v>60</v>
      </c>
      <c r="H431" s="16">
        <v>0.2</v>
      </c>
      <c r="I431" s="26">
        <v>30</v>
      </c>
      <c r="J431" s="15">
        <v>0</v>
      </c>
      <c r="K431" s="15">
        <v>11340</v>
      </c>
      <c r="L431" s="15">
        <v>166</v>
      </c>
      <c r="M431" s="15">
        <v>330</v>
      </c>
      <c r="N431" s="15">
        <v>0</v>
      </c>
      <c r="O431" s="15">
        <v>0</v>
      </c>
      <c r="P431" s="15">
        <v>60</v>
      </c>
      <c r="Q431" s="15">
        <v>136</v>
      </c>
      <c r="R431" s="15">
        <v>0</v>
      </c>
      <c r="S431" s="15">
        <v>0</v>
      </c>
      <c r="T431" s="16">
        <v>0</v>
      </c>
      <c r="U431" s="15">
        <v>0</v>
      </c>
      <c r="V431" s="15">
        <v>0</v>
      </c>
      <c r="W431" s="15">
        <v>0</v>
      </c>
      <c r="X431" s="16">
        <v>0</v>
      </c>
      <c r="Y431" s="16">
        <v>0</v>
      </c>
      <c r="Z431" s="16">
        <v>0</v>
      </c>
      <c r="AA431" s="16">
        <v>200103</v>
      </c>
      <c r="AB431" s="16">
        <v>200</v>
      </c>
      <c r="AC431" s="16">
        <v>1</v>
      </c>
      <c r="AD431" s="16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</row>
    <row r="432" ht="20.1" customHeight="1" spans="2:223">
      <c r="B432" s="11">
        <v>15705002</v>
      </c>
      <c r="C432" s="15" t="s">
        <v>396</v>
      </c>
      <c r="D432" s="15">
        <v>1140003</v>
      </c>
      <c r="E432" s="15">
        <v>17021</v>
      </c>
      <c r="F432" s="15">
        <v>1</v>
      </c>
      <c r="G432" s="15">
        <v>60</v>
      </c>
      <c r="H432" s="16">
        <v>0.2</v>
      </c>
      <c r="I432" s="26">
        <v>30</v>
      </c>
      <c r="J432" s="15">
        <v>0</v>
      </c>
      <c r="K432" s="15">
        <v>5670</v>
      </c>
      <c r="L432" s="15">
        <v>226</v>
      </c>
      <c r="M432" s="15">
        <v>436</v>
      </c>
      <c r="N432" s="15">
        <v>0</v>
      </c>
      <c r="O432" s="15">
        <v>0</v>
      </c>
      <c r="P432" s="15">
        <v>46</v>
      </c>
      <c r="Q432" s="15">
        <v>90</v>
      </c>
      <c r="R432" s="15">
        <v>0</v>
      </c>
      <c r="S432" s="15">
        <v>0</v>
      </c>
      <c r="T432" s="16">
        <v>0</v>
      </c>
      <c r="U432" s="15">
        <v>0</v>
      </c>
      <c r="V432" s="15">
        <v>0</v>
      </c>
      <c r="W432" s="15">
        <v>0</v>
      </c>
      <c r="X432" s="16">
        <v>0</v>
      </c>
      <c r="Y432" s="16">
        <v>0</v>
      </c>
      <c r="Z432" s="16">
        <v>0</v>
      </c>
      <c r="AA432" s="16">
        <v>200103</v>
      </c>
      <c r="AB432" s="16">
        <v>200</v>
      </c>
      <c r="AC432" s="16">
        <v>1</v>
      </c>
      <c r="AD432" s="16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</row>
    <row r="433" ht="20.1" customHeight="1" spans="2:223">
      <c r="B433" s="11">
        <v>15705003</v>
      </c>
      <c r="C433" s="15" t="s">
        <v>398</v>
      </c>
      <c r="D433" s="15">
        <v>1140003</v>
      </c>
      <c r="E433" s="15">
        <v>17031</v>
      </c>
      <c r="F433" s="15">
        <v>1</v>
      </c>
      <c r="G433" s="15">
        <v>60</v>
      </c>
      <c r="H433" s="16">
        <v>0.2</v>
      </c>
      <c r="I433" s="26">
        <v>30</v>
      </c>
      <c r="J433" s="15">
        <v>0</v>
      </c>
      <c r="K433" s="15">
        <v>17010</v>
      </c>
      <c r="L433" s="15">
        <v>120</v>
      </c>
      <c r="M433" s="15">
        <v>240</v>
      </c>
      <c r="N433" s="15">
        <v>0</v>
      </c>
      <c r="O433" s="15">
        <v>0</v>
      </c>
      <c r="P433" s="15">
        <v>76</v>
      </c>
      <c r="Q433" s="15">
        <v>166</v>
      </c>
      <c r="R433" s="15">
        <v>0</v>
      </c>
      <c r="S433" s="15">
        <v>0</v>
      </c>
      <c r="T433" s="16">
        <v>0</v>
      </c>
      <c r="U433" s="15">
        <v>0</v>
      </c>
      <c r="V433" s="15">
        <v>0</v>
      </c>
      <c r="W433" s="15">
        <v>0</v>
      </c>
      <c r="X433" s="16">
        <v>0</v>
      </c>
      <c r="Y433" s="16">
        <v>0</v>
      </c>
      <c r="Z433" s="16">
        <v>0</v>
      </c>
      <c r="AA433" s="16">
        <v>200103</v>
      </c>
      <c r="AB433" s="16">
        <v>200</v>
      </c>
      <c r="AC433" s="16">
        <v>1</v>
      </c>
      <c r="AD433" s="16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</row>
    <row r="434" ht="20.1" customHeight="1" spans="2:223">
      <c r="B434" s="11">
        <v>15706001</v>
      </c>
      <c r="C434" s="15" t="s">
        <v>400</v>
      </c>
      <c r="D434" s="15">
        <v>1140002</v>
      </c>
      <c r="E434" s="15">
        <v>17051</v>
      </c>
      <c r="F434" s="15">
        <v>1</v>
      </c>
      <c r="G434" s="15">
        <v>60</v>
      </c>
      <c r="H434" s="16">
        <v>0.2</v>
      </c>
      <c r="I434" s="26">
        <v>30</v>
      </c>
      <c r="J434" s="15">
        <v>0</v>
      </c>
      <c r="K434" s="15">
        <v>0</v>
      </c>
      <c r="L434" s="15">
        <v>330</v>
      </c>
      <c r="M434" s="15">
        <v>646</v>
      </c>
      <c r="N434" s="15">
        <v>0</v>
      </c>
      <c r="O434" s="15">
        <v>0</v>
      </c>
      <c r="P434" s="15">
        <v>90</v>
      </c>
      <c r="Q434" s="15">
        <v>196</v>
      </c>
      <c r="R434" s="15">
        <v>0</v>
      </c>
      <c r="S434" s="15">
        <v>0</v>
      </c>
      <c r="T434" s="16">
        <v>0</v>
      </c>
      <c r="U434" s="15">
        <v>0</v>
      </c>
      <c r="V434" s="15">
        <v>0</v>
      </c>
      <c r="W434" s="15">
        <v>0</v>
      </c>
      <c r="X434" s="16">
        <v>0</v>
      </c>
      <c r="Y434" s="16">
        <v>0</v>
      </c>
      <c r="Z434" s="16">
        <v>0</v>
      </c>
      <c r="AA434" s="16">
        <v>100402</v>
      </c>
      <c r="AB434" s="16">
        <v>200</v>
      </c>
      <c r="AC434" s="16">
        <v>1</v>
      </c>
      <c r="AD434" s="16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</row>
    <row r="435" ht="20.1" customHeight="1" spans="2:223">
      <c r="B435" s="11">
        <v>15707001</v>
      </c>
      <c r="C435" s="15" t="s">
        <v>403</v>
      </c>
      <c r="D435" s="15">
        <v>1140002</v>
      </c>
      <c r="E435" s="15">
        <v>0</v>
      </c>
      <c r="F435" s="15">
        <v>1</v>
      </c>
      <c r="G435" s="15">
        <v>60</v>
      </c>
      <c r="H435" s="16">
        <v>0.2</v>
      </c>
      <c r="I435" s="26">
        <v>30</v>
      </c>
      <c r="J435" s="15">
        <v>0</v>
      </c>
      <c r="K435" s="15">
        <v>0</v>
      </c>
      <c r="L435" s="15">
        <v>330</v>
      </c>
      <c r="M435" s="15">
        <v>646</v>
      </c>
      <c r="N435" s="15">
        <v>0</v>
      </c>
      <c r="O435" s="15">
        <v>0</v>
      </c>
      <c r="P435" s="15">
        <v>0</v>
      </c>
      <c r="Q435" s="15">
        <v>0</v>
      </c>
      <c r="R435" s="15">
        <v>90</v>
      </c>
      <c r="S435" s="15">
        <v>196</v>
      </c>
      <c r="T435" s="16">
        <v>0</v>
      </c>
      <c r="U435" s="15">
        <v>0</v>
      </c>
      <c r="V435" s="15">
        <v>0</v>
      </c>
      <c r="W435" s="15">
        <v>0</v>
      </c>
      <c r="X435" s="16">
        <v>0</v>
      </c>
      <c r="Y435" s="16">
        <v>0</v>
      </c>
      <c r="Z435" s="16">
        <v>0</v>
      </c>
      <c r="AA435" s="16">
        <v>200203</v>
      </c>
      <c r="AB435" s="16">
        <v>200</v>
      </c>
      <c r="AC435" s="16">
        <v>1</v>
      </c>
      <c r="AD435" s="16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</row>
    <row r="436" ht="20.1" customHeight="1" spans="2:223">
      <c r="B436" s="11">
        <v>15708001</v>
      </c>
      <c r="C436" s="15" t="s">
        <v>405</v>
      </c>
      <c r="D436" s="15">
        <v>1140002</v>
      </c>
      <c r="E436" s="15">
        <v>0</v>
      </c>
      <c r="F436" s="15">
        <v>1</v>
      </c>
      <c r="G436" s="15">
        <v>60</v>
      </c>
      <c r="H436" s="16">
        <v>0.2</v>
      </c>
      <c r="I436" s="26">
        <v>30</v>
      </c>
      <c r="J436" s="15">
        <v>0</v>
      </c>
      <c r="K436" s="15">
        <v>0</v>
      </c>
      <c r="L436" s="15">
        <v>60</v>
      </c>
      <c r="M436" s="15">
        <v>150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6">
        <v>0</v>
      </c>
      <c r="U436" s="15">
        <v>0</v>
      </c>
      <c r="V436" s="15">
        <v>0</v>
      </c>
      <c r="W436" s="15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</row>
    <row r="437" ht="20.1" customHeight="1" spans="2:223">
      <c r="B437" s="11">
        <v>15709001</v>
      </c>
      <c r="C437" s="15" t="s">
        <v>408</v>
      </c>
      <c r="D437" s="15">
        <v>1140001</v>
      </c>
      <c r="E437" s="15">
        <v>0</v>
      </c>
      <c r="F437" s="15">
        <v>1</v>
      </c>
      <c r="G437" s="15">
        <v>60</v>
      </c>
      <c r="H437" s="16">
        <v>0.2</v>
      </c>
      <c r="I437" s="26">
        <v>30</v>
      </c>
      <c r="J437" s="15">
        <v>0</v>
      </c>
      <c r="K437" s="15">
        <v>18150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6">
        <v>0</v>
      </c>
      <c r="U437" s="15">
        <v>0</v>
      </c>
      <c r="V437" s="15">
        <v>0</v>
      </c>
      <c r="W437" s="15">
        <v>0</v>
      </c>
      <c r="X437" s="16">
        <v>0</v>
      </c>
      <c r="Y437" s="16">
        <v>0</v>
      </c>
      <c r="Z437" s="16">
        <v>0</v>
      </c>
      <c r="AA437" s="16">
        <v>200303</v>
      </c>
      <c r="AB437" s="16">
        <v>200</v>
      </c>
      <c r="AC437" s="16">
        <v>1</v>
      </c>
      <c r="AD437" s="16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</row>
    <row r="438" ht="20.1" customHeight="1" spans="2:223">
      <c r="B438" s="11">
        <v>15710001</v>
      </c>
      <c r="C438" s="11" t="s">
        <v>411</v>
      </c>
      <c r="D438" s="15">
        <v>1140001</v>
      </c>
      <c r="E438" s="15">
        <v>17051</v>
      </c>
      <c r="F438" s="15">
        <v>1</v>
      </c>
      <c r="G438" s="15">
        <v>60</v>
      </c>
      <c r="H438" s="16">
        <v>0.2</v>
      </c>
      <c r="I438" s="26">
        <v>30</v>
      </c>
      <c r="J438" s="15">
        <v>0</v>
      </c>
      <c r="K438" s="15">
        <v>0</v>
      </c>
      <c r="L438" s="15">
        <v>900</v>
      </c>
      <c r="M438" s="15">
        <v>1816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6">
        <v>0</v>
      </c>
      <c r="U438" s="15">
        <v>0</v>
      </c>
      <c r="V438" s="15">
        <v>0</v>
      </c>
      <c r="W438" s="15">
        <v>0</v>
      </c>
      <c r="X438" s="16">
        <v>0</v>
      </c>
      <c r="Y438" s="16">
        <v>0</v>
      </c>
      <c r="Z438" s="16">
        <v>0</v>
      </c>
      <c r="AA438" s="16">
        <v>200903</v>
      </c>
      <c r="AB438" s="16">
        <v>200</v>
      </c>
      <c r="AC438" s="16">
        <v>1</v>
      </c>
      <c r="AD438" s="16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</row>
    <row r="439" ht="20.1" customHeight="1" spans="2:223">
      <c r="B439" s="11">
        <v>15710002</v>
      </c>
      <c r="C439" s="11" t="s">
        <v>413</v>
      </c>
      <c r="D439" s="15">
        <v>1140001</v>
      </c>
      <c r="E439" s="15">
        <v>17051</v>
      </c>
      <c r="F439" s="15">
        <v>1</v>
      </c>
      <c r="G439" s="15">
        <v>60</v>
      </c>
      <c r="H439" s="16">
        <v>0.2</v>
      </c>
      <c r="I439" s="26">
        <v>30</v>
      </c>
      <c r="J439" s="15">
        <v>0</v>
      </c>
      <c r="K439" s="15">
        <v>0</v>
      </c>
      <c r="L439" s="15">
        <v>900</v>
      </c>
      <c r="M439" s="15">
        <v>1816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6">
        <v>0</v>
      </c>
      <c r="U439" s="15">
        <v>0</v>
      </c>
      <c r="V439" s="15">
        <v>0</v>
      </c>
      <c r="W439" s="15">
        <v>0</v>
      </c>
      <c r="X439" s="16">
        <v>0</v>
      </c>
      <c r="Y439" s="16">
        <v>0</v>
      </c>
      <c r="Z439" s="16">
        <v>0</v>
      </c>
      <c r="AA439" s="16">
        <v>200903</v>
      </c>
      <c r="AB439" s="16">
        <v>200</v>
      </c>
      <c r="AC439" s="16">
        <v>1</v>
      </c>
      <c r="AD439" s="16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</row>
    <row r="440" ht="20.1" customHeight="1" spans="2:223">
      <c r="B440" s="11">
        <v>15710201</v>
      </c>
      <c r="C440" s="11" t="s">
        <v>431</v>
      </c>
      <c r="D440" s="15">
        <v>1140001</v>
      </c>
      <c r="E440" s="15">
        <v>17051</v>
      </c>
      <c r="F440" s="15">
        <v>1</v>
      </c>
      <c r="G440" s="15">
        <v>60</v>
      </c>
      <c r="H440" s="16">
        <v>0.2</v>
      </c>
      <c r="I440" s="26">
        <v>30</v>
      </c>
      <c r="J440" s="15">
        <v>0</v>
      </c>
      <c r="K440" s="15">
        <v>0</v>
      </c>
      <c r="L440" s="15">
        <v>900</v>
      </c>
      <c r="M440" s="15">
        <v>1816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6">
        <v>0</v>
      </c>
      <c r="U440" s="15">
        <v>0</v>
      </c>
      <c r="V440" s="15">
        <v>0</v>
      </c>
      <c r="W440" s="15">
        <v>0</v>
      </c>
      <c r="X440" s="16">
        <v>0</v>
      </c>
      <c r="Y440" s="16">
        <v>0</v>
      </c>
      <c r="Z440" s="16">
        <v>0</v>
      </c>
      <c r="AA440" s="16">
        <v>200903</v>
      </c>
      <c r="AB440" s="16">
        <v>200</v>
      </c>
      <c r="AC440" s="16">
        <v>1</v>
      </c>
      <c r="AD440" s="16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</row>
    <row r="441" ht="20.1" customHeight="1" spans="2:223">
      <c r="B441" s="11">
        <v>15711001</v>
      </c>
      <c r="C441" s="15" t="s">
        <v>422</v>
      </c>
      <c r="D441" s="15">
        <v>1140003</v>
      </c>
      <c r="E441" s="15">
        <v>17011</v>
      </c>
      <c r="F441" s="15">
        <v>1</v>
      </c>
      <c r="G441" s="15">
        <v>60</v>
      </c>
      <c r="H441" s="16">
        <v>0.2</v>
      </c>
      <c r="I441" s="26">
        <v>30</v>
      </c>
      <c r="J441" s="15">
        <v>0</v>
      </c>
      <c r="K441" s="15">
        <v>15560</v>
      </c>
      <c r="L441" s="15">
        <v>0</v>
      </c>
      <c r="M441" s="15">
        <v>0</v>
      </c>
      <c r="N441" s="15">
        <v>0</v>
      </c>
      <c r="O441" s="15">
        <v>0</v>
      </c>
      <c r="P441" s="15">
        <v>166</v>
      </c>
      <c r="Q441" s="15">
        <v>330</v>
      </c>
      <c r="R441" s="15">
        <v>166</v>
      </c>
      <c r="S441" s="15">
        <v>330</v>
      </c>
      <c r="T441" s="16">
        <v>0</v>
      </c>
      <c r="U441" s="15">
        <v>0</v>
      </c>
      <c r="V441" s="15">
        <v>0</v>
      </c>
      <c r="W441" s="15">
        <v>0</v>
      </c>
      <c r="X441" s="16">
        <v>0</v>
      </c>
      <c r="Y441" s="16">
        <v>0</v>
      </c>
      <c r="Z441" s="16">
        <v>0</v>
      </c>
      <c r="AA441" s="16">
        <v>201003</v>
      </c>
      <c r="AB441" s="16">
        <v>200</v>
      </c>
      <c r="AC441" s="16">
        <v>1</v>
      </c>
      <c r="AD441" s="16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</row>
    <row r="442" ht="20.1" customHeight="1" spans="2:223">
      <c r="B442" s="11">
        <v>15711002</v>
      </c>
      <c r="C442" s="15" t="s">
        <v>424</v>
      </c>
      <c r="D442" s="15">
        <v>1140003</v>
      </c>
      <c r="E442" s="15">
        <v>17021</v>
      </c>
      <c r="F442" s="15">
        <v>1</v>
      </c>
      <c r="G442" s="15">
        <v>60</v>
      </c>
      <c r="H442" s="16">
        <v>0.2</v>
      </c>
      <c r="I442" s="26">
        <v>30</v>
      </c>
      <c r="J442" s="15">
        <v>0</v>
      </c>
      <c r="K442" s="15">
        <v>7770</v>
      </c>
      <c r="L442" s="15">
        <v>0</v>
      </c>
      <c r="M442" s="15">
        <v>0</v>
      </c>
      <c r="N442" s="15">
        <v>0</v>
      </c>
      <c r="O442" s="15">
        <v>0</v>
      </c>
      <c r="P442" s="15">
        <v>120</v>
      </c>
      <c r="Q442" s="15">
        <v>240</v>
      </c>
      <c r="R442" s="15">
        <v>120</v>
      </c>
      <c r="S442" s="15">
        <v>240</v>
      </c>
      <c r="T442" s="16">
        <v>0</v>
      </c>
      <c r="U442" s="15">
        <v>0</v>
      </c>
      <c r="V442" s="15">
        <v>0</v>
      </c>
      <c r="W442" s="15">
        <v>0</v>
      </c>
      <c r="X442" s="16">
        <v>0</v>
      </c>
      <c r="Y442" s="16">
        <v>0</v>
      </c>
      <c r="Z442" s="16">
        <v>0</v>
      </c>
      <c r="AA442" s="16">
        <v>201003</v>
      </c>
      <c r="AB442" s="16">
        <v>200</v>
      </c>
      <c r="AC442" s="16">
        <v>1</v>
      </c>
      <c r="AD442" s="16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</row>
    <row r="443" ht="20.1" customHeight="1" spans="2:223">
      <c r="B443" s="11">
        <v>15711003</v>
      </c>
      <c r="C443" s="15" t="s">
        <v>426</v>
      </c>
      <c r="D443" s="15">
        <v>1140003</v>
      </c>
      <c r="E443" s="15">
        <v>17031</v>
      </c>
      <c r="F443" s="15">
        <v>1</v>
      </c>
      <c r="G443" s="15">
        <v>60</v>
      </c>
      <c r="H443" s="16">
        <v>0.2</v>
      </c>
      <c r="I443" s="26">
        <v>30</v>
      </c>
      <c r="J443" s="15">
        <v>0</v>
      </c>
      <c r="K443" s="15">
        <v>23330</v>
      </c>
      <c r="L443" s="15">
        <v>0</v>
      </c>
      <c r="M443" s="15">
        <v>0</v>
      </c>
      <c r="N443" s="15">
        <v>0</v>
      </c>
      <c r="O443" s="15">
        <v>0</v>
      </c>
      <c r="P443" s="15">
        <v>210</v>
      </c>
      <c r="Q443" s="15">
        <v>406</v>
      </c>
      <c r="R443" s="15">
        <v>210</v>
      </c>
      <c r="S443" s="15">
        <v>406</v>
      </c>
      <c r="T443" s="16">
        <v>0</v>
      </c>
      <c r="U443" s="15">
        <v>0</v>
      </c>
      <c r="V443" s="15">
        <v>0</v>
      </c>
      <c r="W443" s="15">
        <v>0</v>
      </c>
      <c r="X443" s="16">
        <v>0</v>
      </c>
      <c r="Y443" s="16">
        <v>0</v>
      </c>
      <c r="Z443" s="16">
        <v>0</v>
      </c>
      <c r="AA443" s="16">
        <v>201003</v>
      </c>
      <c r="AB443" s="16">
        <v>200</v>
      </c>
      <c r="AC443" s="16">
        <v>1</v>
      </c>
      <c r="AD443" s="16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</row>
    <row r="444" ht="20.1" customHeight="1" spans="2:223">
      <c r="B444" s="52">
        <v>16000101</v>
      </c>
      <c r="C444" s="53" t="s">
        <v>432</v>
      </c>
      <c r="D444" s="15">
        <v>1140003</v>
      </c>
      <c r="E444" s="15">
        <v>30001</v>
      </c>
      <c r="F444" s="15">
        <v>1</v>
      </c>
      <c r="G444" s="15">
        <v>9</v>
      </c>
      <c r="H444" s="16">
        <v>0</v>
      </c>
      <c r="I444" s="26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6">
        <v>0</v>
      </c>
      <c r="U444" s="15">
        <v>0</v>
      </c>
      <c r="V444" s="15">
        <v>0</v>
      </c>
      <c r="W444" s="15">
        <v>0</v>
      </c>
      <c r="X444" s="16">
        <v>0</v>
      </c>
      <c r="Y444" s="16">
        <v>0</v>
      </c>
      <c r="Z444" s="16">
        <v>0</v>
      </c>
      <c r="AA444" s="16">
        <v>105101</v>
      </c>
      <c r="AB444" s="16">
        <v>1</v>
      </c>
      <c r="AC444" s="16">
        <v>0</v>
      </c>
      <c r="AD444" s="16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</row>
    <row r="445" ht="20.1" customHeight="1" spans="2:223">
      <c r="B445" s="52">
        <v>16000102</v>
      </c>
      <c r="C445" s="53" t="s">
        <v>433</v>
      </c>
      <c r="D445" s="15">
        <v>1140003</v>
      </c>
      <c r="E445" s="15">
        <v>30001</v>
      </c>
      <c r="F445" s="15">
        <v>1</v>
      </c>
      <c r="G445" s="15">
        <v>9</v>
      </c>
      <c r="H445" s="16">
        <v>0</v>
      </c>
      <c r="I445" s="26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6">
        <v>0</v>
      </c>
      <c r="U445" s="15">
        <v>0</v>
      </c>
      <c r="V445" s="15">
        <v>0</v>
      </c>
      <c r="W445" s="15">
        <v>0</v>
      </c>
      <c r="X445" s="16">
        <v>0</v>
      </c>
      <c r="Y445" s="16">
        <v>0</v>
      </c>
      <c r="Z445" s="16">
        <v>0</v>
      </c>
      <c r="AA445" s="16">
        <v>105501</v>
      </c>
      <c r="AB445" s="16">
        <v>1</v>
      </c>
      <c r="AC445" s="16">
        <v>0</v>
      </c>
      <c r="AD445" s="16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</row>
    <row r="446" ht="20.1" customHeight="1" spans="2:223">
      <c r="B446" s="52">
        <v>16000103</v>
      </c>
      <c r="C446" s="53" t="s">
        <v>434</v>
      </c>
      <c r="D446" s="15">
        <v>1140003</v>
      </c>
      <c r="E446" s="15">
        <v>30001</v>
      </c>
      <c r="F446" s="15">
        <v>1</v>
      </c>
      <c r="G446" s="15">
        <v>9</v>
      </c>
      <c r="H446" s="16">
        <v>0</v>
      </c>
      <c r="I446" s="26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6">
        <v>0</v>
      </c>
      <c r="U446" s="15">
        <v>0</v>
      </c>
      <c r="V446" s="15">
        <v>0</v>
      </c>
      <c r="W446" s="15">
        <v>0</v>
      </c>
      <c r="X446" s="16">
        <v>0</v>
      </c>
      <c r="Y446" s="16">
        <v>0</v>
      </c>
      <c r="Z446" s="16">
        <v>0</v>
      </c>
      <c r="AA446" s="16">
        <v>105301</v>
      </c>
      <c r="AB446" s="16">
        <v>1</v>
      </c>
      <c r="AC446" s="16">
        <v>0</v>
      </c>
      <c r="AD446" s="16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</row>
    <row r="447" ht="20.1" customHeight="1" spans="2:223">
      <c r="B447" s="52">
        <v>16000104</v>
      </c>
      <c r="C447" s="53" t="s">
        <v>435</v>
      </c>
      <c r="D447" s="15">
        <v>1140003</v>
      </c>
      <c r="E447" s="15">
        <v>30001</v>
      </c>
      <c r="F447" s="15">
        <v>1</v>
      </c>
      <c r="G447" s="15">
        <v>9</v>
      </c>
      <c r="H447" s="16">
        <v>0</v>
      </c>
      <c r="I447" s="26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6">
        <v>0</v>
      </c>
      <c r="U447" s="15">
        <v>0</v>
      </c>
      <c r="V447" s="15">
        <v>0</v>
      </c>
      <c r="W447" s="15">
        <v>0</v>
      </c>
      <c r="X447" s="16">
        <v>0</v>
      </c>
      <c r="Y447" s="16">
        <v>0</v>
      </c>
      <c r="Z447" s="16">
        <v>0</v>
      </c>
      <c r="AA447" s="16">
        <v>105201</v>
      </c>
      <c r="AB447" s="16">
        <v>1</v>
      </c>
      <c r="AC447" s="16">
        <v>0</v>
      </c>
      <c r="AD447" s="16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</row>
    <row r="448" ht="20.1" customHeight="1" spans="2:223">
      <c r="B448" s="52">
        <v>16000105</v>
      </c>
      <c r="C448" s="53" t="s">
        <v>436</v>
      </c>
      <c r="D448" s="15">
        <v>1140003</v>
      </c>
      <c r="E448" s="15">
        <v>30001</v>
      </c>
      <c r="F448" s="15">
        <v>1</v>
      </c>
      <c r="G448" s="15">
        <v>9</v>
      </c>
      <c r="H448" s="16">
        <v>0</v>
      </c>
      <c r="I448" s="26">
        <v>0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6">
        <v>0</v>
      </c>
      <c r="U448" s="15">
        <v>0</v>
      </c>
      <c r="V448" s="15">
        <v>0</v>
      </c>
      <c r="W448" s="15">
        <v>0</v>
      </c>
      <c r="X448" s="16">
        <v>0</v>
      </c>
      <c r="Y448" s="16">
        <v>0</v>
      </c>
      <c r="Z448" s="16">
        <v>0</v>
      </c>
      <c r="AA448" s="16" t="s">
        <v>437</v>
      </c>
      <c r="AB448" s="16" t="s">
        <v>438</v>
      </c>
      <c r="AC448" s="16" t="s">
        <v>70</v>
      </c>
      <c r="AD448" s="16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</row>
    <row r="449" ht="20.1" customHeight="1" spans="2:223">
      <c r="B449" s="52">
        <v>16000106</v>
      </c>
      <c r="C449" s="53" t="s">
        <v>439</v>
      </c>
      <c r="D449" s="15">
        <v>1140003</v>
      </c>
      <c r="E449" s="15">
        <v>30001</v>
      </c>
      <c r="F449" s="15">
        <v>1</v>
      </c>
      <c r="G449" s="15">
        <v>9</v>
      </c>
      <c r="H449" s="16">
        <v>0</v>
      </c>
      <c r="I449" s="26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6">
        <v>0</v>
      </c>
      <c r="U449" s="15">
        <v>0</v>
      </c>
      <c r="V449" s="15">
        <v>0</v>
      </c>
      <c r="W449" s="15">
        <v>0</v>
      </c>
      <c r="X449" s="16">
        <v>0</v>
      </c>
      <c r="Y449" s="16">
        <v>0</v>
      </c>
      <c r="Z449" s="16">
        <v>0</v>
      </c>
      <c r="AA449" s="16" t="s">
        <v>440</v>
      </c>
      <c r="AB449" s="16" t="s">
        <v>438</v>
      </c>
      <c r="AC449" s="16" t="s">
        <v>70</v>
      </c>
      <c r="AD449" s="16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</row>
    <row r="450" ht="20.1" customHeight="1" spans="2:223">
      <c r="B450" s="52">
        <v>16000107</v>
      </c>
      <c r="C450" s="53" t="s">
        <v>441</v>
      </c>
      <c r="D450" s="15">
        <v>1140003</v>
      </c>
      <c r="E450" s="15">
        <v>30001</v>
      </c>
      <c r="F450" s="15">
        <v>1</v>
      </c>
      <c r="G450" s="15">
        <v>9</v>
      </c>
      <c r="H450" s="16">
        <v>0</v>
      </c>
      <c r="I450" s="26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6">
        <v>0</v>
      </c>
      <c r="U450" s="15">
        <v>0</v>
      </c>
      <c r="V450" s="15">
        <v>0</v>
      </c>
      <c r="W450" s="15">
        <v>0</v>
      </c>
      <c r="X450" s="16">
        <v>0</v>
      </c>
      <c r="Y450" s="16">
        <v>0</v>
      </c>
      <c r="Z450" s="16">
        <v>0</v>
      </c>
      <c r="AA450" s="16" t="s">
        <v>442</v>
      </c>
      <c r="AB450" s="16" t="s">
        <v>438</v>
      </c>
      <c r="AC450" s="16" t="s">
        <v>70</v>
      </c>
      <c r="AD450" s="16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</row>
    <row r="451" ht="20.1" customHeight="1" spans="2:223">
      <c r="B451" s="52">
        <v>16000108</v>
      </c>
      <c r="C451" s="53" t="s">
        <v>443</v>
      </c>
      <c r="D451" s="15">
        <v>1140003</v>
      </c>
      <c r="E451" s="15">
        <v>30001</v>
      </c>
      <c r="F451" s="15">
        <v>1</v>
      </c>
      <c r="G451" s="15">
        <v>9</v>
      </c>
      <c r="H451" s="16">
        <v>0</v>
      </c>
      <c r="I451" s="26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6">
        <v>0</v>
      </c>
      <c r="U451" s="15">
        <v>0</v>
      </c>
      <c r="V451" s="15">
        <v>0</v>
      </c>
      <c r="W451" s="15">
        <v>0</v>
      </c>
      <c r="X451" s="16">
        <v>0</v>
      </c>
      <c r="Y451" s="16">
        <v>0</v>
      </c>
      <c r="Z451" s="16">
        <v>0</v>
      </c>
      <c r="AA451" s="16" t="s">
        <v>444</v>
      </c>
      <c r="AB451" s="16" t="s">
        <v>438</v>
      </c>
      <c r="AC451" s="16" t="s">
        <v>70</v>
      </c>
      <c r="AD451" s="16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</row>
    <row r="452" ht="20.1" customHeight="1" spans="2:223">
      <c r="B452" s="52">
        <v>16000109</v>
      </c>
      <c r="C452" s="53" t="s">
        <v>445</v>
      </c>
      <c r="D452" s="15">
        <v>1140003</v>
      </c>
      <c r="E452" s="15">
        <v>30001</v>
      </c>
      <c r="F452" s="15">
        <v>1</v>
      </c>
      <c r="G452" s="15">
        <v>9</v>
      </c>
      <c r="H452" s="16">
        <v>0</v>
      </c>
      <c r="I452" s="26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6">
        <v>0</v>
      </c>
      <c r="U452" s="15">
        <v>0</v>
      </c>
      <c r="V452" s="15">
        <v>0</v>
      </c>
      <c r="W452" s="15">
        <v>0</v>
      </c>
      <c r="X452" s="16">
        <v>0</v>
      </c>
      <c r="Y452" s="16">
        <v>0</v>
      </c>
      <c r="Z452" s="16">
        <v>0</v>
      </c>
      <c r="AA452" s="16">
        <v>105401</v>
      </c>
      <c r="AB452" s="16">
        <v>1</v>
      </c>
      <c r="AC452" s="16">
        <v>0</v>
      </c>
      <c r="AD452" s="16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</row>
    <row r="453" ht="20.1" customHeight="1" spans="2:223">
      <c r="B453" s="52">
        <v>16000110</v>
      </c>
      <c r="C453" s="53" t="s">
        <v>446</v>
      </c>
      <c r="D453" s="15">
        <v>1140003</v>
      </c>
      <c r="E453" s="15">
        <v>30001</v>
      </c>
      <c r="F453" s="15">
        <v>1</v>
      </c>
      <c r="G453" s="15">
        <v>9</v>
      </c>
      <c r="H453" s="16">
        <v>0</v>
      </c>
      <c r="I453" s="26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6">
        <v>0</v>
      </c>
      <c r="U453" s="15">
        <v>0</v>
      </c>
      <c r="V453" s="15">
        <v>0</v>
      </c>
      <c r="W453" s="15">
        <v>0</v>
      </c>
      <c r="X453" s="16">
        <v>0</v>
      </c>
      <c r="Y453" s="16">
        <v>0</v>
      </c>
      <c r="Z453" s="16">
        <v>0</v>
      </c>
      <c r="AA453" s="16" t="s">
        <v>447</v>
      </c>
      <c r="AB453" s="16" t="s">
        <v>438</v>
      </c>
      <c r="AC453" s="16" t="s">
        <v>70</v>
      </c>
      <c r="AD453" s="16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</row>
    <row r="454" ht="20.1" customHeight="1" spans="2:223">
      <c r="B454" s="52">
        <v>16000111</v>
      </c>
      <c r="C454" s="53" t="s">
        <v>448</v>
      </c>
      <c r="D454" s="15">
        <v>1140003</v>
      </c>
      <c r="E454" s="15">
        <v>30001</v>
      </c>
      <c r="F454" s="15">
        <v>1</v>
      </c>
      <c r="G454" s="15">
        <v>9</v>
      </c>
      <c r="H454" s="16">
        <v>0</v>
      </c>
      <c r="I454" s="26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6">
        <v>0</v>
      </c>
      <c r="U454" s="15">
        <v>0</v>
      </c>
      <c r="V454" s="15">
        <v>0</v>
      </c>
      <c r="W454" s="15">
        <v>0</v>
      </c>
      <c r="X454" s="16">
        <v>0</v>
      </c>
      <c r="Y454" s="16">
        <v>0</v>
      </c>
      <c r="Z454" s="16">
        <v>0</v>
      </c>
      <c r="AA454" s="16" t="s">
        <v>449</v>
      </c>
      <c r="AB454" s="16" t="s">
        <v>438</v>
      </c>
      <c r="AC454" s="16" t="s">
        <v>70</v>
      </c>
      <c r="AD454" s="16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</row>
    <row r="455" ht="20.1" customHeight="1" spans="2:223">
      <c r="B455" s="52">
        <v>16000112</v>
      </c>
      <c r="C455" s="53" t="s">
        <v>450</v>
      </c>
      <c r="D455" s="15">
        <v>1140003</v>
      </c>
      <c r="E455" s="15">
        <v>30001</v>
      </c>
      <c r="F455" s="15">
        <v>1</v>
      </c>
      <c r="G455" s="15">
        <v>9</v>
      </c>
      <c r="H455" s="16">
        <v>0</v>
      </c>
      <c r="I455" s="26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6">
        <v>0</v>
      </c>
      <c r="U455" s="15">
        <v>0</v>
      </c>
      <c r="V455" s="15">
        <v>0</v>
      </c>
      <c r="W455" s="15">
        <v>0</v>
      </c>
      <c r="X455" s="16">
        <v>0</v>
      </c>
      <c r="Y455" s="16">
        <v>0</v>
      </c>
      <c r="Z455" s="16">
        <v>0</v>
      </c>
      <c r="AA455" s="16" t="s">
        <v>451</v>
      </c>
      <c r="AB455" s="16" t="s">
        <v>438</v>
      </c>
      <c r="AC455" s="16" t="s">
        <v>70</v>
      </c>
      <c r="AD455" s="16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</row>
    <row r="456" ht="20.1" customHeight="1" spans="2:223">
      <c r="B456" s="52">
        <v>16000201</v>
      </c>
      <c r="C456" s="53" t="s">
        <v>452</v>
      </c>
      <c r="D456" s="15">
        <v>1140003</v>
      </c>
      <c r="E456" s="15">
        <v>30011</v>
      </c>
      <c r="F456" s="15">
        <v>1</v>
      </c>
      <c r="G456" s="15">
        <v>10</v>
      </c>
      <c r="H456" s="16">
        <v>0</v>
      </c>
      <c r="I456" s="26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6">
        <v>0</v>
      </c>
      <c r="U456" s="15">
        <v>0</v>
      </c>
      <c r="V456" s="15">
        <v>0</v>
      </c>
      <c r="W456" s="15">
        <v>0</v>
      </c>
      <c r="X456" s="16">
        <v>0</v>
      </c>
      <c r="Y456" s="16">
        <v>0</v>
      </c>
      <c r="Z456" s="16">
        <v>0</v>
      </c>
      <c r="AA456" s="16">
        <v>105101</v>
      </c>
      <c r="AB456" s="16">
        <v>5</v>
      </c>
      <c r="AC456" s="16">
        <v>0</v>
      </c>
      <c r="AD456" s="16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</row>
    <row r="457" ht="20.1" customHeight="1" spans="2:223">
      <c r="B457" s="52">
        <v>16000202</v>
      </c>
      <c r="C457" s="53" t="s">
        <v>453</v>
      </c>
      <c r="D457" s="15">
        <v>1140003</v>
      </c>
      <c r="E457" s="15">
        <v>30011</v>
      </c>
      <c r="F457" s="15">
        <v>1</v>
      </c>
      <c r="G457" s="15">
        <v>10</v>
      </c>
      <c r="H457" s="16">
        <v>0</v>
      </c>
      <c r="I457" s="26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6">
        <v>0</v>
      </c>
      <c r="U457" s="15">
        <v>0</v>
      </c>
      <c r="V457" s="15">
        <v>0</v>
      </c>
      <c r="W457" s="15">
        <v>0</v>
      </c>
      <c r="X457" s="16">
        <v>0</v>
      </c>
      <c r="Y457" s="16">
        <v>0</v>
      </c>
      <c r="Z457" s="16">
        <v>0</v>
      </c>
      <c r="AA457" s="16">
        <v>105501</v>
      </c>
      <c r="AB457" s="16">
        <v>5</v>
      </c>
      <c r="AC457" s="16">
        <v>0</v>
      </c>
      <c r="AD457" s="16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</row>
    <row r="458" ht="20.1" customHeight="1" spans="2:223">
      <c r="B458" s="52">
        <v>16000203</v>
      </c>
      <c r="C458" s="53" t="s">
        <v>454</v>
      </c>
      <c r="D458" s="15">
        <v>1140003</v>
      </c>
      <c r="E458" s="15">
        <v>30011</v>
      </c>
      <c r="F458" s="15">
        <v>1</v>
      </c>
      <c r="G458" s="15">
        <v>10</v>
      </c>
      <c r="H458" s="16">
        <v>0</v>
      </c>
      <c r="I458" s="26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6">
        <v>0</v>
      </c>
      <c r="U458" s="15">
        <v>0</v>
      </c>
      <c r="V458" s="15">
        <v>0</v>
      </c>
      <c r="W458" s="15">
        <v>0</v>
      </c>
      <c r="X458" s="16">
        <v>0</v>
      </c>
      <c r="Y458" s="16">
        <v>0</v>
      </c>
      <c r="Z458" s="16">
        <v>0</v>
      </c>
      <c r="AA458" s="16">
        <v>105301</v>
      </c>
      <c r="AB458" s="16">
        <v>5</v>
      </c>
      <c r="AC458" s="16">
        <v>0</v>
      </c>
      <c r="AD458" s="16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</row>
    <row r="459" ht="20.1" customHeight="1" spans="2:223">
      <c r="B459" s="52">
        <v>16000204</v>
      </c>
      <c r="C459" s="53" t="s">
        <v>455</v>
      </c>
      <c r="D459" s="15">
        <v>1140003</v>
      </c>
      <c r="E459" s="15">
        <v>30011</v>
      </c>
      <c r="F459" s="15">
        <v>1</v>
      </c>
      <c r="G459" s="15">
        <v>10</v>
      </c>
      <c r="H459" s="16">
        <v>0</v>
      </c>
      <c r="I459" s="26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6">
        <v>0</v>
      </c>
      <c r="U459" s="15">
        <v>0</v>
      </c>
      <c r="V459" s="15">
        <v>0</v>
      </c>
      <c r="W459" s="15">
        <v>0</v>
      </c>
      <c r="X459" s="16">
        <v>0</v>
      </c>
      <c r="Y459" s="16">
        <v>0</v>
      </c>
      <c r="Z459" s="16">
        <v>0</v>
      </c>
      <c r="AA459" s="16">
        <v>105201</v>
      </c>
      <c r="AB459" s="16">
        <v>5</v>
      </c>
      <c r="AC459" s="16">
        <v>0</v>
      </c>
      <c r="AD459" s="16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</row>
    <row r="460" ht="20.1" customHeight="1" spans="2:223">
      <c r="B460" s="52">
        <v>16000205</v>
      </c>
      <c r="C460" s="53" t="s">
        <v>456</v>
      </c>
      <c r="D460" s="15">
        <v>1140003</v>
      </c>
      <c r="E460" s="15">
        <v>30011</v>
      </c>
      <c r="F460" s="15">
        <v>1</v>
      </c>
      <c r="G460" s="15">
        <v>10</v>
      </c>
      <c r="H460" s="16">
        <v>0</v>
      </c>
      <c r="I460" s="26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6">
        <v>0</v>
      </c>
      <c r="U460" s="15">
        <v>0</v>
      </c>
      <c r="V460" s="15">
        <v>0</v>
      </c>
      <c r="W460" s="15">
        <v>0</v>
      </c>
      <c r="X460" s="16">
        <v>0</v>
      </c>
      <c r="Y460" s="16">
        <v>0</v>
      </c>
      <c r="Z460" s="16">
        <v>0</v>
      </c>
      <c r="AA460" s="16" t="s">
        <v>437</v>
      </c>
      <c r="AB460" s="16" t="s">
        <v>457</v>
      </c>
      <c r="AC460" s="16" t="s">
        <v>70</v>
      </c>
      <c r="AD460" s="16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</row>
    <row r="461" ht="20.1" customHeight="1" spans="2:223">
      <c r="B461" s="52">
        <v>16000206</v>
      </c>
      <c r="C461" s="53" t="s">
        <v>458</v>
      </c>
      <c r="D461" s="15">
        <v>1140003</v>
      </c>
      <c r="E461" s="15">
        <v>30011</v>
      </c>
      <c r="F461" s="15">
        <v>1</v>
      </c>
      <c r="G461" s="15">
        <v>10</v>
      </c>
      <c r="H461" s="16">
        <v>0</v>
      </c>
      <c r="I461" s="26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6">
        <v>0</v>
      </c>
      <c r="U461" s="15">
        <v>0</v>
      </c>
      <c r="V461" s="15">
        <v>0</v>
      </c>
      <c r="W461" s="15">
        <v>0</v>
      </c>
      <c r="X461" s="16">
        <v>0</v>
      </c>
      <c r="Y461" s="16">
        <v>0</v>
      </c>
      <c r="Z461" s="16">
        <v>0</v>
      </c>
      <c r="AA461" s="16" t="s">
        <v>440</v>
      </c>
      <c r="AB461" s="16" t="s">
        <v>457</v>
      </c>
      <c r="AC461" s="16" t="s">
        <v>70</v>
      </c>
      <c r="AD461" s="16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</row>
    <row r="462" ht="20.1" customHeight="1" spans="2:223">
      <c r="B462" s="52">
        <v>16000207</v>
      </c>
      <c r="C462" s="53" t="s">
        <v>459</v>
      </c>
      <c r="D462" s="15">
        <v>1140003</v>
      </c>
      <c r="E462" s="15">
        <v>30011</v>
      </c>
      <c r="F462" s="15">
        <v>1</v>
      </c>
      <c r="G462" s="15">
        <v>10</v>
      </c>
      <c r="H462" s="16">
        <v>0</v>
      </c>
      <c r="I462" s="26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6">
        <v>0</v>
      </c>
      <c r="U462" s="15">
        <v>0</v>
      </c>
      <c r="V462" s="15">
        <v>0</v>
      </c>
      <c r="W462" s="15">
        <v>0</v>
      </c>
      <c r="X462" s="16">
        <v>0</v>
      </c>
      <c r="Y462" s="16">
        <v>0</v>
      </c>
      <c r="Z462" s="16">
        <v>0</v>
      </c>
      <c r="AA462" s="16" t="s">
        <v>442</v>
      </c>
      <c r="AB462" s="16" t="s">
        <v>457</v>
      </c>
      <c r="AC462" s="16" t="s">
        <v>70</v>
      </c>
      <c r="AD462" s="16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</row>
    <row r="463" ht="20.1" customHeight="1" spans="2:223">
      <c r="B463" s="52">
        <v>16000208</v>
      </c>
      <c r="C463" s="53" t="s">
        <v>460</v>
      </c>
      <c r="D463" s="15">
        <v>1140003</v>
      </c>
      <c r="E463" s="15">
        <v>30011</v>
      </c>
      <c r="F463" s="15">
        <v>1</v>
      </c>
      <c r="G463" s="15">
        <v>10</v>
      </c>
      <c r="H463" s="16">
        <v>0</v>
      </c>
      <c r="I463" s="26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6">
        <v>0</v>
      </c>
      <c r="U463" s="15">
        <v>0</v>
      </c>
      <c r="V463" s="15">
        <v>0</v>
      </c>
      <c r="W463" s="15">
        <v>0</v>
      </c>
      <c r="X463" s="16">
        <v>0</v>
      </c>
      <c r="Y463" s="16">
        <v>0</v>
      </c>
      <c r="Z463" s="16">
        <v>0</v>
      </c>
      <c r="AA463" s="16" t="s">
        <v>444</v>
      </c>
      <c r="AB463" s="16" t="s">
        <v>457</v>
      </c>
      <c r="AC463" s="16" t="s">
        <v>70</v>
      </c>
      <c r="AD463" s="16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</row>
    <row r="464" ht="20.1" customHeight="1" spans="2:223">
      <c r="B464" s="52">
        <v>16000209</v>
      </c>
      <c r="C464" s="53" t="s">
        <v>461</v>
      </c>
      <c r="D464" s="15">
        <v>1140003</v>
      </c>
      <c r="E464" s="15">
        <v>30011</v>
      </c>
      <c r="F464" s="15">
        <v>1</v>
      </c>
      <c r="G464" s="15">
        <v>10</v>
      </c>
      <c r="H464" s="16">
        <v>0</v>
      </c>
      <c r="I464" s="26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6">
        <v>0</v>
      </c>
      <c r="U464" s="15">
        <v>0</v>
      </c>
      <c r="V464" s="15">
        <v>0</v>
      </c>
      <c r="W464" s="15">
        <v>0</v>
      </c>
      <c r="X464" s="16">
        <v>0</v>
      </c>
      <c r="Y464" s="16">
        <v>0</v>
      </c>
      <c r="Z464" s="16">
        <v>0</v>
      </c>
      <c r="AA464" s="16">
        <v>105401</v>
      </c>
      <c r="AB464" s="16">
        <v>5</v>
      </c>
      <c r="AC464" s="16">
        <v>0</v>
      </c>
      <c r="AD464" s="16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</row>
    <row r="465" ht="20.1" customHeight="1" spans="2:223">
      <c r="B465" s="52">
        <v>16000210</v>
      </c>
      <c r="C465" s="53" t="s">
        <v>462</v>
      </c>
      <c r="D465" s="15">
        <v>1140003</v>
      </c>
      <c r="E465" s="15">
        <v>30011</v>
      </c>
      <c r="F465" s="15">
        <v>1</v>
      </c>
      <c r="G465" s="15">
        <v>10</v>
      </c>
      <c r="H465" s="16">
        <v>0</v>
      </c>
      <c r="I465" s="26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6">
        <v>0</v>
      </c>
      <c r="U465" s="15">
        <v>0</v>
      </c>
      <c r="V465" s="15">
        <v>0</v>
      </c>
      <c r="W465" s="15">
        <v>0</v>
      </c>
      <c r="X465" s="16">
        <v>0</v>
      </c>
      <c r="Y465" s="16">
        <v>0</v>
      </c>
      <c r="Z465" s="16">
        <v>0</v>
      </c>
      <c r="AA465" s="16" t="s">
        <v>447</v>
      </c>
      <c r="AB465" s="16" t="s">
        <v>457</v>
      </c>
      <c r="AC465" s="16" t="s">
        <v>70</v>
      </c>
      <c r="AD465" s="16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</row>
    <row r="466" ht="20.1" customHeight="1" spans="2:223">
      <c r="B466" s="52">
        <v>16000211</v>
      </c>
      <c r="C466" s="53" t="s">
        <v>463</v>
      </c>
      <c r="D466" s="15">
        <v>1140003</v>
      </c>
      <c r="E466" s="15">
        <v>30011</v>
      </c>
      <c r="F466" s="15">
        <v>1</v>
      </c>
      <c r="G466" s="15">
        <v>10</v>
      </c>
      <c r="H466" s="16">
        <v>0</v>
      </c>
      <c r="I466" s="26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6">
        <v>0</v>
      </c>
      <c r="U466" s="15">
        <v>0</v>
      </c>
      <c r="V466" s="15">
        <v>0</v>
      </c>
      <c r="W466" s="15">
        <v>0</v>
      </c>
      <c r="X466" s="16">
        <v>0</v>
      </c>
      <c r="Y466" s="16">
        <v>0</v>
      </c>
      <c r="Z466" s="16">
        <v>0</v>
      </c>
      <c r="AA466" s="16" t="s">
        <v>449</v>
      </c>
      <c r="AB466" s="16" t="s">
        <v>457</v>
      </c>
      <c r="AC466" s="16" t="s">
        <v>70</v>
      </c>
      <c r="AD466" s="16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</row>
    <row r="467" ht="20.1" customHeight="1" spans="2:223">
      <c r="B467" s="52">
        <v>16000212</v>
      </c>
      <c r="C467" s="53" t="s">
        <v>464</v>
      </c>
      <c r="D467" s="15">
        <v>1140003</v>
      </c>
      <c r="E467" s="15">
        <v>30011</v>
      </c>
      <c r="F467" s="15">
        <v>1</v>
      </c>
      <c r="G467" s="15">
        <v>10</v>
      </c>
      <c r="H467" s="16">
        <v>0</v>
      </c>
      <c r="I467" s="26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6">
        <v>0</v>
      </c>
      <c r="U467" s="15">
        <v>0</v>
      </c>
      <c r="V467" s="15">
        <v>0</v>
      </c>
      <c r="W467" s="15">
        <v>0</v>
      </c>
      <c r="X467" s="16">
        <v>0</v>
      </c>
      <c r="Y467" s="16">
        <v>0</v>
      </c>
      <c r="Z467" s="16">
        <v>0</v>
      </c>
      <c r="AA467" s="16" t="s">
        <v>451</v>
      </c>
      <c r="AB467" s="16" t="s">
        <v>457</v>
      </c>
      <c r="AC467" s="16" t="s">
        <v>70</v>
      </c>
      <c r="AD467" s="16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</row>
    <row r="468" ht="20.1" customHeight="1" spans="2:223">
      <c r="B468" s="52">
        <v>16000301</v>
      </c>
      <c r="C468" s="53" t="s">
        <v>465</v>
      </c>
      <c r="D468" s="15">
        <v>1140003</v>
      </c>
      <c r="E468" s="15">
        <v>30021</v>
      </c>
      <c r="F468" s="15">
        <v>1</v>
      </c>
      <c r="G468" s="15">
        <v>10</v>
      </c>
      <c r="H468" s="16">
        <v>0</v>
      </c>
      <c r="I468" s="26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6">
        <v>0</v>
      </c>
      <c r="U468" s="15">
        <v>0</v>
      </c>
      <c r="V468" s="15">
        <v>0</v>
      </c>
      <c r="W468" s="15">
        <v>0</v>
      </c>
      <c r="X468" s="16">
        <v>0</v>
      </c>
      <c r="Y468" s="16">
        <v>0</v>
      </c>
      <c r="Z468" s="16">
        <v>0</v>
      </c>
      <c r="AA468" s="16">
        <v>105101</v>
      </c>
      <c r="AB468" s="16">
        <v>10</v>
      </c>
      <c r="AC468" s="16">
        <v>0</v>
      </c>
      <c r="AD468" s="16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</row>
    <row r="469" ht="20.1" customHeight="1" spans="2:223">
      <c r="B469" s="52">
        <v>16000302</v>
      </c>
      <c r="C469" s="53" t="s">
        <v>466</v>
      </c>
      <c r="D469" s="15">
        <v>1140003</v>
      </c>
      <c r="E469" s="15">
        <v>30021</v>
      </c>
      <c r="F469" s="15">
        <v>1</v>
      </c>
      <c r="G469" s="15">
        <v>10</v>
      </c>
      <c r="H469" s="16">
        <v>0</v>
      </c>
      <c r="I469" s="26">
        <v>0</v>
      </c>
      <c r="J469" s="15">
        <v>0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6">
        <v>0</v>
      </c>
      <c r="U469" s="15">
        <v>0</v>
      </c>
      <c r="V469" s="15">
        <v>0</v>
      </c>
      <c r="W469" s="15">
        <v>0</v>
      </c>
      <c r="X469" s="16">
        <v>0</v>
      </c>
      <c r="Y469" s="16">
        <v>0</v>
      </c>
      <c r="Z469" s="16">
        <v>0</v>
      </c>
      <c r="AA469" s="16">
        <v>105501</v>
      </c>
      <c r="AB469" s="16">
        <v>10</v>
      </c>
      <c r="AC469" s="16">
        <v>0</v>
      </c>
      <c r="AD469" s="16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</row>
    <row r="470" ht="20.1" customHeight="1" spans="2:223">
      <c r="B470" s="52">
        <v>16000303</v>
      </c>
      <c r="C470" s="53" t="s">
        <v>467</v>
      </c>
      <c r="D470" s="15">
        <v>1140003</v>
      </c>
      <c r="E470" s="15">
        <v>30021</v>
      </c>
      <c r="F470" s="15">
        <v>1</v>
      </c>
      <c r="G470" s="15">
        <v>10</v>
      </c>
      <c r="H470" s="16">
        <v>0</v>
      </c>
      <c r="I470" s="26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6">
        <v>0</v>
      </c>
      <c r="U470" s="15">
        <v>0</v>
      </c>
      <c r="V470" s="15">
        <v>0</v>
      </c>
      <c r="W470" s="15">
        <v>0</v>
      </c>
      <c r="X470" s="16">
        <v>0</v>
      </c>
      <c r="Y470" s="16">
        <v>0</v>
      </c>
      <c r="Z470" s="16">
        <v>0</v>
      </c>
      <c r="AA470" s="16">
        <v>105301</v>
      </c>
      <c r="AB470" s="16">
        <v>10</v>
      </c>
      <c r="AC470" s="16">
        <v>0</v>
      </c>
      <c r="AD470" s="16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</row>
    <row r="471" ht="20.1" customHeight="1" spans="2:223">
      <c r="B471" s="52">
        <v>16000304</v>
      </c>
      <c r="C471" s="53" t="s">
        <v>468</v>
      </c>
      <c r="D471" s="15">
        <v>1140003</v>
      </c>
      <c r="E471" s="15">
        <v>30021</v>
      </c>
      <c r="F471" s="15">
        <v>1</v>
      </c>
      <c r="G471" s="15">
        <v>10</v>
      </c>
      <c r="H471" s="16">
        <v>0</v>
      </c>
      <c r="I471" s="26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6">
        <v>0</v>
      </c>
      <c r="U471" s="15">
        <v>0</v>
      </c>
      <c r="V471" s="15">
        <v>0</v>
      </c>
      <c r="W471" s="15">
        <v>0</v>
      </c>
      <c r="X471" s="16">
        <v>0</v>
      </c>
      <c r="Y471" s="16">
        <v>0</v>
      </c>
      <c r="Z471" s="16">
        <v>0</v>
      </c>
      <c r="AA471" s="16">
        <v>105201</v>
      </c>
      <c r="AB471" s="16">
        <v>10</v>
      </c>
      <c r="AC471" s="16">
        <v>0</v>
      </c>
      <c r="AD471" s="16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</row>
    <row r="472" ht="20.1" customHeight="1" spans="2:223">
      <c r="B472" s="52">
        <v>16000305</v>
      </c>
      <c r="C472" s="53" t="s">
        <v>469</v>
      </c>
      <c r="D472" s="15">
        <v>1140003</v>
      </c>
      <c r="E472" s="15">
        <v>30021</v>
      </c>
      <c r="F472" s="15">
        <v>1</v>
      </c>
      <c r="G472" s="15">
        <v>10</v>
      </c>
      <c r="H472" s="16">
        <v>0</v>
      </c>
      <c r="I472" s="26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6">
        <v>0</v>
      </c>
      <c r="U472" s="15">
        <v>0</v>
      </c>
      <c r="V472" s="15">
        <v>0</v>
      </c>
      <c r="W472" s="15">
        <v>0</v>
      </c>
      <c r="X472" s="16">
        <v>0</v>
      </c>
      <c r="Y472" s="16">
        <v>0</v>
      </c>
      <c r="Z472" s="16">
        <v>0</v>
      </c>
      <c r="AA472" s="16" t="s">
        <v>437</v>
      </c>
      <c r="AB472" s="16" t="s">
        <v>470</v>
      </c>
      <c r="AC472" s="16" t="s">
        <v>70</v>
      </c>
      <c r="AD472" s="16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</row>
    <row r="473" ht="20.1" customHeight="1" spans="2:223">
      <c r="B473" s="52">
        <v>16000306</v>
      </c>
      <c r="C473" s="53" t="s">
        <v>471</v>
      </c>
      <c r="D473" s="15">
        <v>1140003</v>
      </c>
      <c r="E473" s="15">
        <v>30021</v>
      </c>
      <c r="F473" s="15">
        <v>1</v>
      </c>
      <c r="G473" s="15">
        <v>10</v>
      </c>
      <c r="H473" s="16">
        <v>0</v>
      </c>
      <c r="I473" s="26">
        <v>0</v>
      </c>
      <c r="J473" s="15">
        <v>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6">
        <v>0</v>
      </c>
      <c r="U473" s="15">
        <v>0</v>
      </c>
      <c r="V473" s="15">
        <v>0</v>
      </c>
      <c r="W473" s="15">
        <v>0</v>
      </c>
      <c r="X473" s="16">
        <v>0</v>
      </c>
      <c r="Y473" s="16">
        <v>0</v>
      </c>
      <c r="Z473" s="16">
        <v>0</v>
      </c>
      <c r="AA473" s="16" t="s">
        <v>440</v>
      </c>
      <c r="AB473" s="16" t="s">
        <v>470</v>
      </c>
      <c r="AC473" s="16" t="s">
        <v>70</v>
      </c>
      <c r="AD473" s="16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</row>
    <row r="474" ht="20.1" customHeight="1" spans="2:223">
      <c r="B474" s="52">
        <v>16000307</v>
      </c>
      <c r="C474" s="53" t="s">
        <v>472</v>
      </c>
      <c r="D474" s="15">
        <v>1140003</v>
      </c>
      <c r="E474" s="15">
        <v>30021</v>
      </c>
      <c r="F474" s="15">
        <v>1</v>
      </c>
      <c r="G474" s="15">
        <v>10</v>
      </c>
      <c r="H474" s="16">
        <v>0</v>
      </c>
      <c r="I474" s="26">
        <v>0</v>
      </c>
      <c r="J474" s="15">
        <v>0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6">
        <v>0</v>
      </c>
      <c r="U474" s="15">
        <v>0</v>
      </c>
      <c r="V474" s="15">
        <v>0</v>
      </c>
      <c r="W474" s="15">
        <v>0</v>
      </c>
      <c r="X474" s="16">
        <v>0</v>
      </c>
      <c r="Y474" s="16">
        <v>0</v>
      </c>
      <c r="Z474" s="16">
        <v>0</v>
      </c>
      <c r="AA474" s="16" t="s">
        <v>442</v>
      </c>
      <c r="AB474" s="16" t="s">
        <v>470</v>
      </c>
      <c r="AC474" s="16" t="s">
        <v>70</v>
      </c>
      <c r="AD474" s="16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</row>
    <row r="475" ht="20.1" customHeight="1" spans="2:223">
      <c r="B475" s="52">
        <v>16000308</v>
      </c>
      <c r="C475" s="53" t="s">
        <v>473</v>
      </c>
      <c r="D475" s="15">
        <v>1140003</v>
      </c>
      <c r="E475" s="15">
        <v>30021</v>
      </c>
      <c r="F475" s="15">
        <v>1</v>
      </c>
      <c r="G475" s="15">
        <v>10</v>
      </c>
      <c r="H475" s="16">
        <v>0</v>
      </c>
      <c r="I475" s="26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6">
        <v>0</v>
      </c>
      <c r="U475" s="15">
        <v>0</v>
      </c>
      <c r="V475" s="15">
        <v>0</v>
      </c>
      <c r="W475" s="15">
        <v>0</v>
      </c>
      <c r="X475" s="16">
        <v>0</v>
      </c>
      <c r="Y475" s="16">
        <v>0</v>
      </c>
      <c r="Z475" s="16">
        <v>0</v>
      </c>
      <c r="AA475" s="16" t="s">
        <v>444</v>
      </c>
      <c r="AB475" s="16" t="s">
        <v>470</v>
      </c>
      <c r="AC475" s="16" t="s">
        <v>70</v>
      </c>
      <c r="AD475" s="16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</row>
    <row r="476" ht="20.1" customHeight="1" spans="2:223">
      <c r="B476" s="52">
        <v>16000309</v>
      </c>
      <c r="C476" s="53" t="s">
        <v>474</v>
      </c>
      <c r="D476" s="15">
        <v>1140003</v>
      </c>
      <c r="E476" s="15">
        <v>30021</v>
      </c>
      <c r="F476" s="15">
        <v>1</v>
      </c>
      <c r="G476" s="15">
        <v>10</v>
      </c>
      <c r="H476" s="16">
        <v>0</v>
      </c>
      <c r="I476" s="26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6">
        <v>0</v>
      </c>
      <c r="U476" s="15">
        <v>0</v>
      </c>
      <c r="V476" s="15">
        <v>0</v>
      </c>
      <c r="W476" s="15">
        <v>0</v>
      </c>
      <c r="X476" s="16">
        <v>0</v>
      </c>
      <c r="Y476" s="16">
        <v>0</v>
      </c>
      <c r="Z476" s="16">
        <v>0</v>
      </c>
      <c r="AA476" s="16">
        <v>105401</v>
      </c>
      <c r="AB476" s="16">
        <v>10</v>
      </c>
      <c r="AC476" s="16">
        <v>0</v>
      </c>
      <c r="AD476" s="16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</row>
    <row r="477" ht="20.1" customHeight="1" spans="2:223">
      <c r="B477" s="52">
        <v>16000310</v>
      </c>
      <c r="C477" s="53" t="s">
        <v>475</v>
      </c>
      <c r="D477" s="15">
        <v>1140003</v>
      </c>
      <c r="E477" s="15">
        <v>30021</v>
      </c>
      <c r="F477" s="15">
        <v>1</v>
      </c>
      <c r="G477" s="15">
        <v>10</v>
      </c>
      <c r="H477" s="16">
        <v>0</v>
      </c>
      <c r="I477" s="26">
        <v>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6">
        <v>0</v>
      </c>
      <c r="U477" s="15">
        <v>0</v>
      </c>
      <c r="V477" s="15">
        <v>0</v>
      </c>
      <c r="W477" s="15">
        <v>0</v>
      </c>
      <c r="X477" s="16">
        <v>0</v>
      </c>
      <c r="Y477" s="16">
        <v>0</v>
      </c>
      <c r="Z477" s="16">
        <v>0</v>
      </c>
      <c r="AA477" s="16" t="s">
        <v>447</v>
      </c>
      <c r="AB477" s="16" t="s">
        <v>470</v>
      </c>
      <c r="AC477" s="16" t="s">
        <v>70</v>
      </c>
      <c r="AD477" s="16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</row>
    <row r="478" ht="20.1" customHeight="1" spans="2:223">
      <c r="B478" s="52">
        <v>16000311</v>
      </c>
      <c r="C478" s="53" t="s">
        <v>476</v>
      </c>
      <c r="D478" s="15">
        <v>1140003</v>
      </c>
      <c r="E478" s="15">
        <v>30021</v>
      </c>
      <c r="F478" s="15">
        <v>1</v>
      </c>
      <c r="G478" s="15">
        <v>10</v>
      </c>
      <c r="H478" s="16">
        <v>0</v>
      </c>
      <c r="I478" s="26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6">
        <v>0</v>
      </c>
      <c r="U478" s="15">
        <v>0</v>
      </c>
      <c r="V478" s="15">
        <v>0</v>
      </c>
      <c r="W478" s="15">
        <v>0</v>
      </c>
      <c r="X478" s="16">
        <v>0</v>
      </c>
      <c r="Y478" s="16">
        <v>0</v>
      </c>
      <c r="Z478" s="16">
        <v>0</v>
      </c>
      <c r="AA478" s="16" t="s">
        <v>449</v>
      </c>
      <c r="AB478" s="16" t="s">
        <v>470</v>
      </c>
      <c r="AC478" s="16" t="s">
        <v>70</v>
      </c>
      <c r="AD478" s="16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</row>
    <row r="479" ht="20.1" customHeight="1" spans="2:223">
      <c r="B479" s="52">
        <v>16000312</v>
      </c>
      <c r="C479" s="53" t="s">
        <v>477</v>
      </c>
      <c r="D479" s="15">
        <v>1140003</v>
      </c>
      <c r="E479" s="15">
        <v>30021</v>
      </c>
      <c r="F479" s="15">
        <v>1</v>
      </c>
      <c r="G479" s="15">
        <v>10</v>
      </c>
      <c r="H479" s="16">
        <v>0</v>
      </c>
      <c r="I479" s="26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6">
        <v>0</v>
      </c>
      <c r="U479" s="15">
        <v>0</v>
      </c>
      <c r="V479" s="15">
        <v>0</v>
      </c>
      <c r="W479" s="15">
        <v>0</v>
      </c>
      <c r="X479" s="16">
        <v>0</v>
      </c>
      <c r="Y479" s="16">
        <v>0</v>
      </c>
      <c r="Z479" s="16">
        <v>0</v>
      </c>
      <c r="AA479" s="16" t="s">
        <v>451</v>
      </c>
      <c r="AB479" s="16" t="s">
        <v>470</v>
      </c>
      <c r="AC479" s="16" t="s">
        <v>70</v>
      </c>
      <c r="AD479" s="16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</row>
    <row r="480" ht="20.1" customHeight="1" spans="2:223">
      <c r="B480" s="52">
        <v>16000401</v>
      </c>
      <c r="C480" s="53" t="s">
        <v>478</v>
      </c>
      <c r="D480" s="15">
        <v>1140003</v>
      </c>
      <c r="E480" s="15">
        <v>30031</v>
      </c>
      <c r="F480" s="15">
        <v>1</v>
      </c>
      <c r="G480" s="15">
        <v>12</v>
      </c>
      <c r="H480" s="16">
        <v>0</v>
      </c>
      <c r="I480" s="26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6">
        <v>0</v>
      </c>
      <c r="U480" s="15">
        <v>0</v>
      </c>
      <c r="V480" s="15">
        <v>0</v>
      </c>
      <c r="W480" s="15">
        <v>0</v>
      </c>
      <c r="X480" s="16">
        <v>0</v>
      </c>
      <c r="Y480" s="16">
        <v>0</v>
      </c>
      <c r="Z480" s="16">
        <v>0</v>
      </c>
      <c r="AA480" s="16">
        <v>105101</v>
      </c>
      <c r="AB480" s="16">
        <v>13</v>
      </c>
      <c r="AC480" s="16">
        <v>0</v>
      </c>
      <c r="AD480" s="16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</row>
    <row r="481" ht="20.1" customHeight="1" spans="2:223">
      <c r="B481" s="52">
        <v>16000402</v>
      </c>
      <c r="C481" s="53" t="s">
        <v>479</v>
      </c>
      <c r="D481" s="15">
        <v>1140003</v>
      </c>
      <c r="E481" s="15">
        <v>30031</v>
      </c>
      <c r="F481" s="15">
        <v>1</v>
      </c>
      <c r="G481" s="15">
        <v>12</v>
      </c>
      <c r="H481" s="16">
        <v>0</v>
      </c>
      <c r="I481" s="26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6">
        <v>0</v>
      </c>
      <c r="U481" s="15">
        <v>0</v>
      </c>
      <c r="V481" s="15">
        <v>0</v>
      </c>
      <c r="W481" s="15">
        <v>0</v>
      </c>
      <c r="X481" s="16">
        <v>0</v>
      </c>
      <c r="Y481" s="16">
        <v>0</v>
      </c>
      <c r="Z481" s="16">
        <v>0</v>
      </c>
      <c r="AA481" s="16">
        <v>105501</v>
      </c>
      <c r="AB481" s="16">
        <v>13</v>
      </c>
      <c r="AC481" s="16">
        <v>0</v>
      </c>
      <c r="AD481" s="16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</row>
    <row r="482" ht="20.1" customHeight="1" spans="2:223">
      <c r="B482" s="52">
        <v>16000403</v>
      </c>
      <c r="C482" s="53" t="s">
        <v>480</v>
      </c>
      <c r="D482" s="15">
        <v>1140003</v>
      </c>
      <c r="E482" s="15">
        <v>30031</v>
      </c>
      <c r="F482" s="15">
        <v>1</v>
      </c>
      <c r="G482" s="15">
        <v>12</v>
      </c>
      <c r="H482" s="16">
        <v>0</v>
      </c>
      <c r="I482" s="26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6">
        <v>0</v>
      </c>
      <c r="U482" s="15">
        <v>0</v>
      </c>
      <c r="V482" s="15">
        <v>0</v>
      </c>
      <c r="W482" s="15">
        <v>0</v>
      </c>
      <c r="X482" s="16">
        <v>0</v>
      </c>
      <c r="Y482" s="16">
        <v>0</v>
      </c>
      <c r="Z482" s="16">
        <v>0</v>
      </c>
      <c r="AA482" s="16">
        <v>105301</v>
      </c>
      <c r="AB482" s="16">
        <v>13</v>
      </c>
      <c r="AC482" s="16">
        <v>0</v>
      </c>
      <c r="AD482" s="16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</row>
    <row r="483" ht="20.1" customHeight="1" spans="2:223">
      <c r="B483" s="52">
        <v>16000404</v>
      </c>
      <c r="C483" s="53" t="s">
        <v>481</v>
      </c>
      <c r="D483" s="15">
        <v>1140003</v>
      </c>
      <c r="E483" s="15">
        <v>30031</v>
      </c>
      <c r="F483" s="15">
        <v>1</v>
      </c>
      <c r="G483" s="15">
        <v>12</v>
      </c>
      <c r="H483" s="16">
        <v>0</v>
      </c>
      <c r="I483" s="26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6">
        <v>0</v>
      </c>
      <c r="U483" s="15">
        <v>0</v>
      </c>
      <c r="V483" s="15">
        <v>0</v>
      </c>
      <c r="W483" s="15">
        <v>0</v>
      </c>
      <c r="X483" s="16">
        <v>0</v>
      </c>
      <c r="Y483" s="16">
        <v>0</v>
      </c>
      <c r="Z483" s="16">
        <v>0</v>
      </c>
      <c r="AA483" s="16">
        <v>105201</v>
      </c>
      <c r="AB483" s="16">
        <v>13</v>
      </c>
      <c r="AC483" s="16">
        <v>0</v>
      </c>
      <c r="AD483" s="16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</row>
    <row r="484" ht="20.1" customHeight="1" spans="2:223">
      <c r="B484" s="52">
        <v>16000405</v>
      </c>
      <c r="C484" s="53" t="s">
        <v>482</v>
      </c>
      <c r="D484" s="15">
        <v>1140003</v>
      </c>
      <c r="E484" s="15">
        <v>30031</v>
      </c>
      <c r="F484" s="15">
        <v>1</v>
      </c>
      <c r="G484" s="15">
        <v>12</v>
      </c>
      <c r="H484" s="16">
        <v>0</v>
      </c>
      <c r="I484" s="26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6">
        <v>0</v>
      </c>
      <c r="U484" s="15">
        <v>0</v>
      </c>
      <c r="V484" s="15">
        <v>0</v>
      </c>
      <c r="W484" s="15">
        <v>0</v>
      </c>
      <c r="X484" s="16">
        <v>0</v>
      </c>
      <c r="Y484" s="16">
        <v>0</v>
      </c>
      <c r="Z484" s="16">
        <v>0</v>
      </c>
      <c r="AA484" s="16" t="s">
        <v>437</v>
      </c>
      <c r="AB484" s="16" t="s">
        <v>483</v>
      </c>
      <c r="AC484" s="16" t="s">
        <v>70</v>
      </c>
      <c r="AD484" s="16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</row>
    <row r="485" ht="20.1" customHeight="1" spans="2:223">
      <c r="B485" s="52">
        <v>16000406</v>
      </c>
      <c r="C485" s="53" t="s">
        <v>484</v>
      </c>
      <c r="D485" s="15">
        <v>1140003</v>
      </c>
      <c r="E485" s="15">
        <v>30031</v>
      </c>
      <c r="F485" s="15">
        <v>1</v>
      </c>
      <c r="G485" s="15">
        <v>12</v>
      </c>
      <c r="H485" s="16">
        <v>0</v>
      </c>
      <c r="I485" s="26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6">
        <v>0</v>
      </c>
      <c r="U485" s="15">
        <v>0</v>
      </c>
      <c r="V485" s="15">
        <v>0</v>
      </c>
      <c r="W485" s="15">
        <v>0</v>
      </c>
      <c r="X485" s="16">
        <v>0</v>
      </c>
      <c r="Y485" s="16">
        <v>0</v>
      </c>
      <c r="Z485" s="16">
        <v>0</v>
      </c>
      <c r="AA485" s="16" t="s">
        <v>440</v>
      </c>
      <c r="AB485" s="16" t="s">
        <v>483</v>
      </c>
      <c r="AC485" s="16" t="s">
        <v>70</v>
      </c>
      <c r="AD485" s="16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</row>
    <row r="486" ht="20.1" customHeight="1" spans="2:223">
      <c r="B486" s="52">
        <v>16000407</v>
      </c>
      <c r="C486" s="53" t="s">
        <v>485</v>
      </c>
      <c r="D486" s="15">
        <v>1140003</v>
      </c>
      <c r="E486" s="15">
        <v>30031</v>
      </c>
      <c r="F486" s="15">
        <v>1</v>
      </c>
      <c r="G486" s="15">
        <v>12</v>
      </c>
      <c r="H486" s="16">
        <v>0</v>
      </c>
      <c r="I486" s="26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6">
        <v>0</v>
      </c>
      <c r="U486" s="15">
        <v>0</v>
      </c>
      <c r="V486" s="15">
        <v>0</v>
      </c>
      <c r="W486" s="15">
        <v>0</v>
      </c>
      <c r="X486" s="16">
        <v>0</v>
      </c>
      <c r="Y486" s="16">
        <v>0</v>
      </c>
      <c r="Z486" s="16">
        <v>0</v>
      </c>
      <c r="AA486" s="16" t="s">
        <v>442</v>
      </c>
      <c r="AB486" s="16" t="s">
        <v>483</v>
      </c>
      <c r="AC486" s="16" t="s">
        <v>70</v>
      </c>
      <c r="AD486" s="16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</row>
    <row r="487" ht="20.1" customHeight="1" spans="2:223">
      <c r="B487" s="52">
        <v>16000408</v>
      </c>
      <c r="C487" s="53" t="s">
        <v>486</v>
      </c>
      <c r="D487" s="15">
        <v>1140003</v>
      </c>
      <c r="E487" s="15">
        <v>30031</v>
      </c>
      <c r="F487" s="15">
        <v>1</v>
      </c>
      <c r="G487" s="15">
        <v>12</v>
      </c>
      <c r="H487" s="16">
        <v>0</v>
      </c>
      <c r="I487" s="26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6">
        <v>0</v>
      </c>
      <c r="U487" s="15">
        <v>0</v>
      </c>
      <c r="V487" s="15">
        <v>0</v>
      </c>
      <c r="W487" s="15">
        <v>0</v>
      </c>
      <c r="X487" s="16">
        <v>0</v>
      </c>
      <c r="Y487" s="16">
        <v>0</v>
      </c>
      <c r="Z487" s="16">
        <v>0</v>
      </c>
      <c r="AA487" s="16" t="s">
        <v>444</v>
      </c>
      <c r="AB487" s="16" t="s">
        <v>483</v>
      </c>
      <c r="AC487" s="16" t="s">
        <v>70</v>
      </c>
      <c r="AD487" s="16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</row>
    <row r="488" ht="20.1" customHeight="1" spans="2:223">
      <c r="B488" s="52">
        <v>16000409</v>
      </c>
      <c r="C488" s="53" t="s">
        <v>487</v>
      </c>
      <c r="D488" s="15">
        <v>1140003</v>
      </c>
      <c r="E488" s="15">
        <v>30031</v>
      </c>
      <c r="F488" s="15">
        <v>1</v>
      </c>
      <c r="G488" s="15">
        <v>12</v>
      </c>
      <c r="H488" s="16">
        <v>0</v>
      </c>
      <c r="I488" s="26">
        <v>0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6">
        <v>0</v>
      </c>
      <c r="U488" s="15">
        <v>0</v>
      </c>
      <c r="V488" s="15">
        <v>0</v>
      </c>
      <c r="W488" s="15">
        <v>0</v>
      </c>
      <c r="X488" s="16">
        <v>0</v>
      </c>
      <c r="Y488" s="16">
        <v>0</v>
      </c>
      <c r="Z488" s="16">
        <v>0</v>
      </c>
      <c r="AA488" s="16">
        <v>105401</v>
      </c>
      <c r="AB488" s="16">
        <v>13</v>
      </c>
      <c r="AC488" s="16">
        <v>0</v>
      </c>
      <c r="AD488" s="16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</row>
    <row r="489" ht="20.1" customHeight="1" spans="2:223">
      <c r="B489" s="52">
        <v>16000410</v>
      </c>
      <c r="C489" s="53" t="s">
        <v>488</v>
      </c>
      <c r="D489" s="15">
        <v>1140003</v>
      </c>
      <c r="E489" s="15">
        <v>30031</v>
      </c>
      <c r="F489" s="15">
        <v>1</v>
      </c>
      <c r="G489" s="15">
        <v>12</v>
      </c>
      <c r="H489" s="16">
        <v>0</v>
      </c>
      <c r="I489" s="26">
        <v>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6">
        <v>0</v>
      </c>
      <c r="U489" s="15">
        <v>0</v>
      </c>
      <c r="V489" s="15">
        <v>0</v>
      </c>
      <c r="W489" s="15">
        <v>0</v>
      </c>
      <c r="X489" s="16">
        <v>0</v>
      </c>
      <c r="Y489" s="16">
        <v>0</v>
      </c>
      <c r="Z489" s="16">
        <v>0</v>
      </c>
      <c r="AA489" s="16" t="s">
        <v>447</v>
      </c>
      <c r="AB489" s="16" t="s">
        <v>483</v>
      </c>
      <c r="AC489" s="16" t="s">
        <v>70</v>
      </c>
      <c r="AD489" s="16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</row>
    <row r="490" ht="20.1" customHeight="1" spans="2:223">
      <c r="B490" s="52">
        <v>16000411</v>
      </c>
      <c r="C490" s="53" t="s">
        <v>489</v>
      </c>
      <c r="D490" s="15">
        <v>1140003</v>
      </c>
      <c r="E490" s="15">
        <v>30031</v>
      </c>
      <c r="F490" s="15">
        <v>1</v>
      </c>
      <c r="G490" s="15">
        <v>12</v>
      </c>
      <c r="H490" s="16">
        <v>0</v>
      </c>
      <c r="I490" s="26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6">
        <v>0</v>
      </c>
      <c r="U490" s="15">
        <v>0</v>
      </c>
      <c r="V490" s="15">
        <v>0</v>
      </c>
      <c r="W490" s="15">
        <v>0</v>
      </c>
      <c r="X490" s="16">
        <v>0</v>
      </c>
      <c r="Y490" s="16">
        <v>0</v>
      </c>
      <c r="Z490" s="16">
        <v>0</v>
      </c>
      <c r="AA490" s="16" t="s">
        <v>449</v>
      </c>
      <c r="AB490" s="16" t="s">
        <v>483</v>
      </c>
      <c r="AC490" s="16" t="s">
        <v>70</v>
      </c>
      <c r="AD490" s="16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</row>
    <row r="491" ht="20.1" customHeight="1" spans="2:223">
      <c r="B491" s="52">
        <v>16000412</v>
      </c>
      <c r="C491" s="53" t="s">
        <v>490</v>
      </c>
      <c r="D491" s="15">
        <v>1140003</v>
      </c>
      <c r="E491" s="15">
        <v>30031</v>
      </c>
      <c r="F491" s="15">
        <v>1</v>
      </c>
      <c r="G491" s="15">
        <v>12</v>
      </c>
      <c r="H491" s="16">
        <v>0</v>
      </c>
      <c r="I491" s="26">
        <v>0</v>
      </c>
      <c r="J491" s="15">
        <v>0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6">
        <v>0</v>
      </c>
      <c r="U491" s="15">
        <v>0</v>
      </c>
      <c r="V491" s="15">
        <v>0</v>
      </c>
      <c r="W491" s="15">
        <v>0</v>
      </c>
      <c r="X491" s="16">
        <v>0</v>
      </c>
      <c r="Y491" s="16">
        <v>0</v>
      </c>
      <c r="Z491" s="16">
        <v>0</v>
      </c>
      <c r="AA491" s="16" t="s">
        <v>451</v>
      </c>
      <c r="AB491" s="16" t="s">
        <v>483</v>
      </c>
      <c r="AC491" s="16" t="s">
        <v>70</v>
      </c>
      <c r="AD491" s="16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</row>
    <row r="492" ht="20.1" customHeight="1" spans="2:223">
      <c r="B492" s="52">
        <v>16000413</v>
      </c>
      <c r="C492" s="53" t="s">
        <v>491</v>
      </c>
      <c r="D492" s="54">
        <v>0</v>
      </c>
      <c r="E492" s="15">
        <v>0</v>
      </c>
      <c r="F492" s="15">
        <v>0</v>
      </c>
      <c r="G492" s="15">
        <v>0</v>
      </c>
      <c r="H492" s="16">
        <v>0</v>
      </c>
      <c r="I492" s="26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6">
        <v>0</v>
      </c>
      <c r="U492" s="15">
        <v>0</v>
      </c>
      <c r="V492" s="15">
        <v>0</v>
      </c>
      <c r="W492" s="15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2019-09-30T00:29:00Z</dcterms:created>
  <dcterms:modified xsi:type="dcterms:W3CDTF">2026-09-04T09:21:26Z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22F213981B7745568AF0071BF2759C8C_12</vt:lpwstr>
  </property>
</Properties>
</file>