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H:\GitMengJing\Unity\Assets\Config\Excel\"/>
    </mc:Choice>
  </mc:AlternateContent>
  <xr:revisionPtr revIDLastSave="0" documentId="13_ncr:1_{2116FBCF-D1B0-4EF7-9D47-6B31D7980D03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EquipProto" sheetId="1" r:id="rId1"/>
  </sheets>
  <calcPr calcId="191029"/>
</workbook>
</file>

<file path=xl/calcChain.xml><?xml version="1.0" encoding="utf-8"?>
<calcChain xmlns="http://schemas.openxmlformats.org/spreadsheetml/2006/main">
  <c r="L395" i="1" l="1"/>
  <c r="S392" i="1"/>
  <c r="Q392" i="1"/>
  <c r="M392" i="1"/>
  <c r="L392" i="1"/>
  <c r="S391" i="1"/>
  <c r="Q391" i="1"/>
  <c r="M391" i="1"/>
  <c r="L391" i="1"/>
  <c r="S390" i="1"/>
  <c r="Q390" i="1"/>
  <c r="M390" i="1"/>
  <c r="S389" i="1"/>
  <c r="Q389" i="1"/>
  <c r="M389" i="1"/>
  <c r="S388" i="1"/>
  <c r="Q388" i="1"/>
  <c r="M388" i="1"/>
  <c r="S387" i="1"/>
  <c r="Q387" i="1"/>
  <c r="M387" i="1"/>
  <c r="S386" i="1"/>
  <c r="Q386" i="1"/>
  <c r="S385" i="1"/>
  <c r="Q385" i="1"/>
  <c r="M385" i="1"/>
  <c r="S384" i="1"/>
  <c r="Q384" i="1"/>
  <c r="M384" i="1"/>
  <c r="S383" i="1"/>
  <c r="Q383" i="1"/>
  <c r="S382" i="1"/>
  <c r="Q382" i="1"/>
  <c r="S381" i="1"/>
  <c r="Q381" i="1"/>
  <c r="S380" i="1"/>
  <c r="Q380" i="1"/>
  <c r="S379" i="1"/>
  <c r="Q379" i="1"/>
  <c r="M379" i="1"/>
  <c r="S378" i="1"/>
  <c r="Q378" i="1"/>
  <c r="M378" i="1"/>
  <c r="S377" i="1"/>
  <c r="Q377" i="1"/>
  <c r="M377" i="1"/>
  <c r="S376" i="1"/>
  <c r="Q376" i="1"/>
  <c r="M376" i="1"/>
  <c r="S375" i="1"/>
  <c r="Q375" i="1"/>
  <c r="M375" i="1"/>
  <c r="S374" i="1"/>
  <c r="Q374" i="1"/>
  <c r="M374" i="1"/>
  <c r="S373" i="1"/>
  <c r="Q373" i="1"/>
  <c r="M373" i="1"/>
  <c r="S372" i="1"/>
  <c r="Q372" i="1"/>
  <c r="S371" i="1"/>
  <c r="Q371" i="1"/>
  <c r="S370" i="1"/>
  <c r="Q370" i="1"/>
  <c r="M370" i="1"/>
  <c r="S369" i="1"/>
  <c r="Q369" i="1"/>
  <c r="M369" i="1"/>
  <c r="S368" i="1"/>
  <c r="Q368" i="1"/>
  <c r="M368" i="1"/>
  <c r="S367" i="1"/>
  <c r="Q367" i="1"/>
  <c r="M367" i="1"/>
  <c r="S366" i="1"/>
  <c r="S365" i="1"/>
  <c r="Q365" i="1"/>
  <c r="M365" i="1"/>
  <c r="S364" i="1"/>
  <c r="Q364" i="1"/>
  <c r="M364" i="1"/>
  <c r="S363" i="1"/>
  <c r="Q363" i="1"/>
  <c r="M363" i="1"/>
  <c r="S362" i="1"/>
  <c r="Q362" i="1"/>
  <c r="M362" i="1"/>
  <c r="S361" i="1"/>
  <c r="Q361" i="1"/>
  <c r="M361" i="1"/>
  <c r="S360" i="1"/>
  <c r="Q360" i="1"/>
  <c r="M360" i="1"/>
  <c r="S359" i="1"/>
  <c r="Q359" i="1"/>
  <c r="M359" i="1"/>
  <c r="S358" i="1"/>
  <c r="Q358" i="1"/>
  <c r="M358" i="1"/>
  <c r="S357" i="1"/>
  <c r="Q357" i="1"/>
  <c r="M357" i="1"/>
  <c r="S356" i="1"/>
  <c r="Q356" i="1"/>
  <c r="M356" i="1"/>
  <c r="S355" i="1"/>
  <c r="Q355" i="1"/>
  <c r="M355" i="1"/>
  <c r="S354" i="1"/>
  <c r="Q354" i="1"/>
  <c r="M354" i="1"/>
  <c r="S353" i="1"/>
  <c r="Q353" i="1"/>
  <c r="M353" i="1"/>
  <c r="S352" i="1"/>
  <c r="Q352" i="1"/>
  <c r="M352" i="1"/>
  <c r="S351" i="1"/>
  <c r="Q351" i="1"/>
  <c r="S350" i="1"/>
  <c r="Q350" i="1"/>
  <c r="M350" i="1"/>
  <c r="S349" i="1"/>
  <c r="Q349" i="1"/>
  <c r="M349" i="1"/>
  <c r="S348" i="1"/>
  <c r="Q348" i="1"/>
  <c r="M348" i="1"/>
  <c r="S347" i="1"/>
  <c r="Q347" i="1"/>
  <c r="M347" i="1"/>
  <c r="S346" i="1"/>
  <c r="Q346" i="1"/>
  <c r="M346" i="1"/>
  <c r="S345" i="1"/>
  <c r="Q345" i="1"/>
  <c r="M345" i="1"/>
  <c r="S344" i="1"/>
  <c r="Q344" i="1"/>
  <c r="M344" i="1"/>
  <c r="S343" i="1"/>
  <c r="Q343" i="1"/>
  <c r="M343" i="1"/>
  <c r="S342" i="1"/>
  <c r="Q342" i="1"/>
  <c r="M342" i="1"/>
  <c r="S341" i="1"/>
  <c r="Q341" i="1"/>
  <c r="M341" i="1"/>
  <c r="S340" i="1"/>
  <c r="Q340" i="1"/>
  <c r="M340" i="1"/>
  <c r="S339" i="1"/>
  <c r="Q339" i="1"/>
  <c r="M339" i="1"/>
  <c r="S338" i="1"/>
  <c r="Q338" i="1"/>
  <c r="M338" i="1"/>
  <c r="S337" i="1"/>
  <c r="Q337" i="1"/>
  <c r="M337" i="1"/>
  <c r="S336" i="1"/>
  <c r="Q336" i="1"/>
  <c r="M336" i="1"/>
  <c r="S335" i="1"/>
  <c r="Q335" i="1"/>
  <c r="M335" i="1"/>
  <c r="S334" i="1"/>
  <c r="Q334" i="1"/>
  <c r="M334" i="1"/>
  <c r="S333" i="1"/>
  <c r="Q333" i="1"/>
  <c r="M333" i="1"/>
  <c r="T332" i="1"/>
  <c r="R332" i="1"/>
  <c r="M332" i="1"/>
  <c r="T331" i="1"/>
  <c r="R331" i="1"/>
  <c r="M331" i="1"/>
  <c r="T330" i="1"/>
  <c r="R330" i="1"/>
  <c r="M330" i="1"/>
  <c r="S329" i="1"/>
  <c r="S332" i="1" s="1"/>
  <c r="Q329" i="1"/>
  <c r="Q332" i="1" s="1"/>
  <c r="M329" i="1"/>
  <c r="S328" i="1"/>
  <c r="Q328" i="1"/>
  <c r="M328" i="1"/>
  <c r="S327" i="1"/>
  <c r="S331" i="1" s="1"/>
  <c r="Q327" i="1"/>
  <c r="Q331" i="1" s="1"/>
  <c r="M327" i="1"/>
  <c r="S326" i="1"/>
  <c r="Q326" i="1"/>
  <c r="M326" i="1"/>
  <c r="S325" i="1"/>
  <c r="S330" i="1" s="1"/>
  <c r="Q325" i="1"/>
  <c r="Q330" i="1" s="1"/>
  <c r="M325" i="1"/>
  <c r="S324" i="1"/>
  <c r="Q324" i="1"/>
  <c r="M324" i="1"/>
  <c r="S323" i="1"/>
  <c r="Q323" i="1"/>
  <c r="M323" i="1"/>
  <c r="S322" i="1"/>
  <c r="Q322" i="1"/>
  <c r="M322" i="1"/>
  <c r="S321" i="1"/>
  <c r="Q321" i="1"/>
  <c r="M321" i="1"/>
  <c r="S320" i="1"/>
  <c r="Q320" i="1"/>
  <c r="M320" i="1"/>
  <c r="S319" i="1"/>
  <c r="Q319" i="1"/>
  <c r="M319" i="1"/>
  <c r="S318" i="1"/>
  <c r="Q318" i="1"/>
  <c r="M318" i="1"/>
  <c r="S317" i="1"/>
  <c r="Q317" i="1"/>
  <c r="M317" i="1"/>
  <c r="S316" i="1"/>
  <c r="Q316" i="1"/>
  <c r="M316" i="1"/>
  <c r="S315" i="1"/>
  <c r="Q315" i="1"/>
  <c r="M315" i="1"/>
  <c r="S314" i="1"/>
  <c r="Q314" i="1"/>
  <c r="M314" i="1"/>
  <c r="S313" i="1"/>
  <c r="Q313" i="1"/>
  <c r="M313" i="1"/>
  <c r="S312" i="1"/>
  <c r="Q312" i="1"/>
  <c r="M312" i="1"/>
  <c r="S311" i="1"/>
  <c r="Q311" i="1"/>
  <c r="M311" i="1"/>
  <c r="S310" i="1"/>
  <c r="Q310" i="1"/>
  <c r="S309" i="1"/>
  <c r="Q309" i="1"/>
  <c r="S308" i="1"/>
  <c r="Q308" i="1"/>
  <c r="S307" i="1"/>
  <c r="Q307" i="1"/>
  <c r="M307" i="1"/>
  <c r="S306" i="1"/>
  <c r="Q306" i="1"/>
  <c r="M306" i="1"/>
  <c r="S305" i="1"/>
  <c r="Q305" i="1"/>
  <c r="M305" i="1"/>
  <c r="S304" i="1"/>
  <c r="Q304" i="1"/>
  <c r="M304" i="1"/>
  <c r="S303" i="1"/>
  <c r="Q303" i="1"/>
  <c r="M303" i="1"/>
  <c r="S302" i="1"/>
  <c r="Q302" i="1"/>
  <c r="M302" i="1"/>
  <c r="S301" i="1"/>
  <c r="Q301" i="1"/>
  <c r="M301" i="1"/>
  <c r="S300" i="1"/>
  <c r="Q300" i="1"/>
  <c r="M300" i="1"/>
  <c r="S299" i="1"/>
  <c r="Q299" i="1"/>
  <c r="M299" i="1"/>
  <c r="S298" i="1"/>
  <c r="Q298" i="1"/>
  <c r="M298" i="1"/>
  <c r="S297" i="1"/>
  <c r="Q297" i="1"/>
  <c r="M297" i="1"/>
  <c r="S296" i="1"/>
  <c r="Q296" i="1"/>
  <c r="M296" i="1"/>
  <c r="S295" i="1"/>
  <c r="Q295" i="1"/>
  <c r="M295" i="1"/>
  <c r="S294" i="1"/>
  <c r="Q294" i="1"/>
  <c r="M294" i="1"/>
  <c r="S293" i="1"/>
  <c r="Q293" i="1"/>
  <c r="M293" i="1"/>
  <c r="S292" i="1"/>
  <c r="Q292" i="1"/>
  <c r="M292" i="1"/>
  <c r="S291" i="1"/>
  <c r="Q291" i="1"/>
  <c r="M291" i="1"/>
  <c r="S290" i="1"/>
  <c r="Q290" i="1"/>
  <c r="M290" i="1"/>
  <c r="S289" i="1"/>
  <c r="Q289" i="1"/>
  <c r="M289" i="1"/>
  <c r="S288" i="1"/>
  <c r="Q288" i="1"/>
  <c r="M288" i="1"/>
  <c r="S287" i="1"/>
  <c r="Q287" i="1"/>
  <c r="M287" i="1"/>
  <c r="S286" i="1"/>
  <c r="Q286" i="1"/>
  <c r="M286" i="1"/>
  <c r="S285" i="1"/>
  <c r="Q285" i="1"/>
  <c r="M285" i="1"/>
  <c r="S284" i="1"/>
  <c r="Q284" i="1"/>
  <c r="M284" i="1"/>
  <c r="S283" i="1"/>
  <c r="Q283" i="1"/>
  <c r="M283" i="1"/>
  <c r="S282" i="1"/>
  <c r="Q282" i="1"/>
  <c r="M282" i="1"/>
  <c r="S281" i="1"/>
  <c r="Q281" i="1"/>
  <c r="M281" i="1"/>
  <c r="S280" i="1"/>
  <c r="Q280" i="1"/>
  <c r="M280" i="1"/>
  <c r="S279" i="1"/>
  <c r="Q279" i="1"/>
  <c r="M279" i="1"/>
  <c r="S278" i="1"/>
  <c r="Q278" i="1"/>
  <c r="M278" i="1"/>
  <c r="S277" i="1"/>
  <c r="Q277" i="1"/>
  <c r="M277" i="1"/>
  <c r="S276" i="1"/>
  <c r="Q276" i="1"/>
  <c r="M276" i="1"/>
  <c r="S275" i="1"/>
  <c r="Q275" i="1"/>
  <c r="M275" i="1"/>
  <c r="S274" i="1"/>
  <c r="Q274" i="1"/>
  <c r="M274" i="1"/>
  <c r="S273" i="1"/>
  <c r="Q273" i="1"/>
  <c r="M273" i="1"/>
  <c r="S272" i="1"/>
  <c r="Q272" i="1"/>
  <c r="M272" i="1"/>
  <c r="S271" i="1"/>
  <c r="Q271" i="1"/>
  <c r="M271" i="1"/>
  <c r="M270" i="1"/>
  <c r="M269" i="1"/>
  <c r="M268" i="1"/>
  <c r="S267" i="1"/>
  <c r="Q267" i="1"/>
  <c r="M267" i="1"/>
  <c r="S266" i="1"/>
  <c r="Q266" i="1"/>
  <c r="M266" i="1"/>
  <c r="S265" i="1"/>
  <c r="Q265" i="1"/>
  <c r="M265" i="1"/>
  <c r="S264" i="1"/>
  <c r="Q264" i="1"/>
  <c r="M264" i="1"/>
  <c r="S263" i="1"/>
  <c r="Q263" i="1"/>
  <c r="M263" i="1"/>
  <c r="S262" i="1"/>
  <c r="Q262" i="1"/>
  <c r="M262" i="1"/>
  <c r="S261" i="1"/>
  <c r="Q261" i="1"/>
  <c r="M261" i="1"/>
  <c r="S260" i="1"/>
  <c r="Q260" i="1"/>
  <c r="M260" i="1"/>
  <c r="S259" i="1"/>
  <c r="Q259" i="1"/>
  <c r="M259" i="1"/>
  <c r="S258" i="1"/>
  <c r="Q258" i="1"/>
  <c r="M258" i="1"/>
  <c r="S257" i="1"/>
  <c r="Q257" i="1"/>
  <c r="M257" i="1"/>
  <c r="S256" i="1"/>
  <c r="Q256" i="1"/>
  <c r="M256" i="1"/>
  <c r="S255" i="1"/>
  <c r="Q255" i="1"/>
  <c r="M255" i="1"/>
  <c r="S254" i="1"/>
  <c r="Q254" i="1"/>
  <c r="M254" i="1"/>
  <c r="S253" i="1"/>
  <c r="Q253" i="1"/>
  <c r="M253" i="1"/>
  <c r="S252" i="1"/>
  <c r="Q252" i="1"/>
  <c r="M252" i="1"/>
  <c r="S251" i="1"/>
  <c r="Q251" i="1"/>
  <c r="M251" i="1"/>
  <c r="S250" i="1"/>
  <c r="Q250" i="1"/>
  <c r="M250" i="1"/>
  <c r="S249" i="1"/>
  <c r="Q249" i="1"/>
  <c r="M249" i="1"/>
  <c r="S248" i="1"/>
  <c r="Q248" i="1"/>
  <c r="S247" i="1"/>
  <c r="Q247" i="1"/>
  <c r="S246" i="1"/>
  <c r="Q246" i="1"/>
  <c r="S245" i="1"/>
  <c r="Q245" i="1"/>
  <c r="S244" i="1"/>
  <c r="Q244" i="1"/>
  <c r="M244" i="1"/>
  <c r="S243" i="1"/>
  <c r="Q243" i="1"/>
  <c r="M243" i="1"/>
  <c r="S242" i="1"/>
  <c r="Q242" i="1"/>
  <c r="M242" i="1"/>
  <c r="S241" i="1"/>
  <c r="Q241" i="1"/>
  <c r="M241" i="1"/>
  <c r="S240" i="1"/>
  <c r="Q240" i="1"/>
  <c r="M240" i="1"/>
  <c r="S239" i="1"/>
  <c r="Q239" i="1"/>
  <c r="M239" i="1"/>
  <c r="S238" i="1"/>
  <c r="Q238" i="1"/>
  <c r="M238" i="1"/>
  <c r="S237" i="1"/>
  <c r="Q237" i="1"/>
  <c r="M237" i="1"/>
  <c r="S236" i="1"/>
  <c r="Q236" i="1"/>
  <c r="M236" i="1"/>
  <c r="S235" i="1"/>
  <c r="Q235" i="1"/>
  <c r="M235" i="1"/>
  <c r="S234" i="1"/>
  <c r="Q234" i="1"/>
  <c r="M234" i="1"/>
  <c r="S233" i="1"/>
  <c r="Q233" i="1"/>
  <c r="M233" i="1"/>
  <c r="S232" i="1"/>
  <c r="Q232" i="1"/>
  <c r="M232" i="1"/>
  <c r="S231" i="1"/>
  <c r="Q231" i="1"/>
  <c r="M231" i="1"/>
  <c r="S230" i="1"/>
  <c r="Q230" i="1"/>
  <c r="M230" i="1"/>
  <c r="S229" i="1"/>
  <c r="Q229" i="1"/>
  <c r="M229" i="1"/>
  <c r="S228" i="1"/>
  <c r="Q228" i="1"/>
  <c r="M228" i="1"/>
  <c r="S227" i="1"/>
  <c r="Q227" i="1"/>
  <c r="M227" i="1"/>
  <c r="S226" i="1"/>
  <c r="Q226" i="1"/>
  <c r="M226" i="1"/>
  <c r="S225" i="1"/>
  <c r="Q225" i="1"/>
  <c r="M225" i="1"/>
  <c r="S224" i="1"/>
  <c r="Q224" i="1"/>
  <c r="M224" i="1"/>
  <c r="S223" i="1"/>
  <c r="Q223" i="1"/>
  <c r="M223" i="1"/>
  <c r="S222" i="1"/>
  <c r="Q222" i="1"/>
  <c r="M222" i="1"/>
  <c r="S221" i="1"/>
  <c r="Q221" i="1"/>
  <c r="M221" i="1"/>
  <c r="S220" i="1"/>
  <c r="Q220" i="1"/>
  <c r="M220" i="1"/>
  <c r="S219" i="1"/>
  <c r="Q219" i="1"/>
  <c r="M219" i="1"/>
  <c r="S218" i="1"/>
  <c r="Q218" i="1"/>
  <c r="M218" i="1"/>
  <c r="S217" i="1"/>
  <c r="Q217" i="1"/>
  <c r="M217" i="1"/>
  <c r="S216" i="1"/>
  <c r="Q216" i="1"/>
  <c r="M216" i="1"/>
  <c r="S215" i="1"/>
  <c r="Q215" i="1"/>
  <c r="M215" i="1"/>
  <c r="S214" i="1"/>
  <c r="Q214" i="1"/>
  <c r="M214" i="1"/>
  <c r="S213" i="1"/>
  <c r="Q213" i="1"/>
  <c r="M213" i="1"/>
  <c r="S212" i="1"/>
  <c r="Q212" i="1"/>
  <c r="M212" i="1"/>
  <c r="S211" i="1"/>
  <c r="Q211" i="1"/>
  <c r="M211" i="1"/>
  <c r="S210" i="1"/>
  <c r="Q210" i="1"/>
  <c r="M210" i="1"/>
  <c r="S209" i="1"/>
  <c r="Q209" i="1"/>
  <c r="M209" i="1"/>
  <c r="M208" i="1"/>
  <c r="M207" i="1"/>
  <c r="M206" i="1"/>
  <c r="S205" i="1"/>
  <c r="Q205" i="1"/>
  <c r="M205" i="1"/>
  <c r="S204" i="1"/>
  <c r="Q204" i="1"/>
  <c r="M204" i="1"/>
  <c r="S203" i="1"/>
  <c r="Q203" i="1"/>
  <c r="M203" i="1"/>
  <c r="S202" i="1"/>
  <c r="Q202" i="1"/>
  <c r="M202" i="1"/>
  <c r="S201" i="1"/>
  <c r="Q201" i="1"/>
  <c r="M201" i="1"/>
  <c r="S200" i="1"/>
  <c r="Q200" i="1"/>
  <c r="M200" i="1"/>
  <c r="S199" i="1"/>
  <c r="Q199" i="1"/>
  <c r="M199" i="1"/>
  <c r="S198" i="1"/>
  <c r="Q198" i="1"/>
  <c r="M198" i="1"/>
  <c r="S197" i="1"/>
  <c r="Q197" i="1"/>
  <c r="M197" i="1"/>
  <c r="S196" i="1"/>
  <c r="Q196" i="1"/>
  <c r="M196" i="1"/>
  <c r="S195" i="1"/>
  <c r="Q195" i="1"/>
  <c r="M195" i="1"/>
  <c r="S194" i="1"/>
  <c r="Q194" i="1"/>
  <c r="M194" i="1"/>
  <c r="S193" i="1"/>
  <c r="Q193" i="1"/>
  <c r="M193" i="1"/>
  <c r="S192" i="1"/>
  <c r="Q192" i="1"/>
  <c r="M192" i="1"/>
  <c r="S191" i="1"/>
  <c r="Q191" i="1"/>
  <c r="M191" i="1"/>
  <c r="S190" i="1"/>
  <c r="Q190" i="1"/>
  <c r="M190" i="1"/>
  <c r="S189" i="1"/>
  <c r="Q189" i="1"/>
  <c r="M189" i="1"/>
  <c r="S188" i="1"/>
  <c r="Q188" i="1"/>
  <c r="M188" i="1"/>
  <c r="S187" i="1"/>
  <c r="Q187" i="1"/>
  <c r="M187" i="1"/>
  <c r="S186" i="1"/>
  <c r="Q186" i="1"/>
  <c r="M186" i="1"/>
  <c r="S185" i="1"/>
  <c r="Q185" i="1"/>
  <c r="M185" i="1"/>
  <c r="S184" i="1"/>
  <c r="Q184" i="1"/>
  <c r="M184" i="1"/>
  <c r="S183" i="1"/>
  <c r="Q183" i="1"/>
  <c r="M183" i="1"/>
  <c r="S182" i="1"/>
  <c r="Q182" i="1"/>
  <c r="M182" i="1"/>
  <c r="S181" i="1"/>
  <c r="Q181" i="1"/>
  <c r="M181" i="1"/>
  <c r="S180" i="1"/>
  <c r="Q180" i="1"/>
  <c r="M180" i="1"/>
  <c r="S179" i="1"/>
  <c r="Q179" i="1"/>
  <c r="M179" i="1"/>
  <c r="S178" i="1"/>
  <c r="Q178" i="1"/>
  <c r="M178" i="1"/>
  <c r="S177" i="1"/>
  <c r="Q177" i="1"/>
  <c r="M177" i="1"/>
  <c r="S176" i="1"/>
  <c r="Q176" i="1"/>
  <c r="M176" i="1"/>
  <c r="S175" i="1"/>
  <c r="Q175" i="1"/>
  <c r="M175" i="1"/>
  <c r="S174" i="1"/>
  <c r="Q174" i="1"/>
  <c r="M174" i="1"/>
  <c r="L174" i="1"/>
  <c r="S173" i="1"/>
  <c r="Q173" i="1"/>
  <c r="M173" i="1"/>
  <c r="S172" i="1"/>
  <c r="Q172" i="1"/>
  <c r="M172" i="1"/>
  <c r="S171" i="1"/>
  <c r="Q171" i="1"/>
  <c r="M171" i="1"/>
  <c r="S170" i="1"/>
  <c r="Q170" i="1"/>
  <c r="M170" i="1"/>
  <c r="S169" i="1"/>
  <c r="Q169" i="1"/>
  <c r="M169" i="1"/>
  <c r="S168" i="1"/>
  <c r="Q168" i="1"/>
  <c r="M168" i="1"/>
  <c r="S167" i="1"/>
  <c r="Q167" i="1"/>
  <c r="M167" i="1"/>
  <c r="S166" i="1"/>
  <c r="Q166" i="1"/>
  <c r="M166" i="1"/>
  <c r="S165" i="1"/>
  <c r="Q165" i="1"/>
  <c r="M165" i="1"/>
  <c r="S164" i="1"/>
  <c r="Q164" i="1"/>
  <c r="M164" i="1"/>
  <c r="S163" i="1"/>
  <c r="Q163" i="1"/>
  <c r="M163" i="1"/>
  <c r="S162" i="1"/>
  <c r="Q162" i="1"/>
  <c r="M162" i="1"/>
  <c r="S161" i="1"/>
  <c r="Q161" i="1"/>
  <c r="M161" i="1"/>
  <c r="S160" i="1"/>
  <c r="Q160" i="1"/>
  <c r="M160" i="1"/>
  <c r="S159" i="1"/>
  <c r="Q159" i="1"/>
  <c r="M159" i="1"/>
  <c r="S158" i="1"/>
  <c r="Q158" i="1"/>
  <c r="M158" i="1"/>
  <c r="S157" i="1"/>
  <c r="Q157" i="1"/>
  <c r="M157" i="1"/>
  <c r="S156" i="1"/>
  <c r="Q156" i="1"/>
  <c r="M156" i="1"/>
  <c r="S155" i="1"/>
  <c r="Q155" i="1"/>
  <c r="M155" i="1"/>
  <c r="S154" i="1"/>
  <c r="Q154" i="1"/>
  <c r="M154" i="1"/>
  <c r="S153" i="1"/>
  <c r="Q153" i="1"/>
  <c r="M153" i="1"/>
  <c r="S152" i="1"/>
  <c r="Q152" i="1"/>
  <c r="M152" i="1"/>
  <c r="S151" i="1"/>
  <c r="Q151" i="1"/>
  <c r="M151" i="1"/>
  <c r="S150" i="1"/>
  <c r="Q150" i="1"/>
  <c r="M150" i="1"/>
  <c r="S149" i="1"/>
  <c r="Q149" i="1"/>
  <c r="M149" i="1"/>
  <c r="S148" i="1"/>
  <c r="Q148" i="1"/>
  <c r="M148" i="1"/>
  <c r="S147" i="1"/>
  <c r="Q147" i="1"/>
  <c r="M147" i="1"/>
  <c r="S146" i="1"/>
  <c r="Q146" i="1"/>
  <c r="M146" i="1"/>
  <c r="M145" i="1"/>
  <c r="M144" i="1"/>
  <c r="M143" i="1"/>
  <c r="S142" i="1"/>
  <c r="Q142" i="1"/>
  <c r="M142" i="1"/>
  <c r="S141" i="1"/>
  <c r="Q141" i="1"/>
  <c r="M141" i="1"/>
  <c r="S140" i="1"/>
  <c r="Q140" i="1"/>
  <c r="M140" i="1"/>
  <c r="S139" i="1"/>
  <c r="Q139" i="1"/>
  <c r="M139" i="1"/>
  <c r="S138" i="1"/>
  <c r="Q138" i="1"/>
  <c r="M138" i="1"/>
  <c r="S137" i="1"/>
  <c r="Q137" i="1"/>
  <c r="M137" i="1"/>
  <c r="S136" i="1"/>
  <c r="Q136" i="1"/>
  <c r="M136" i="1"/>
  <c r="S135" i="1"/>
  <c r="Q135" i="1"/>
  <c r="M135" i="1"/>
  <c r="S134" i="1"/>
  <c r="Q134" i="1"/>
  <c r="M134" i="1"/>
  <c r="S133" i="1"/>
  <c r="Q133" i="1"/>
  <c r="M133" i="1"/>
  <c r="S132" i="1"/>
  <c r="Q132" i="1"/>
  <c r="M132" i="1"/>
  <c r="S131" i="1"/>
  <c r="Q131" i="1"/>
  <c r="M131" i="1"/>
  <c r="S130" i="1"/>
  <c r="Q130" i="1"/>
  <c r="S129" i="1"/>
  <c r="Q129" i="1"/>
  <c r="M129" i="1"/>
  <c r="S128" i="1"/>
  <c r="Q128" i="1"/>
  <c r="M128" i="1"/>
  <c r="S127" i="1"/>
  <c r="Q127" i="1"/>
  <c r="M127" i="1"/>
  <c r="S126" i="1"/>
  <c r="Q126" i="1"/>
  <c r="M126" i="1"/>
  <c r="S125" i="1"/>
  <c r="Q125" i="1"/>
  <c r="S124" i="1"/>
  <c r="Q124" i="1"/>
  <c r="S123" i="1"/>
  <c r="Q123" i="1"/>
  <c r="S122" i="1"/>
  <c r="Q122" i="1"/>
  <c r="M122" i="1"/>
  <c r="S121" i="1"/>
  <c r="Q121" i="1"/>
  <c r="M121" i="1"/>
  <c r="S120" i="1"/>
  <c r="Q120" i="1"/>
  <c r="M120" i="1"/>
  <c r="S119" i="1"/>
  <c r="Q119" i="1"/>
  <c r="M119" i="1"/>
  <c r="S118" i="1"/>
  <c r="Q118" i="1"/>
  <c r="M118" i="1"/>
  <c r="S117" i="1"/>
  <c r="Q117" i="1"/>
  <c r="M117" i="1"/>
  <c r="S116" i="1"/>
  <c r="Q116" i="1"/>
  <c r="M116" i="1"/>
  <c r="S115" i="1"/>
  <c r="Q115" i="1"/>
  <c r="M115" i="1"/>
  <c r="S114" i="1"/>
  <c r="Q114" i="1"/>
  <c r="M114" i="1"/>
  <c r="S113" i="1"/>
  <c r="Q113" i="1"/>
  <c r="M113" i="1"/>
  <c r="S112" i="1"/>
  <c r="Q112" i="1"/>
  <c r="M112" i="1"/>
  <c r="S111" i="1"/>
  <c r="Q111" i="1"/>
  <c r="M111" i="1"/>
  <c r="S110" i="1"/>
  <c r="Q110" i="1"/>
  <c r="M110" i="1"/>
  <c r="S109" i="1"/>
  <c r="Q109" i="1"/>
  <c r="M109" i="1"/>
  <c r="S108" i="1"/>
  <c r="Q108" i="1"/>
  <c r="M108" i="1"/>
  <c r="S107" i="1"/>
  <c r="Q107" i="1"/>
  <c r="M107" i="1"/>
  <c r="S106" i="1"/>
  <c r="Q106" i="1"/>
  <c r="M106" i="1"/>
  <c r="S105" i="1"/>
  <c r="Q105" i="1"/>
  <c r="M105" i="1"/>
  <c r="S104" i="1"/>
  <c r="Q104" i="1"/>
  <c r="M104" i="1"/>
  <c r="S103" i="1"/>
  <c r="Q103" i="1"/>
  <c r="M103" i="1"/>
  <c r="S102" i="1"/>
  <c r="Q102" i="1"/>
  <c r="S101" i="1"/>
  <c r="S100" i="1"/>
  <c r="Q100" i="1"/>
  <c r="M100" i="1"/>
  <c r="S99" i="1"/>
  <c r="Q99" i="1"/>
  <c r="M99" i="1"/>
  <c r="S98" i="1"/>
  <c r="Q98" i="1"/>
  <c r="M98" i="1"/>
  <c r="S97" i="1"/>
  <c r="Q97" i="1"/>
  <c r="M97" i="1"/>
  <c r="S96" i="1"/>
  <c r="Q96" i="1"/>
  <c r="M96" i="1"/>
  <c r="S95" i="1"/>
  <c r="Q95" i="1"/>
  <c r="M95" i="1"/>
  <c r="S94" i="1"/>
  <c r="Q94" i="1"/>
  <c r="M94" i="1"/>
  <c r="S93" i="1"/>
  <c r="Q93" i="1"/>
  <c r="M93" i="1"/>
  <c r="S92" i="1"/>
  <c r="Q92" i="1"/>
  <c r="M92" i="1"/>
  <c r="S91" i="1"/>
  <c r="Q91" i="1"/>
  <c r="M91" i="1"/>
  <c r="S90" i="1"/>
  <c r="Q90" i="1"/>
  <c r="M90" i="1"/>
  <c r="S89" i="1"/>
  <c r="Q89" i="1"/>
  <c r="M89" i="1"/>
  <c r="S88" i="1"/>
  <c r="Q88" i="1"/>
  <c r="M88" i="1"/>
  <c r="S87" i="1"/>
  <c r="Q87" i="1"/>
  <c r="M87" i="1"/>
  <c r="S86" i="1"/>
  <c r="Q86" i="1"/>
  <c r="M86" i="1"/>
  <c r="S85" i="1"/>
  <c r="Q85" i="1"/>
  <c r="M85" i="1"/>
  <c r="S84" i="1"/>
  <c r="Q84" i="1"/>
  <c r="M84" i="1"/>
  <c r="S83" i="1"/>
  <c r="Q83" i="1"/>
  <c r="M83" i="1"/>
  <c r="S82" i="1"/>
  <c r="Q82" i="1"/>
  <c r="M82" i="1"/>
  <c r="S81" i="1"/>
  <c r="Q81" i="1"/>
  <c r="M81" i="1"/>
  <c r="S80" i="1"/>
  <c r="Q80" i="1"/>
  <c r="M80" i="1"/>
  <c r="S79" i="1"/>
  <c r="Q79" i="1"/>
  <c r="M79" i="1"/>
  <c r="S78" i="1"/>
  <c r="Q78" i="1"/>
  <c r="M78" i="1"/>
  <c r="S77" i="1"/>
  <c r="Q77" i="1"/>
  <c r="M77" i="1"/>
  <c r="S76" i="1"/>
  <c r="Q76" i="1"/>
  <c r="M76" i="1"/>
  <c r="S75" i="1"/>
  <c r="Q75" i="1"/>
  <c r="M75" i="1"/>
  <c r="S74" i="1"/>
  <c r="Q74" i="1"/>
  <c r="M74" i="1"/>
  <c r="S73" i="1"/>
  <c r="Q73" i="1"/>
  <c r="M73" i="1"/>
  <c r="S72" i="1"/>
  <c r="Q72" i="1"/>
  <c r="M72" i="1"/>
  <c r="S71" i="1"/>
  <c r="Q71" i="1"/>
  <c r="M71" i="1"/>
  <c r="S70" i="1"/>
  <c r="Q70" i="1"/>
  <c r="M70" i="1"/>
  <c r="S69" i="1"/>
  <c r="Q69" i="1"/>
  <c r="M69" i="1"/>
  <c r="S68" i="1"/>
  <c r="Q68" i="1"/>
  <c r="M68" i="1"/>
  <c r="S67" i="1"/>
  <c r="Q67" i="1"/>
  <c r="M67" i="1"/>
  <c r="S66" i="1"/>
  <c r="Q66" i="1"/>
  <c r="M66" i="1"/>
  <c r="S65" i="1"/>
  <c r="Q65" i="1"/>
  <c r="M65" i="1"/>
  <c r="S64" i="1"/>
  <c r="Q64" i="1"/>
  <c r="M64" i="1"/>
  <c r="S63" i="1"/>
  <c r="Q63" i="1"/>
  <c r="M63" i="1"/>
  <c r="S62" i="1"/>
  <c r="Q62" i="1"/>
  <c r="M62" i="1"/>
  <c r="S61" i="1"/>
  <c r="Q61" i="1"/>
  <c r="M61" i="1"/>
  <c r="S60" i="1"/>
  <c r="Q60" i="1"/>
  <c r="M60" i="1"/>
  <c r="S59" i="1"/>
  <c r="Q59" i="1"/>
  <c r="M59" i="1"/>
  <c r="S58" i="1"/>
  <c r="Q58" i="1"/>
  <c r="M58" i="1"/>
  <c r="S57" i="1"/>
  <c r="Q57" i="1"/>
  <c r="M57" i="1"/>
  <c r="S56" i="1"/>
  <c r="Q56" i="1"/>
  <c r="M56" i="1"/>
  <c r="S55" i="1"/>
  <c r="Q55" i="1"/>
  <c r="M55" i="1"/>
  <c r="S54" i="1"/>
  <c r="Q54" i="1"/>
  <c r="M54" i="1"/>
  <c r="S53" i="1"/>
  <c r="Q53" i="1"/>
  <c r="M53" i="1"/>
  <c r="S52" i="1"/>
  <c r="Q52" i="1"/>
  <c r="M52" i="1"/>
  <c r="S51" i="1"/>
  <c r="Q51" i="1"/>
  <c r="M51" i="1"/>
  <c r="S50" i="1"/>
  <c r="Q50" i="1"/>
  <c r="M50" i="1"/>
  <c r="S49" i="1"/>
  <c r="Q49" i="1"/>
  <c r="M49" i="1"/>
  <c r="S48" i="1"/>
  <c r="Q48" i="1"/>
  <c r="M48" i="1"/>
  <c r="S47" i="1"/>
  <c r="Q47" i="1"/>
  <c r="M47" i="1"/>
  <c r="S46" i="1"/>
  <c r="Q46" i="1"/>
  <c r="M46" i="1"/>
  <c r="S45" i="1"/>
  <c r="Q45" i="1"/>
  <c r="M45" i="1"/>
  <c r="S44" i="1"/>
  <c r="Q44" i="1"/>
  <c r="M44" i="1"/>
  <c r="S43" i="1"/>
  <c r="Q43" i="1"/>
  <c r="M43" i="1"/>
  <c r="S42" i="1"/>
  <c r="Q42" i="1"/>
  <c r="M42" i="1"/>
  <c r="S41" i="1"/>
  <c r="Q41" i="1"/>
  <c r="M41" i="1"/>
  <c r="S40" i="1"/>
  <c r="Q40" i="1"/>
  <c r="M40" i="1"/>
  <c r="S39" i="1"/>
  <c r="Q39" i="1"/>
  <c r="M39" i="1"/>
  <c r="S38" i="1"/>
  <c r="Q38" i="1"/>
  <c r="M38" i="1"/>
  <c r="S37" i="1"/>
  <c r="Q37" i="1"/>
  <c r="M37" i="1"/>
  <c r="S36" i="1"/>
  <c r="Q36" i="1"/>
  <c r="M36" i="1"/>
  <c r="S35" i="1"/>
  <c r="Q35" i="1"/>
  <c r="M35" i="1"/>
  <c r="S34" i="1"/>
  <c r="Q34" i="1"/>
  <c r="S33" i="1"/>
  <c r="Q33" i="1"/>
  <c r="S32" i="1"/>
  <c r="Q32" i="1"/>
  <c r="S31" i="1"/>
  <c r="Q31" i="1"/>
  <c r="S30" i="1"/>
  <c r="Q3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  <author>Administrator</author>
  </authors>
  <commentList>
    <comment ref="G3" authorId="0" shapeId="0" xr:uid="{00000000-0006-0000-0000-000001000000}">
      <text>
        <r>
          <rPr>
            <sz val="11"/>
            <color indexed="8"/>
            <rFont val="宋体"/>
            <family val="3"/>
            <charset val="134"/>
          </rPr>
          <t>作者</t>
        </r>
        <r>
          <rPr>
            <sz val="11"/>
            <color indexed="8"/>
            <rFont val="Helvetica Neue"/>
            <family val="2"/>
          </rPr>
          <t xml:space="preserve">:
</t>
        </r>
        <r>
          <rPr>
            <sz val="11"/>
            <color indexed="8"/>
            <rFont val="宋体"/>
            <family val="3"/>
            <charset val="134"/>
          </rPr>
          <t>作者</t>
        </r>
        <r>
          <rPr>
            <sz val="11"/>
            <color indexed="8"/>
            <rFont val="Helvetica Neue"/>
            <family val="2"/>
          </rPr>
          <t>:
0</t>
        </r>
        <r>
          <rPr>
            <sz val="11"/>
            <color indexed="8"/>
            <rFont val="宋体"/>
            <family val="3"/>
            <charset val="134"/>
          </rPr>
          <t xml:space="preserve">：不会出现任何随机属性
</t>
        </r>
        <r>
          <rPr>
            <sz val="11"/>
            <color indexed="8"/>
            <rFont val="Helvetica Neue"/>
            <family val="2"/>
          </rPr>
          <t>1</t>
        </r>
        <r>
          <rPr>
            <sz val="11"/>
            <color indexed="8"/>
            <rFont val="宋体"/>
            <family val="3"/>
            <charset val="134"/>
          </rPr>
          <t xml:space="preserve">：可出现随机属性
</t>
        </r>
        <r>
          <rPr>
            <sz val="11"/>
            <color indexed="8"/>
            <rFont val="Helvetica Neue"/>
            <family val="2"/>
          </rPr>
          <t xml:space="preserve">     </t>
        </r>
        <r>
          <rPr>
            <sz val="11"/>
            <color indexed="8"/>
            <rFont val="宋体"/>
            <family val="3"/>
            <charset val="134"/>
          </rPr>
          <t>攻击</t>
        </r>
        <r>
          <rPr>
            <sz val="11"/>
            <color indexed="8"/>
            <rFont val="Helvetica Neue"/>
            <family val="2"/>
          </rPr>
          <t xml:space="preserve">  </t>
        </r>
        <r>
          <rPr>
            <sz val="11"/>
            <color indexed="8"/>
            <rFont val="宋体"/>
            <family val="3"/>
            <charset val="134"/>
          </rPr>
          <t>物防</t>
        </r>
        <r>
          <rPr>
            <sz val="11"/>
            <color indexed="8"/>
            <rFont val="Helvetica Neue"/>
            <family val="2"/>
          </rPr>
          <t xml:space="preserve"> </t>
        </r>
        <r>
          <rPr>
            <sz val="11"/>
            <color indexed="8"/>
            <rFont val="宋体"/>
            <family val="3"/>
            <charset val="134"/>
          </rPr>
          <t xml:space="preserve">魔防
</t>
        </r>
        <r>
          <rPr>
            <sz val="11"/>
            <color indexed="8"/>
            <rFont val="Helvetica Neue"/>
            <family val="2"/>
          </rPr>
          <t>2</t>
        </r>
        <r>
          <rPr>
            <sz val="11"/>
            <color indexed="8"/>
            <rFont val="宋体"/>
            <family val="3"/>
            <charset val="134"/>
          </rPr>
          <t xml:space="preserve">：可出现随机属性
</t>
        </r>
        <r>
          <rPr>
            <sz val="11"/>
            <color indexed="8"/>
            <rFont val="Helvetica Neue"/>
            <family val="2"/>
          </rPr>
          <t xml:space="preserve">     </t>
        </r>
        <r>
          <rPr>
            <sz val="11"/>
            <color indexed="8"/>
            <rFont val="宋体"/>
            <family val="3"/>
            <charset val="134"/>
          </rPr>
          <t>生命</t>
        </r>
        <r>
          <rPr>
            <sz val="11"/>
            <color indexed="8"/>
            <rFont val="Helvetica Neue"/>
            <family val="2"/>
          </rPr>
          <t xml:space="preserve">  </t>
        </r>
        <r>
          <rPr>
            <sz val="11"/>
            <color indexed="8"/>
            <rFont val="宋体"/>
            <family val="3"/>
            <charset val="134"/>
          </rPr>
          <t>物防</t>
        </r>
        <r>
          <rPr>
            <sz val="11"/>
            <color indexed="8"/>
            <rFont val="Helvetica Neue"/>
            <family val="2"/>
          </rPr>
          <t xml:space="preserve"> </t>
        </r>
        <r>
          <rPr>
            <sz val="11"/>
            <color indexed="8"/>
            <rFont val="宋体"/>
            <family val="3"/>
            <charset val="134"/>
          </rPr>
          <t>魔防</t>
        </r>
        <r>
          <rPr>
            <sz val="11"/>
            <color indexed="8"/>
            <rFont val="Helvetica Neue"/>
            <family val="2"/>
          </rPr>
          <t xml:space="preserve">  </t>
        </r>
        <r>
          <rPr>
            <sz val="11"/>
            <color indexed="8"/>
            <rFont val="宋体"/>
            <family val="3"/>
            <charset val="134"/>
          </rPr>
          <t xml:space="preserve">攻击
</t>
        </r>
        <r>
          <rPr>
            <sz val="11"/>
            <color indexed="8"/>
            <rFont val="Helvetica Neue"/>
            <family val="2"/>
          </rPr>
          <t>3</t>
        </r>
        <r>
          <rPr>
            <sz val="11"/>
            <color indexed="8"/>
            <rFont val="宋体"/>
            <family val="3"/>
            <charset val="134"/>
          </rPr>
          <t xml:space="preserve">：可出现随机
</t>
        </r>
        <r>
          <rPr>
            <sz val="11"/>
            <color indexed="8"/>
            <rFont val="Helvetica Neue"/>
            <family val="2"/>
          </rPr>
          <t xml:space="preserve">     </t>
        </r>
        <r>
          <rPr>
            <sz val="11"/>
            <color indexed="8"/>
            <rFont val="宋体"/>
            <family val="3"/>
            <charset val="134"/>
          </rPr>
          <t xml:space="preserve">生命
</t>
        </r>
        <r>
          <rPr>
            <sz val="11"/>
            <color indexed="8"/>
            <rFont val="Helvetica Neue"/>
            <family val="2"/>
          </rPr>
          <t xml:space="preserve"> </t>
        </r>
      </text>
    </comment>
    <comment ref="H3" authorId="0" shapeId="0" xr:uid="{00000000-0006-0000-0000-000002000000}">
      <text>
        <r>
          <rPr>
            <sz val="11"/>
            <color indexed="8"/>
            <rFont val="Helvetica Neue"/>
            <family val="2"/>
          </rPr>
          <t>作者:
隐藏属性最大值,表示出现隐藏属性的最大值</t>
        </r>
      </text>
    </comment>
    <comment ref="AD3" authorId="1" shapeId="0" xr:uid="{00000000-0006-0000-0000-000003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0 显示  1不显示</t>
        </r>
      </text>
    </comment>
    <comment ref="AE3" authorId="0" shapeId="0" xr:uid="{00000000-0006-0000-0000-000004000000}">
      <text>
        <r>
          <rPr>
            <b/>
            <sz val="9"/>
            <rFont val="宋体"/>
            <family val="3"/>
            <charset val="134"/>
          </rPr>
          <t xml:space="preserve">RolePropertyAdd  增加角色属性
SkillPropertyAdd   增加技能属性
    //1.增加范围
    //2.技能伤害来源的攻击值系数,为1时表示造成100%攻击力的伤害
    //3.技能附加固定伤害值
    //4.减少冷却CD
    //5.技能持续时间
    //6.技能附加额外buff
BuffIdAdd   添加Buff属性
ReplaceSkillId  替换技能
SkillIdAdd 增加技能
BuffPropertyAdd 增加buff效果
1 buff属性值
2 buff持续时间
</t>
        </r>
      </text>
    </comment>
  </commentList>
</comments>
</file>

<file path=xl/sharedStrings.xml><?xml version="1.0" encoding="utf-8"?>
<sst xmlns="http://schemas.openxmlformats.org/spreadsheetml/2006/main" count="679" uniqueCount="490">
  <si>
    <t>#</t>
  </si>
  <si>
    <t>Id</t>
  </si>
  <si>
    <t>装备名称</t>
  </si>
  <si>
    <t>鉴定道具消耗</t>
  </si>
  <si>
    <t>套装ID</t>
  </si>
  <si>
    <t>隐藏属性类型</t>
  </si>
  <si>
    <t>隐藏属性最大值</t>
  </si>
  <si>
    <t>单条隐藏属性出现概率</t>
  </si>
  <si>
    <t>一级属性随机值</t>
  </si>
  <si>
    <t>初始宝石孔位</t>
  </si>
  <si>
    <t>血量</t>
  </si>
  <si>
    <t>最低攻击</t>
  </si>
  <si>
    <t>最高攻击</t>
  </si>
  <si>
    <t>最低防御</t>
  </si>
  <si>
    <t>最高防御</t>
  </si>
  <si>
    <t>暴击</t>
  </si>
  <si>
    <t>命中</t>
  </si>
  <si>
    <t>闪避</t>
  </si>
  <si>
    <t>伤害加成</t>
  </si>
  <si>
    <t>伤害减免</t>
  </si>
  <si>
    <t>速度</t>
  </si>
  <si>
    <t>幸运值</t>
  </si>
  <si>
    <t>附加属性类型</t>
  </si>
  <si>
    <t>附加属性值</t>
  </si>
  <si>
    <t>是否显示属性</t>
  </si>
  <si>
    <r>
      <rPr>
        <sz val="10"/>
        <color theme="0"/>
        <rFont val="Helvetica Neue"/>
        <family val="2"/>
      </rPr>
      <t>附加</t>
    </r>
  </si>
  <si>
    <t>ItemName</t>
  </si>
  <si>
    <t>AppraisalItem</t>
  </si>
  <si>
    <t>EquipSuitID</t>
  </si>
  <si>
    <t>HideType</t>
  </si>
  <si>
    <t>HideMax</t>
  </si>
  <si>
    <t>HideShowPro</t>
  </si>
  <si>
    <t>OneProRandomValue</t>
  </si>
  <si>
    <t>GemHole</t>
  </si>
  <si>
    <t>Equip_Hp</t>
  </si>
  <si>
    <t>Equip_MinAct</t>
  </si>
  <si>
    <t>Equip_MaxAct</t>
  </si>
  <si>
    <t>Equip_MinMagAct</t>
  </si>
  <si>
    <t>Equip_MaxMagAct</t>
  </si>
  <si>
    <t>Equip_MinDef</t>
  </si>
  <si>
    <t>Equip_MaxDef</t>
  </si>
  <si>
    <t>Equip_MinAdf</t>
  </si>
  <si>
    <t>Equip_MaxAdf</t>
  </si>
  <si>
    <t>Equip_Cri</t>
  </si>
  <si>
    <t>Equip_Hit</t>
  </si>
  <si>
    <t>Equip_Dodge</t>
  </si>
  <si>
    <t>Equip_DamgeAdd</t>
  </si>
  <si>
    <t>Equip_DamgeSub</t>
  </si>
  <si>
    <t>Equip_Speed</t>
  </si>
  <si>
    <t>Equip_Lucky</t>
  </si>
  <si>
    <t>AddPropreListType</t>
  </si>
  <si>
    <t>AddPropreListValue</t>
  </si>
  <si>
    <t>AddPropreListIfShow</t>
  </si>
  <si>
    <t>TianFuId</t>
  </si>
  <si>
    <t>int</t>
  </si>
  <si>
    <t>string</t>
  </si>
  <si>
    <t>double</t>
  </si>
  <si>
    <t>int[]</t>
  </si>
  <si>
    <t>long[]</t>
  </si>
  <si>
    <t>测试专用武器1</t>
  </si>
  <si>
    <t>测试专用武器2</t>
  </si>
  <si>
    <t>智力之石</t>
  </si>
  <si>
    <t>105301,120701</t>
  </si>
  <si>
    <t>20,30</t>
  </si>
  <si>
    <t>0,0</t>
  </si>
  <si>
    <t>力量之石</t>
  </si>
  <si>
    <t>105101,120601</t>
  </si>
  <si>
    <t>灵魂之石</t>
  </si>
  <si>
    <t>30,50</t>
  </si>
  <si>
    <t>试炼之石</t>
  </si>
  <si>
    <t>光灵之石</t>
  </si>
  <si>
    <t>50,80</t>
  </si>
  <si>
    <t>勇猛之石</t>
  </si>
  <si>
    <t>圣焰之剑</t>
  </si>
  <si>
    <t>远古王者之刃</t>
  </si>
  <si>
    <t>天堂的权杖</t>
  </si>
  <si>
    <t>时光能量魔法</t>
  </si>
  <si>
    <t>魔焰神弓</t>
  </si>
  <si>
    <t>小木盔</t>
  </si>
  <si>
    <t>玄木头盔</t>
  </si>
  <si>
    <t>迅影头盔</t>
  </si>
  <si>
    <t>勇气之盔</t>
  </si>
  <si>
    <t>布巾</t>
  </si>
  <si>
    <t>暗影头盔</t>
  </si>
  <si>
    <t>灵纹头盔</t>
  </si>
  <si>
    <t>暴灵之盔</t>
  </si>
  <si>
    <t>铁盔</t>
  </si>
  <si>
    <t>精钢头盔</t>
  </si>
  <si>
    <t>战灵头盔</t>
  </si>
  <si>
    <t>英勇之盔</t>
  </si>
  <si>
    <t>皮质手套</t>
  </si>
  <si>
    <t>轻灵手套</t>
  </si>
  <si>
    <t>迅影手套</t>
  </si>
  <si>
    <t>勇气之手</t>
  </si>
  <si>
    <t>布料手套</t>
  </si>
  <si>
    <t>长者手套</t>
  </si>
  <si>
    <t>灵纹手套</t>
  </si>
  <si>
    <t>暴灵之手</t>
  </si>
  <si>
    <t>铁手套</t>
  </si>
  <si>
    <t>玄铁手套</t>
  </si>
  <si>
    <t>战灵手套</t>
  </si>
  <si>
    <t>英勇之手</t>
  </si>
  <si>
    <t>幸运者之手</t>
  </si>
  <si>
    <t>皮质腰带</t>
  </si>
  <si>
    <r>
      <rPr>
        <sz val="10"/>
        <color rgb="FF0070C0"/>
        <rFont val="宋体"/>
        <family val="3"/>
        <charset val="134"/>
      </rPr>
      <t>大地</t>
    </r>
    <r>
      <rPr>
        <sz val="10"/>
        <color rgb="FF0070C0"/>
        <rFont val="Helvetica Neue"/>
        <family val="2"/>
      </rPr>
      <t>腰带</t>
    </r>
  </si>
  <si>
    <t>迅影腰带</t>
  </si>
  <si>
    <t>勇气之带</t>
  </si>
  <si>
    <t>布腰带</t>
  </si>
  <si>
    <r>
      <rPr>
        <sz val="10"/>
        <color rgb="FF0070C0"/>
        <rFont val="宋体"/>
        <family val="3"/>
        <charset val="134"/>
      </rPr>
      <t>生命</t>
    </r>
    <r>
      <rPr>
        <sz val="10"/>
        <color rgb="FF0070C0"/>
        <rFont val="Helvetica Neue"/>
        <family val="2"/>
      </rPr>
      <t>腰带</t>
    </r>
  </si>
  <si>
    <t>灵纹腰带</t>
  </si>
  <si>
    <t>暴灵之带</t>
  </si>
  <si>
    <t>铜腰带</t>
  </si>
  <si>
    <r>
      <rPr>
        <sz val="10"/>
        <color rgb="FF0070C0"/>
        <rFont val="宋体"/>
        <family val="3"/>
        <charset val="134"/>
      </rPr>
      <t>钢铁</t>
    </r>
    <r>
      <rPr>
        <sz val="10"/>
        <color rgb="FF0070C0"/>
        <rFont val="Helvetica Neue"/>
        <family val="2"/>
      </rPr>
      <t>腰带</t>
    </r>
  </si>
  <si>
    <t>战灵腰带</t>
  </si>
  <si>
    <t>英勇之带</t>
  </si>
  <si>
    <t>消逝者的腰带</t>
  </si>
  <si>
    <t>皮质靴子</t>
  </si>
  <si>
    <t>银光靴</t>
  </si>
  <si>
    <t>迅影靴子</t>
  </si>
  <si>
    <t>勇气之靴</t>
  </si>
  <si>
    <t>布靴</t>
  </si>
  <si>
    <t>宝石靴子</t>
  </si>
  <si>
    <t>灵纹靴子</t>
  </si>
  <si>
    <t>暴灵之靴</t>
  </si>
  <si>
    <t>岩石靴子</t>
  </si>
  <si>
    <t>力量战靴</t>
  </si>
  <si>
    <t>战灵靴子</t>
  </si>
  <si>
    <t>英勇之靴</t>
  </si>
  <si>
    <t>皮质护腿</t>
  </si>
  <si>
    <t>暴风长裤</t>
  </si>
  <si>
    <t>迅影护腿</t>
  </si>
  <si>
    <t>勇气之腿</t>
  </si>
  <si>
    <t>麻布护腿</t>
  </si>
  <si>
    <t>火焰长裤</t>
  </si>
  <si>
    <t>灵纹护腿</t>
  </si>
  <si>
    <t>暴灵之腿</t>
  </si>
  <si>
    <t>矿工护腿</t>
  </si>
  <si>
    <t>力量长裤</t>
  </si>
  <si>
    <t>战灵护腿</t>
  </si>
  <si>
    <t>英勇之腿</t>
  </si>
  <si>
    <t>银项链</t>
  </si>
  <si>
    <t>魔灵铃铛</t>
  </si>
  <si>
    <t>精灵之链</t>
  </si>
  <si>
    <t>疾风之链</t>
  </si>
  <si>
    <t>传承:新月神链</t>
  </si>
  <si>
    <t>呼唤狼王之链</t>
  </si>
  <si>
    <t>银戒指</t>
  </si>
  <si>
    <t>精金戒指</t>
  </si>
  <si>
    <r>
      <rPr>
        <sz val="10"/>
        <color rgb="FF0070C0"/>
        <rFont val="宋体"/>
        <family val="3"/>
        <charset val="134"/>
      </rPr>
      <t>树王</t>
    </r>
    <r>
      <rPr>
        <sz val="10"/>
        <color rgb="FF0070C0"/>
        <rFont val="Helvetica Neue"/>
        <family val="2"/>
      </rPr>
      <t>戒指</t>
    </r>
  </si>
  <si>
    <t>疾风之戒</t>
  </si>
  <si>
    <t>治愈之秋</t>
  </si>
  <si>
    <t>森之精灵</t>
  </si>
  <si>
    <t>疾风之灵</t>
  </si>
  <si>
    <t>魔法冲击之石</t>
  </si>
  <si>
    <t>耐力护符</t>
  </si>
  <si>
    <t>森林护符</t>
  </si>
  <si>
    <t>疾风之符</t>
  </si>
  <si>
    <t>咏歌者护符</t>
  </si>
  <si>
    <t>短木剑</t>
  </si>
  <si>
    <t>精金剑</t>
  </si>
  <si>
    <t>战灵战刃</t>
  </si>
  <si>
    <t>疾风之剑</t>
  </si>
  <si>
    <t>钢刀</t>
  </si>
  <si>
    <t>精钢刀</t>
  </si>
  <si>
    <t>战灵之刃</t>
  </si>
  <si>
    <t>疾风之刀</t>
  </si>
  <si>
    <r>
      <rPr>
        <sz val="10"/>
        <color theme="1"/>
        <rFont val="Helvetica Neue"/>
        <family val="2"/>
      </rPr>
      <t>传承</t>
    </r>
    <r>
      <rPr>
        <sz val="10"/>
        <color theme="1"/>
        <rFont val="Helvetica Neue"/>
        <family val="2"/>
      </rPr>
      <t>:</t>
    </r>
    <r>
      <rPr>
        <sz val="10"/>
        <color theme="1"/>
        <rFont val="Helvetica Neue"/>
        <family val="2"/>
      </rPr>
      <t>勇者的无畏</t>
    </r>
  </si>
  <si>
    <t>传承:勇者的意志</t>
  </si>
  <si>
    <t>劣质木弓</t>
  </si>
  <si>
    <t>精制弓</t>
  </si>
  <si>
    <t>风灵之弓</t>
  </si>
  <si>
    <t>森灵之弓</t>
  </si>
  <si>
    <t>传承:鱼骨神弓</t>
  </si>
  <si>
    <t>小皮衣</t>
  </si>
  <si>
    <t>妖灵护甲</t>
  </si>
  <si>
    <t>迅影护甲</t>
  </si>
  <si>
    <t>勇气之甲</t>
  </si>
  <si>
    <t>麻布衣</t>
  </si>
  <si>
    <t>符文护甲</t>
  </si>
  <si>
    <t>灵纹护甲</t>
  </si>
  <si>
    <t>暴灵之甲</t>
  </si>
  <si>
    <t>重盔甲</t>
  </si>
  <si>
    <t>玄铁战甲</t>
  </si>
  <si>
    <t>战灵护甲</t>
  </si>
  <si>
    <t>英勇之甲</t>
  </si>
  <si>
    <t>传承:疾风者的疯狂</t>
  </si>
  <si>
    <t>传承:圣域的记忆</t>
  </si>
  <si>
    <t>传承:米希尔之力</t>
  </si>
  <si>
    <t>轻风头盔</t>
  </si>
  <si>
    <t>命运之盔</t>
  </si>
  <si>
    <t>魔法头盔</t>
  </si>
  <si>
    <t>魔光之盔</t>
  </si>
  <si>
    <t>重力头盔</t>
  </si>
  <si>
    <t>熔铸之盔</t>
  </si>
  <si>
    <t>轻风手套</t>
  </si>
  <si>
    <t>命运之手</t>
  </si>
  <si>
    <t>魔法手套</t>
  </si>
  <si>
    <t>魔光之手</t>
  </si>
  <si>
    <t>重力手套</t>
  </si>
  <si>
    <t>熔铸之手</t>
  </si>
  <si>
    <t>轻风腰带</t>
  </si>
  <si>
    <t>命运之带</t>
  </si>
  <si>
    <t>魔法腰带</t>
  </si>
  <si>
    <t>魔光之带</t>
  </si>
  <si>
    <t>重力腰带</t>
  </si>
  <si>
    <t>熔铸之带</t>
  </si>
  <si>
    <t>轻风靴子</t>
  </si>
  <si>
    <t>命运之靴</t>
  </si>
  <si>
    <t>魔法靴子</t>
  </si>
  <si>
    <t>魔光之靴</t>
  </si>
  <si>
    <t>重力靴子</t>
  </si>
  <si>
    <t>熔铸之靴</t>
  </si>
  <si>
    <t>轻风护腿</t>
  </si>
  <si>
    <t>命运之腿</t>
  </si>
  <si>
    <t>魔法护腿</t>
  </si>
  <si>
    <t>魔光之腿</t>
  </si>
  <si>
    <t>重力护腿</t>
  </si>
  <si>
    <t>熔铸之腿</t>
  </si>
  <si>
    <t>破军冲锋护腿</t>
  </si>
  <si>
    <t>暗光项链</t>
  </si>
  <si>
    <t>幽光之链</t>
  </si>
  <si>
    <t>传承:恒心使徒的魔链</t>
  </si>
  <si>
    <t>守护之戒</t>
  </si>
  <si>
    <t>幽光之戒</t>
  </si>
  <si>
    <t>追光狩猎之戒</t>
  </si>
  <si>
    <t>幽光之灵</t>
  </si>
  <si>
    <t>燃烧之火</t>
  </si>
  <si>
    <t>星之护符</t>
  </si>
  <si>
    <t>幽光之符</t>
  </si>
  <si>
    <t>闪电灵巧护符</t>
  </si>
  <si>
    <t>轻风剑</t>
  </si>
  <si>
    <t>幽光之剑</t>
  </si>
  <si>
    <t>云清刃</t>
  </si>
  <si>
    <t>幽光战刃</t>
  </si>
  <si>
    <t>传承:碧蓝之歌</t>
  </si>
  <si>
    <t>传承:有坚不摧之力</t>
  </si>
  <si>
    <t>弯月弓</t>
  </si>
  <si>
    <t>流光之弓</t>
  </si>
  <si>
    <t>传承:漠灵之弓</t>
  </si>
  <si>
    <t>轻风护甲</t>
  </si>
  <si>
    <t>命运之甲</t>
  </si>
  <si>
    <t>魔法护甲</t>
  </si>
  <si>
    <t>魔光之甲</t>
  </si>
  <si>
    <t>重力护甲</t>
  </si>
  <si>
    <t>熔铸之甲</t>
  </si>
  <si>
    <t>传承:光之怒</t>
  </si>
  <si>
    <t>传承:神灵启示者</t>
  </si>
  <si>
    <t>传承:降魔护卫者</t>
  </si>
  <si>
    <t>赤影头盔</t>
  </si>
  <si>
    <t>怒风之盔</t>
  </si>
  <si>
    <t>闪电头盔</t>
  </si>
  <si>
    <t>信念之盔</t>
  </si>
  <si>
    <t>巨兵头盔</t>
  </si>
  <si>
    <t>雷霆之盔</t>
  </si>
  <si>
    <t>赤影手套</t>
  </si>
  <si>
    <t>怒风之手</t>
  </si>
  <si>
    <t>闪电手套</t>
  </si>
  <si>
    <t>信念之手</t>
  </si>
  <si>
    <t>巨兵手套</t>
  </si>
  <si>
    <t>雷霆之手</t>
  </si>
  <si>
    <t>速之灵手套</t>
  </si>
  <si>
    <t>赤影腰带</t>
  </si>
  <si>
    <t>怒风之带</t>
  </si>
  <si>
    <t>闪电腰带</t>
  </si>
  <si>
    <t>信念之带</t>
  </si>
  <si>
    <t>巨兵腰带</t>
  </si>
  <si>
    <t>雷霆之带</t>
  </si>
  <si>
    <t>赤影靴子</t>
  </si>
  <si>
    <t>怒风之靴</t>
  </si>
  <si>
    <t>闪电靴子</t>
  </si>
  <si>
    <t>信念之靴</t>
  </si>
  <si>
    <t>巨兵靴子</t>
  </si>
  <si>
    <t>雷霆之靴</t>
  </si>
  <si>
    <t>赤影护腿</t>
  </si>
  <si>
    <t>怒风之腿</t>
  </si>
  <si>
    <t>闪电护腿</t>
  </si>
  <si>
    <t>信念之腿</t>
  </si>
  <si>
    <t>巨兵护腿</t>
  </si>
  <si>
    <t>雷霆之腿</t>
  </si>
  <si>
    <t>灰烬之链</t>
  </si>
  <si>
    <t>传承:末日的启示者</t>
  </si>
  <si>
    <t>树王戒指</t>
  </si>
  <si>
    <t>灰烬之戒</t>
  </si>
  <si>
    <t>灰烬之灵</t>
  </si>
  <si>
    <t>守护者的准则</t>
  </si>
  <si>
    <t>禁术召唤</t>
  </si>
  <si>
    <t>灰烬之符</t>
  </si>
  <si>
    <t>赤影剑</t>
  </si>
  <si>
    <t>灰烬之剑</t>
  </si>
  <si>
    <t>影刀</t>
  </si>
  <si>
    <t>灰烬战刃</t>
  </si>
  <si>
    <t>传承:寒冰使者的佩剑</t>
  </si>
  <si>
    <t>传承:黎明的护卫者</t>
  </si>
  <si>
    <t>精钢弓</t>
  </si>
  <si>
    <t>冰封之弓</t>
  </si>
  <si>
    <t>传承:雪人的呼唤</t>
  </si>
  <si>
    <t>赤影护甲</t>
  </si>
  <si>
    <t>怒风之甲</t>
  </si>
  <si>
    <t>闪电护甲</t>
  </si>
  <si>
    <t>信念之甲</t>
  </si>
  <si>
    <t>巨兵护甲</t>
  </si>
  <si>
    <t>雷霆之甲</t>
  </si>
  <si>
    <t>传承:正义的呼唤</t>
  </si>
  <si>
    <t>传承:暴灵的守护</t>
  </si>
  <si>
    <t>传承:神官的黄昏</t>
  </si>
  <si>
    <t>先锋头盔</t>
  </si>
  <si>
    <t>苍穹之盔</t>
  </si>
  <si>
    <t>寂静头盔</t>
  </si>
  <si>
    <t>神谕之盔</t>
  </si>
  <si>
    <t>守护头盔</t>
  </si>
  <si>
    <t>龙脊之盔</t>
  </si>
  <si>
    <t>战斗爆裂头盔</t>
  </si>
  <si>
    <t>先锋手套</t>
  </si>
  <si>
    <t>苍穹之手</t>
  </si>
  <si>
    <t>寂静手套</t>
  </si>
  <si>
    <t>神谕之手</t>
  </si>
  <si>
    <t>守护手套</t>
  </si>
  <si>
    <t>龙脊之手</t>
  </si>
  <si>
    <t>先锋腰带</t>
  </si>
  <si>
    <t>苍穹之带</t>
  </si>
  <si>
    <t>寂静腰带</t>
  </si>
  <si>
    <t>神谕之带</t>
  </si>
  <si>
    <t>守护腰带</t>
  </si>
  <si>
    <t>龙脊之带</t>
  </si>
  <si>
    <t>先锋靴子</t>
  </si>
  <si>
    <t>苍穹之靴</t>
  </si>
  <si>
    <t>寂静靴子</t>
  </si>
  <si>
    <t>神谕之靴</t>
  </si>
  <si>
    <t>守护靴子</t>
  </si>
  <si>
    <t>龙脊之靴</t>
  </si>
  <si>
    <t>先锋护腿</t>
  </si>
  <si>
    <t>苍穹之腿</t>
  </si>
  <si>
    <t>寂静护腿</t>
  </si>
  <si>
    <t>神谕之腿</t>
  </si>
  <si>
    <t>守护护腿</t>
  </si>
  <si>
    <t>龙脊之腿</t>
  </si>
  <si>
    <t>星云项链</t>
  </si>
  <si>
    <t>幻影之链</t>
  </si>
  <si>
    <t>传承:女王项链</t>
  </si>
  <si>
    <t>启航之戒</t>
  </si>
  <si>
    <t>幻影之戒</t>
  </si>
  <si>
    <t>无尽时光戒指</t>
  </si>
  <si>
    <t>幻影之灵</t>
  </si>
  <si>
    <t>神圣战斗之锚</t>
  </si>
  <si>
    <t>星云护符</t>
  </si>
  <si>
    <t>幻影之符</t>
  </si>
  <si>
    <t>先锋剑</t>
  </si>
  <si>
    <t>幻影之剑</t>
  </si>
  <si>
    <t>坚壁刀</t>
  </si>
  <si>
    <t>传承:黑暗毁灭者</t>
  </si>
  <si>
    <t>传承:末日的决战</t>
  </si>
  <si>
    <t>传承:堕落的使者</t>
  </si>
  <si>
    <t>传承:上层精灵的魔法</t>
  </si>
  <si>
    <t>先锋护甲</t>
  </si>
  <si>
    <t>苍穹之甲</t>
  </si>
  <si>
    <t>寂静护甲</t>
  </si>
  <si>
    <t>神谕之甲</t>
  </si>
  <si>
    <t>守护护甲</t>
  </si>
  <si>
    <t>龙脊之甲</t>
  </si>
  <si>
    <t>传承:尽头之声</t>
  </si>
  <si>
    <t>传承:天籁长袍</t>
  </si>
  <si>
    <t>传承:不败的意志</t>
  </si>
  <si>
    <t>雷鸣头盔</t>
  </si>
  <si>
    <t>灵犀之盔</t>
  </si>
  <si>
    <t>元素头盔</t>
  </si>
  <si>
    <t>黑月之盔</t>
  </si>
  <si>
    <t>赤心头盔</t>
  </si>
  <si>
    <t>神官之盔</t>
  </si>
  <si>
    <t>雷鸣手套</t>
  </si>
  <si>
    <t>灵犀之手</t>
  </si>
  <si>
    <t>元素手套</t>
  </si>
  <si>
    <t>黑月之手</t>
  </si>
  <si>
    <t>赤心手套</t>
  </si>
  <si>
    <t>神官之手</t>
  </si>
  <si>
    <t>雷鸣腰带</t>
  </si>
  <si>
    <t>灵犀之带</t>
  </si>
  <si>
    <t>元素腰带</t>
  </si>
  <si>
    <t>黑月之带</t>
  </si>
  <si>
    <t>赤心腰带</t>
  </si>
  <si>
    <t>神官之带</t>
  </si>
  <si>
    <t>重力灵犀腰带</t>
  </si>
  <si>
    <t>雷鸣靴子</t>
  </si>
  <si>
    <t>灵犀之靴</t>
  </si>
  <si>
    <t>元素靴子</t>
  </si>
  <si>
    <t>黑月之靴</t>
  </si>
  <si>
    <t>赤心靴子</t>
  </si>
  <si>
    <t>神官之靴</t>
  </si>
  <si>
    <t>雷鸣护腿</t>
  </si>
  <si>
    <t>灵犀之腿</t>
  </si>
  <si>
    <t>元素护腿</t>
  </si>
  <si>
    <t>黑月之腿</t>
  </si>
  <si>
    <t>赤心护腿</t>
  </si>
  <si>
    <t>神官之腿</t>
  </si>
  <si>
    <t>红炎之链</t>
  </si>
  <si>
    <t>圣灵之链</t>
  </si>
  <si>
    <t>传承:力量的召唤</t>
  </si>
  <si>
    <t>领域戒指</t>
  </si>
  <si>
    <t>圣灵之戒</t>
  </si>
  <si>
    <t>雷鸣攻击之戒</t>
  </si>
  <si>
    <t>圣灵之灵</t>
  </si>
  <si>
    <t>图腾之灵</t>
  </si>
  <si>
    <t>迷之护符</t>
  </si>
  <si>
    <t>圣灵之符</t>
  </si>
  <si>
    <t>生命永恒之符</t>
  </si>
  <si>
    <t>雷鸣剑</t>
  </si>
  <si>
    <t>圣灵之剑</t>
  </si>
  <si>
    <t>闪电刀</t>
  </si>
  <si>
    <t>圣灵战刃</t>
  </si>
  <si>
    <t>传承:圣焰之剑</t>
  </si>
  <si>
    <t>传承:远古王者之刃</t>
  </si>
  <si>
    <t>传承:天堂的权杖</t>
  </si>
  <si>
    <t>传承:时光能量魔法</t>
  </si>
  <si>
    <t>灵力弓</t>
  </si>
  <si>
    <t>炙热之弓</t>
  </si>
  <si>
    <t>传承:魔焰神弓</t>
  </si>
  <si>
    <t>雷鸣护甲</t>
  </si>
  <si>
    <t>灵犀之甲</t>
  </si>
  <si>
    <t>元素护甲</t>
  </si>
  <si>
    <t>黑月之甲</t>
  </si>
  <si>
    <t>赤心护甲</t>
  </si>
  <si>
    <t xml:space="preserve"> 神官之甲</t>
  </si>
  <si>
    <t>传承:噩梦裁决者</t>
  </si>
  <si>
    <t>传承:祝福者外衣</t>
  </si>
  <si>
    <t>传承:怒之烈焰</t>
  </si>
  <si>
    <t>史诗:炙热之弓</t>
  </si>
  <si>
    <t>传承史诗:支配之弓</t>
  </si>
  <si>
    <t>子·鼠</t>
  </si>
  <si>
    <t>丑·牛</t>
  </si>
  <si>
    <t>寅·虎</t>
  </si>
  <si>
    <t>卯·兔</t>
  </si>
  <si>
    <t>辰·龙</t>
  </si>
  <si>
    <t>105501,105401</t>
  </si>
  <si>
    <t>1,1</t>
  </si>
  <si>
    <t>巳·蛇</t>
  </si>
  <si>
    <t>105301,105201</t>
  </si>
  <si>
    <t>午·马</t>
  </si>
  <si>
    <t>105101,105401</t>
  </si>
  <si>
    <t>未·羊</t>
  </si>
  <si>
    <t>105501,105201</t>
  </si>
  <si>
    <t>申·猴</t>
  </si>
  <si>
    <t>酉·鸡</t>
  </si>
  <si>
    <t>105101,105201</t>
  </si>
  <si>
    <t>戌·狗</t>
  </si>
  <si>
    <t>105501,105301</t>
  </si>
  <si>
    <t>亥·猪</t>
  </si>
  <si>
    <t>105301,105401</t>
  </si>
  <si>
    <t>子鼠·破晓</t>
  </si>
  <si>
    <t>丑牛·破风</t>
  </si>
  <si>
    <t>寅虎·破军</t>
  </si>
  <si>
    <t>卯兔·洪流</t>
  </si>
  <si>
    <t>辰龙·挽歌</t>
  </si>
  <si>
    <t>5,5</t>
  </si>
  <si>
    <t>巳蛇·逐风</t>
  </si>
  <si>
    <t>午马·利刃</t>
  </si>
  <si>
    <t>未羊·战魂</t>
  </si>
  <si>
    <t>申猴·清风</t>
  </si>
  <si>
    <t>酉鸡·天刺</t>
  </si>
  <si>
    <t>戌狗·惊鸿</t>
  </si>
  <si>
    <t>亥猪·寒裂</t>
  </si>
  <si>
    <t>子鼠·天启</t>
  </si>
  <si>
    <t>丑牛·天正</t>
  </si>
  <si>
    <t>寅虎·天罡</t>
  </si>
  <si>
    <t>卯兔·白鸿</t>
  </si>
  <si>
    <t>辰龙·紫金</t>
  </si>
  <si>
    <t>10,10</t>
  </si>
  <si>
    <t>巳蛇·修罗</t>
  </si>
  <si>
    <t>午马·金甲</t>
  </si>
  <si>
    <t>未羊·苍穹</t>
  </si>
  <si>
    <t>申猴·龙牙</t>
  </si>
  <si>
    <t>酉鸡·漠灵</t>
  </si>
  <si>
    <t>戌狗·无尽</t>
  </si>
  <si>
    <t>亥猪·焚天</t>
  </si>
  <si>
    <t>子鼠·破晓天启</t>
  </si>
  <si>
    <t>丑牛·破风天正</t>
  </si>
  <si>
    <t>寅虎·破军天罡</t>
  </si>
  <si>
    <t>卯兔·洪流白鸿</t>
  </si>
  <si>
    <t>辰龙·挽歌紫金</t>
  </si>
  <si>
    <t>13,13</t>
  </si>
  <si>
    <t>巳蛇·逐风修罗</t>
  </si>
  <si>
    <t>午马·利刃金甲</t>
  </si>
  <si>
    <t>未羊·战魂苍穹</t>
  </si>
  <si>
    <t>申猴·清风龙牙</t>
  </si>
  <si>
    <t>酉鸡·天刺漠灵</t>
  </si>
  <si>
    <t>戌狗·惊鸿无尽</t>
  </si>
  <si>
    <t>亥猪·寒裂焚天</t>
  </si>
  <si>
    <t>赛季晶核1</t>
  </si>
  <si>
    <t>宠物:翠玉颈环</t>
  </si>
  <si>
    <t>宠物:翠玉护腕</t>
  </si>
  <si>
    <t>宠物:翠玉坠饰</t>
  </si>
  <si>
    <t>宠物:翠玉装甲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</si>
</sst>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6">
    <font>
      <sz val="11"/>
      <color indexed="8"/>
      <name val="宋体"/>
      <charset val="134"/>
    </font>
    <font>
      <sz val="9"/>
      <color theme="1"/>
      <name val="微软雅黑"/>
      <family val="2"/>
      <charset val="134"/>
    </font>
    <font>
      <sz val="11"/>
      <name val="宋体"/>
      <family val="3"/>
      <charset val="134"/>
    </font>
    <font>
      <b/>
      <sz val="9"/>
      <color theme="1"/>
      <name val="微软雅黑"/>
      <family val="2"/>
      <charset val="134"/>
    </font>
    <font>
      <sz val="10"/>
      <color indexed="9"/>
      <name val="宋体"/>
      <family val="3"/>
      <charset val="134"/>
    </font>
    <font>
      <sz val="10"/>
      <color theme="1"/>
      <name val="Helvetica Neue"/>
      <family val="2"/>
      <scheme val="minor"/>
    </font>
    <font>
      <sz val="10"/>
      <name val="微软雅黑"/>
      <family val="2"/>
      <charset val="134"/>
    </font>
    <font>
      <sz val="10"/>
      <name val="Helvetica Neue"/>
      <family val="2"/>
      <scheme val="minor"/>
    </font>
    <font>
      <sz val="10"/>
      <color theme="1"/>
      <name val="微软雅黑"/>
      <family val="2"/>
      <charset val="134"/>
    </font>
    <font>
      <sz val="10"/>
      <color indexed="8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color theme="0"/>
      <name val="Helvetica Neue"/>
      <family val="2"/>
      <scheme val="minor"/>
    </font>
    <font>
      <sz val="10"/>
      <color theme="1"/>
      <name val="Helvetica Neue"/>
      <family val="2"/>
      <scheme val="minor"/>
    </font>
    <font>
      <sz val="10"/>
      <color rgb="FFFF0000"/>
      <name val="Helvetica Neue"/>
      <family val="2"/>
      <scheme val="minor"/>
    </font>
    <font>
      <sz val="11"/>
      <color theme="1"/>
      <name val="Helvetica Neue"/>
      <family val="2"/>
      <scheme val="minor"/>
    </font>
    <font>
      <sz val="11"/>
      <color theme="1"/>
      <name val="Tahoma"/>
      <family val="2"/>
    </font>
    <font>
      <sz val="11"/>
      <color indexed="8"/>
      <name val="宋体"/>
      <family val="3"/>
      <charset val="134"/>
    </font>
    <font>
      <sz val="11"/>
      <color indexed="8"/>
      <name val="Helvetica Neue"/>
      <family val="2"/>
      <scheme val="minor"/>
    </font>
    <font>
      <sz val="10"/>
      <color rgb="FF0070C0"/>
      <name val="宋体"/>
      <family val="3"/>
      <charset val="134"/>
    </font>
    <font>
      <sz val="10"/>
      <color rgb="FF0070C0"/>
      <name val="Helvetica Neue"/>
      <family val="2"/>
    </font>
    <font>
      <sz val="10"/>
      <color theme="1"/>
      <name val="Helvetica Neue"/>
      <family val="2"/>
    </font>
    <font>
      <sz val="10"/>
      <color theme="0"/>
      <name val="Helvetica Neue"/>
      <family val="2"/>
    </font>
    <font>
      <sz val="11"/>
      <color indexed="8"/>
      <name val="Helvetica Neue"/>
      <family val="2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0"/>
      <name val="Helvetica Neue"/>
      <family val="3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7" tint="0.399945066682943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theme="0" tint="-0.14978484450819421"/>
        <bgColor indexed="64"/>
      </patternFill>
    </fill>
    <fill>
      <patternFill patternType="solid">
        <fgColor theme="0" tint="-0.1498153630176702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87777336954863"/>
        <bgColor indexed="64"/>
      </patternFill>
    </fill>
    <fill>
      <patternFill patternType="solid">
        <fgColor theme="0" tint="-0.14947965941343425"/>
        <bgColor indexed="64"/>
      </patternFill>
    </fill>
    <fill>
      <patternFill patternType="solid">
        <fgColor theme="0" tint="-0.14886928922391429"/>
        <bgColor indexed="64"/>
      </patternFill>
    </fill>
    <fill>
      <patternFill patternType="solid">
        <fgColor theme="4" tint="0.79976805932798245"/>
        <bgColor indexed="64"/>
      </patternFill>
    </fill>
    <fill>
      <patternFill patternType="solid">
        <fgColor theme="4" tint="0.79979857783745845"/>
        <bgColor indexed="64"/>
      </patternFill>
    </fill>
    <fill>
      <patternFill patternType="solid">
        <fgColor theme="5" tint="0.79976805932798245"/>
        <bgColor indexed="64"/>
      </patternFill>
    </fill>
    <fill>
      <patternFill patternType="solid">
        <fgColor theme="5" tint="0.79979857783745845"/>
        <bgColor indexed="64"/>
      </patternFill>
    </fill>
    <fill>
      <patternFill patternType="solid">
        <fgColor theme="6" tint="0.79976805932798245"/>
        <bgColor indexed="64"/>
      </patternFill>
    </fill>
    <fill>
      <patternFill patternType="solid">
        <fgColor theme="6" tint="0.79979857783745845"/>
        <bgColor indexed="64"/>
      </patternFill>
    </fill>
    <fill>
      <patternFill patternType="solid">
        <fgColor theme="7" tint="0.79976805932798245"/>
        <bgColor indexed="64"/>
      </patternFill>
    </fill>
    <fill>
      <patternFill patternType="solid">
        <fgColor theme="7" tint="0.79979857783745845"/>
        <bgColor indexed="64"/>
      </patternFill>
    </fill>
    <fill>
      <patternFill patternType="solid">
        <fgColor theme="8" tint="0.79976805932798245"/>
        <bgColor indexed="64"/>
      </patternFill>
    </fill>
    <fill>
      <patternFill patternType="solid">
        <fgColor theme="8" tint="0.79979857783745845"/>
        <bgColor indexed="64"/>
      </patternFill>
    </fill>
    <fill>
      <patternFill patternType="solid">
        <fgColor theme="9" tint="0.79976805932798245"/>
        <bgColor indexed="64"/>
      </patternFill>
    </fill>
    <fill>
      <patternFill patternType="solid">
        <fgColor theme="9" tint="0.7997985778374584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0.14856410412915433"/>
        <bgColor indexed="64"/>
      </patternFill>
    </fill>
  </fills>
  <borders count="13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hair">
        <color indexed="12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11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979247413556324"/>
      </bottom>
      <diagonal/>
    </border>
    <border>
      <left style="hair">
        <color theme="1" tint="0.499984740745262"/>
      </left>
      <right style="hair">
        <color theme="1" tint="0.499984740745262"/>
      </right>
      <top/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hair">
        <color indexed="12"/>
      </left>
      <right style="hair">
        <color indexed="12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26">
    <xf numFmtId="0" fontId="0" fillId="0" borderId="0" applyNumberFormat="0" applyFill="0" applyBorder="0" applyProtection="0"/>
    <xf numFmtId="0" fontId="14" fillId="14" borderId="0" applyNumberFormat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14" fillId="17" borderId="0" applyNumberFormat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14" fillId="17" borderId="0" applyNumberFormat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14" fillId="17" borderId="0" applyNumberFormat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14" fillId="17" borderId="0" applyNumberFormat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14" fillId="17" borderId="0" applyNumberFormat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14" fillId="17" borderId="0" applyNumberFormat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14" fillId="17" borderId="0" applyNumberFormat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14" fillId="23" borderId="0" applyNumberFormat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14" fillId="23" borderId="0" applyNumberFormat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14" fillId="23" borderId="0" applyNumberFormat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14" fillId="23" borderId="0" applyNumberFormat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14" fillId="23" borderId="0" applyNumberFormat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14" fillId="23" borderId="0" applyNumberFormat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14" fillId="23" borderId="0" applyNumberFormat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14" fillId="25" borderId="0" applyNumberFormat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14" fillId="25" borderId="0" applyNumberFormat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14" fillId="25" borderId="0" applyNumberFormat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14" fillId="25" borderId="0" applyNumberFormat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14" fillId="25" borderId="0" applyNumberFormat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14" fillId="25" borderId="0" applyNumberFormat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14" fillId="25" borderId="0" applyNumberFormat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6" fillId="0" borderId="0" applyNumberFormat="0" applyFill="0" applyBorder="0" applyProtection="0"/>
    <xf numFmtId="0" fontId="16" fillId="0" borderId="0" applyNumberFormat="0" applyFill="0" applyBorder="0" applyProtection="0"/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/>
    <xf numFmtId="0" fontId="14" fillId="0" borderId="0"/>
    <xf numFmtId="0" fontId="14" fillId="0" borderId="0"/>
    <xf numFmtId="0" fontId="16" fillId="0" borderId="0" applyNumberFormat="0" applyFill="0" applyBorder="0" applyProtection="0"/>
    <xf numFmtId="0" fontId="14" fillId="0" borderId="0"/>
    <xf numFmtId="0" fontId="14" fillId="32" borderId="12" applyNumberFormat="0" applyFont="0" applyAlignment="0" applyProtection="0">
      <alignment vertical="center"/>
    </xf>
    <xf numFmtId="0" fontId="14" fillId="32" borderId="12" applyNumberFormat="0" applyFont="0" applyAlignment="0" applyProtection="0">
      <alignment vertical="center"/>
    </xf>
    <xf numFmtId="0" fontId="14" fillId="32" borderId="12" applyNumberFormat="0" applyFont="0" applyAlignment="0" applyProtection="0">
      <alignment vertical="center"/>
    </xf>
    <xf numFmtId="0" fontId="14" fillId="32" borderId="12" applyNumberFormat="0" applyFont="0" applyAlignment="0" applyProtection="0">
      <alignment vertical="center"/>
    </xf>
    <xf numFmtId="0" fontId="14" fillId="32" borderId="12" applyNumberFormat="0" applyFont="0" applyAlignment="0" applyProtection="0">
      <alignment vertical="center"/>
    </xf>
    <xf numFmtId="0" fontId="17" fillId="32" borderId="12" applyNumberFormat="0" applyFont="0" applyAlignment="0" applyProtection="0">
      <alignment vertical="center"/>
    </xf>
    <xf numFmtId="0" fontId="14" fillId="32" borderId="12" applyNumberFormat="0" applyFont="0" applyAlignment="0" applyProtection="0">
      <alignment vertical="center"/>
    </xf>
    <xf numFmtId="0" fontId="17" fillId="32" borderId="12" applyNumberFormat="0" applyFont="0" applyAlignment="0" applyProtection="0">
      <alignment vertical="center"/>
    </xf>
    <xf numFmtId="0" fontId="14" fillId="32" borderId="12" applyNumberFormat="0" applyFont="0" applyAlignment="0" applyProtection="0">
      <alignment vertical="center"/>
    </xf>
    <xf numFmtId="0" fontId="14" fillId="32" borderId="12" applyNumberFormat="0" applyFont="0" applyAlignment="0" applyProtection="0">
      <alignment vertical="center"/>
    </xf>
    <xf numFmtId="0" fontId="14" fillId="32" borderId="12" applyNumberFormat="0" applyFont="0" applyAlignment="0" applyProtection="0">
      <alignment vertical="center"/>
    </xf>
    <xf numFmtId="0" fontId="17" fillId="32" borderId="12" applyNumberFormat="0" applyFont="0" applyAlignment="0" applyProtection="0">
      <alignment vertical="center"/>
    </xf>
    <xf numFmtId="0" fontId="14" fillId="32" borderId="12" applyNumberFormat="0" applyFont="0" applyAlignment="0" applyProtection="0">
      <alignment vertical="center"/>
    </xf>
    <xf numFmtId="0" fontId="17" fillId="32" borderId="12" applyNumberFormat="0" applyFont="0" applyAlignment="0" applyProtection="0">
      <alignment vertical="center"/>
    </xf>
    <xf numFmtId="0" fontId="14" fillId="32" borderId="12" applyNumberFormat="0" applyFont="0" applyAlignment="0" applyProtection="0">
      <alignment vertical="center"/>
    </xf>
    <xf numFmtId="0" fontId="14" fillId="32" borderId="12" applyNumberFormat="0" applyFont="0" applyAlignment="0" applyProtection="0">
      <alignment vertical="center"/>
    </xf>
    <xf numFmtId="0" fontId="14" fillId="32" borderId="12" applyNumberFormat="0" applyFont="0" applyAlignment="0" applyProtection="0">
      <alignment vertical="center"/>
    </xf>
    <xf numFmtId="0" fontId="14" fillId="32" borderId="12" applyNumberFormat="0" applyFont="0" applyAlignment="0" applyProtection="0">
      <alignment vertical="center"/>
    </xf>
    <xf numFmtId="0" fontId="17" fillId="32" borderId="12" applyNumberFormat="0" applyFont="0" applyAlignment="0" applyProtection="0">
      <alignment vertical="center"/>
    </xf>
    <xf numFmtId="0" fontId="14" fillId="32" borderId="12" applyNumberFormat="0" applyFont="0" applyAlignment="0" applyProtection="0">
      <alignment vertical="center"/>
    </xf>
    <xf numFmtId="0" fontId="17" fillId="32" borderId="12" applyNumberFormat="0" applyFont="0" applyAlignment="0" applyProtection="0">
      <alignment vertical="center"/>
    </xf>
    <xf numFmtId="0" fontId="14" fillId="32" borderId="12" applyNumberFormat="0" applyFont="0" applyAlignment="0" applyProtection="0">
      <alignment vertical="center"/>
    </xf>
    <xf numFmtId="0" fontId="14" fillId="32" borderId="12" applyNumberFormat="0" applyFont="0" applyAlignment="0" applyProtection="0">
      <alignment vertical="center"/>
    </xf>
    <xf numFmtId="0" fontId="14" fillId="32" borderId="12" applyNumberFormat="0" applyFont="0" applyAlignment="0" applyProtection="0">
      <alignment vertical="center"/>
    </xf>
    <xf numFmtId="0" fontId="17" fillId="32" borderId="12" applyNumberFormat="0" applyFont="0" applyAlignment="0" applyProtection="0">
      <alignment vertical="center"/>
    </xf>
    <xf numFmtId="0" fontId="14" fillId="32" borderId="12" applyNumberFormat="0" applyFont="0" applyAlignment="0" applyProtection="0">
      <alignment vertical="center"/>
    </xf>
    <xf numFmtId="0" fontId="17" fillId="32" borderId="12" applyNumberFormat="0" applyFont="0" applyAlignment="0" applyProtection="0">
      <alignment vertical="center"/>
    </xf>
    <xf numFmtId="0" fontId="14" fillId="32" borderId="12" applyNumberFormat="0" applyFont="0" applyAlignment="0" applyProtection="0">
      <alignment vertical="center"/>
    </xf>
  </cellStyleXfs>
  <cellXfs count="56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 applyNumberFormat="1"/>
    <xf numFmtId="0" fontId="3" fillId="4" borderId="0" xfId="0" applyFont="1" applyFill="1"/>
    <xf numFmtId="49" fontId="4" fillId="5" borderId="1" xfId="0" applyNumberFormat="1" applyFont="1" applyFill="1" applyBorder="1" applyAlignment="1">
      <alignment horizontal="center" vertical="center"/>
    </xf>
    <xf numFmtId="49" fontId="4" fillId="5" borderId="2" xfId="0" applyNumberFormat="1" applyFont="1" applyFill="1" applyBorder="1" applyAlignment="1">
      <alignment horizontal="center" vertical="center"/>
    </xf>
    <xf numFmtId="49" fontId="4" fillId="5" borderId="3" xfId="0" applyNumberFormat="1" applyFont="1" applyFill="1" applyBorder="1" applyAlignment="1">
      <alignment horizontal="center" vertical="center"/>
    </xf>
    <xf numFmtId="0" fontId="5" fillId="6" borderId="4" xfId="393" applyFont="1" applyFill="1" applyBorder="1" applyAlignment="1">
      <alignment horizontal="center" vertical="center"/>
    </xf>
    <xf numFmtId="49" fontId="6" fillId="7" borderId="5" xfId="0" applyNumberFormat="1" applyFont="1" applyFill="1" applyBorder="1" applyAlignment="1">
      <alignment horizontal="center" vertical="center"/>
    </xf>
    <xf numFmtId="0" fontId="7" fillId="7" borderId="6" xfId="0" applyFont="1" applyFill="1" applyBorder="1" applyAlignment="1">
      <alignment horizontal="center" vertical="center"/>
    </xf>
    <xf numFmtId="0" fontId="5" fillId="7" borderId="7" xfId="289" applyFont="1" applyFill="1" applyBorder="1" applyAlignment="1">
      <alignment horizontal="center" vertical="center"/>
    </xf>
    <xf numFmtId="0" fontId="8" fillId="2" borderId="4" xfId="393" applyFont="1" applyFill="1" applyBorder="1" applyAlignment="1">
      <alignment horizontal="center" vertical="center"/>
    </xf>
    <xf numFmtId="0" fontId="5" fillId="2" borderId="7" xfId="289" applyFont="1" applyFill="1" applyBorder="1" applyAlignment="1">
      <alignment horizontal="center" vertical="center"/>
    </xf>
    <xf numFmtId="0" fontId="5" fillId="3" borderId="4" xfId="393" applyFont="1" applyFill="1" applyBorder="1" applyAlignment="1">
      <alignment horizontal="center" vertical="center"/>
    </xf>
    <xf numFmtId="0" fontId="8" fillId="3" borderId="4" xfId="393" applyFont="1" applyFill="1" applyBorder="1" applyAlignment="1">
      <alignment horizontal="center" vertical="center"/>
    </xf>
    <xf numFmtId="0" fontId="5" fillId="3" borderId="7" xfId="289" applyFont="1" applyFill="1" applyBorder="1" applyAlignment="1">
      <alignment horizontal="center" vertical="center"/>
    </xf>
    <xf numFmtId="0" fontId="7" fillId="7" borderId="6" xfId="0" applyNumberFormat="1" applyFont="1" applyFill="1" applyBorder="1" applyAlignment="1">
      <alignment horizontal="center" vertical="center"/>
    </xf>
    <xf numFmtId="0" fontId="7" fillId="7" borderId="7" xfId="0" applyFont="1" applyFill="1" applyBorder="1" applyAlignment="1">
      <alignment horizontal="center" vertical="center"/>
    </xf>
    <xf numFmtId="0" fontId="9" fillId="8" borderId="8" xfId="0" applyNumberFormat="1" applyFont="1" applyFill="1" applyBorder="1" applyAlignment="1">
      <alignment horizontal="center" vertical="center"/>
    </xf>
    <xf numFmtId="0" fontId="10" fillId="6" borderId="4" xfId="393" applyFont="1" applyFill="1" applyBorder="1" applyAlignment="1">
      <alignment horizontal="center" vertical="center"/>
    </xf>
    <xf numFmtId="0" fontId="9" fillId="2" borderId="8" xfId="0" applyNumberFormat="1" applyFont="1" applyFill="1" applyBorder="1" applyAlignment="1">
      <alignment horizontal="center" vertical="center"/>
    </xf>
    <xf numFmtId="0" fontId="10" fillId="2" borderId="4" xfId="393" applyFont="1" applyFill="1" applyBorder="1" applyAlignment="1">
      <alignment horizontal="center" vertical="center"/>
    </xf>
    <xf numFmtId="0" fontId="9" fillId="3" borderId="8" xfId="0" applyNumberFormat="1" applyFont="1" applyFill="1" applyBorder="1" applyAlignment="1">
      <alignment horizontal="center" vertical="center"/>
    </xf>
    <xf numFmtId="0" fontId="10" fillId="3" borderId="4" xfId="393" applyFont="1" applyFill="1" applyBorder="1" applyAlignment="1">
      <alignment horizontal="center" vertical="center"/>
    </xf>
    <xf numFmtId="0" fontId="11" fillId="9" borderId="9" xfId="0" applyFont="1" applyFill="1" applyBorder="1" applyAlignment="1">
      <alignment horizontal="center" vertical="center"/>
    </xf>
    <xf numFmtId="49" fontId="4" fillId="5" borderId="10" xfId="0" applyNumberFormat="1" applyFont="1" applyFill="1" applyBorder="1" applyAlignment="1">
      <alignment horizontal="center" vertical="center"/>
    </xf>
    <xf numFmtId="0" fontId="2" fillId="0" borderId="0" xfId="0" applyNumberFormat="1" applyFont="1"/>
    <xf numFmtId="0" fontId="9" fillId="2" borderId="11" xfId="0" applyNumberFormat="1" applyFont="1" applyFill="1" applyBorder="1" applyAlignment="1">
      <alignment horizontal="left" vertical="center"/>
    </xf>
    <xf numFmtId="0" fontId="0" fillId="2" borderId="0" xfId="0" applyNumberFormat="1" applyFill="1"/>
    <xf numFmtId="0" fontId="9" fillId="2" borderId="8" xfId="0" applyNumberFormat="1" applyFont="1" applyFill="1" applyBorder="1" applyAlignment="1">
      <alignment horizontal="left" vertical="center"/>
    </xf>
    <xf numFmtId="0" fontId="0" fillId="3" borderId="0" xfId="0" applyNumberFormat="1" applyFill="1"/>
    <xf numFmtId="0" fontId="5" fillId="4" borderId="4" xfId="393" applyFont="1" applyFill="1" applyBorder="1" applyAlignment="1">
      <alignment horizontal="center" vertical="center"/>
    </xf>
    <xf numFmtId="0" fontId="5" fillId="4" borderId="7" xfId="289" applyFont="1" applyFill="1" applyBorder="1" applyAlignment="1">
      <alignment horizontal="center" vertical="center"/>
    </xf>
    <xf numFmtId="0" fontId="5" fillId="10" borderId="4" xfId="393" applyFont="1" applyFill="1" applyBorder="1" applyAlignment="1">
      <alignment horizontal="center" vertical="center"/>
    </xf>
    <xf numFmtId="0" fontId="12" fillId="11" borderId="4" xfId="393" applyFont="1" applyFill="1" applyBorder="1" applyAlignment="1">
      <alignment horizontal="center" vertical="center"/>
    </xf>
    <xf numFmtId="0" fontId="9" fillId="4" borderId="8" xfId="0" applyNumberFormat="1" applyFont="1" applyFill="1" applyBorder="1" applyAlignment="1">
      <alignment horizontal="center" vertical="center"/>
    </xf>
    <xf numFmtId="0" fontId="10" fillId="4" borderId="4" xfId="393" applyFont="1" applyFill="1" applyBorder="1" applyAlignment="1">
      <alignment horizontal="center" vertical="center"/>
    </xf>
    <xf numFmtId="0" fontId="0" fillId="4" borderId="0" xfId="0" applyNumberFormat="1" applyFill="1"/>
    <xf numFmtId="0" fontId="8" fillId="3" borderId="7" xfId="289" applyFont="1" applyFill="1" applyBorder="1" applyAlignment="1">
      <alignment horizontal="center" vertical="center"/>
    </xf>
    <xf numFmtId="0" fontId="9" fillId="8" borderId="8" xfId="0" applyNumberFormat="1" applyFont="1" applyFill="1" applyBorder="1" applyAlignment="1">
      <alignment horizontal="left" vertical="center"/>
    </xf>
    <xf numFmtId="0" fontId="9" fillId="4" borderId="8" xfId="0" applyNumberFormat="1" applyFont="1" applyFill="1" applyBorder="1" applyAlignment="1">
      <alignment horizontal="left" vertical="center"/>
    </xf>
    <xf numFmtId="0" fontId="8" fillId="7" borderId="7" xfId="289" applyFont="1" applyFill="1" applyBorder="1" applyAlignment="1">
      <alignment horizontal="center" vertical="center"/>
    </xf>
    <xf numFmtId="0" fontId="13" fillId="3" borderId="4" xfId="393" applyFont="1" applyFill="1" applyBorder="1" applyAlignment="1">
      <alignment horizontal="center" vertical="center"/>
    </xf>
    <xf numFmtId="0" fontId="9" fillId="3" borderId="8" xfId="0" applyNumberFormat="1" applyFont="1" applyFill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9" fillId="8" borderId="11" xfId="0" applyNumberFormat="1" applyFont="1" applyFill="1" applyBorder="1" applyAlignment="1">
      <alignment horizontal="left" vertical="center"/>
    </xf>
    <xf numFmtId="0" fontId="8" fillId="6" borderId="4" xfId="393" applyFont="1" applyFill="1" applyBorder="1" applyAlignment="1">
      <alignment horizontal="center" vertical="center"/>
    </xf>
    <xf numFmtId="0" fontId="5" fillId="12" borderId="0" xfId="393" applyFont="1" applyFill="1" applyAlignment="1">
      <alignment horizontal="center" vertical="center"/>
    </xf>
    <xf numFmtId="0" fontId="5" fillId="12" borderId="4" xfId="393" applyFont="1" applyFill="1" applyBorder="1" applyAlignment="1">
      <alignment horizontal="center" vertical="center"/>
    </xf>
    <xf numFmtId="0" fontId="12" fillId="13" borderId="0" xfId="393" applyFont="1" applyFill="1" applyAlignment="1">
      <alignment horizontal="center" vertical="center"/>
    </xf>
    <xf numFmtId="0" fontId="9" fillId="8" borderId="8" xfId="0" quotePrefix="1" applyNumberFormat="1" applyFont="1" applyFill="1" applyBorder="1" applyAlignment="1">
      <alignment horizontal="center" vertical="center"/>
    </xf>
    <xf numFmtId="0" fontId="25" fillId="33" borderId="7" xfId="0" applyFont="1" applyFill="1" applyBorder="1" applyAlignment="1">
      <alignment horizontal="center" vertical="center"/>
    </xf>
  </cellXfs>
  <cellStyles count="426">
    <cellStyle name="20% - 强调文字颜色 1 2" xfId="1" xr:uid="{00000000-0005-0000-0000-000031000000}"/>
    <cellStyle name="20% - 强调文字颜色 1 2 2" xfId="2" xr:uid="{00000000-0005-0000-0000-000032000000}"/>
    <cellStyle name="20% - 强调文字颜色 1 2 2 2" xfId="3" xr:uid="{00000000-0005-0000-0000-000033000000}"/>
    <cellStyle name="20% - 强调文字颜色 1 2 2 2 2" xfId="4" xr:uid="{00000000-0005-0000-0000-000034000000}"/>
    <cellStyle name="20% - 强调文字颜色 1 2 2 2 3" xfId="5" xr:uid="{00000000-0005-0000-0000-000035000000}"/>
    <cellStyle name="20% - 强调文字颜色 1 2 2 3" xfId="6" xr:uid="{00000000-0005-0000-0000-000036000000}"/>
    <cellStyle name="20% - 强调文字颜色 1 2 2 4" xfId="7" xr:uid="{00000000-0005-0000-0000-000037000000}"/>
    <cellStyle name="20% - 强调文字颜色 1 2 2 5" xfId="8" xr:uid="{00000000-0005-0000-0000-000038000000}"/>
    <cellStyle name="20% - 强调文字颜色 1 2 3" xfId="9" xr:uid="{00000000-0005-0000-0000-000039000000}"/>
    <cellStyle name="20% - 强调文字颜色 1 2 3 2" xfId="10" xr:uid="{00000000-0005-0000-0000-00003A000000}"/>
    <cellStyle name="20% - 强调文字颜色 1 2 3 3" xfId="11" xr:uid="{00000000-0005-0000-0000-00003B000000}"/>
    <cellStyle name="20% - 强调文字颜色 1 2 4" xfId="12" xr:uid="{00000000-0005-0000-0000-00003C000000}"/>
    <cellStyle name="20% - 强调文字颜色 1 2 5" xfId="13" xr:uid="{00000000-0005-0000-0000-00003D000000}"/>
    <cellStyle name="20% - 强调文字颜色 1 2 6" xfId="14" xr:uid="{00000000-0005-0000-0000-00003E000000}"/>
    <cellStyle name="20% - 强调文字颜色 1 3" xfId="15" xr:uid="{00000000-0005-0000-0000-00003F000000}"/>
    <cellStyle name="20% - 强调文字颜色 1 3 2" xfId="16" xr:uid="{00000000-0005-0000-0000-000040000000}"/>
    <cellStyle name="20% - 强调文字颜色 1 3 2 2" xfId="17" xr:uid="{00000000-0005-0000-0000-000041000000}"/>
    <cellStyle name="20% - 强调文字颜色 1 3 2 3" xfId="18" xr:uid="{00000000-0005-0000-0000-000042000000}"/>
    <cellStyle name="20% - 强调文字颜色 1 3 3" xfId="19" xr:uid="{00000000-0005-0000-0000-000043000000}"/>
    <cellStyle name="20% - 强调文字颜色 1 3 4" xfId="20" xr:uid="{00000000-0005-0000-0000-000044000000}"/>
    <cellStyle name="20% - 强调文字颜色 1 3 5" xfId="21" xr:uid="{00000000-0005-0000-0000-000045000000}"/>
    <cellStyle name="20% - 强调文字颜色 1 4" xfId="22" xr:uid="{00000000-0005-0000-0000-000046000000}"/>
    <cellStyle name="20% - 强调文字颜色 1 4 2" xfId="23" xr:uid="{00000000-0005-0000-0000-000047000000}"/>
    <cellStyle name="20% - 强调文字颜色 1 4 3" xfId="24" xr:uid="{00000000-0005-0000-0000-000048000000}"/>
    <cellStyle name="20% - 强调文字颜色 2 2" xfId="25" xr:uid="{00000000-0005-0000-0000-000049000000}"/>
    <cellStyle name="20% - 强调文字颜色 2 2 2" xfId="26" xr:uid="{00000000-0005-0000-0000-00004A000000}"/>
    <cellStyle name="20% - 强调文字颜色 2 2 2 2" xfId="27" xr:uid="{00000000-0005-0000-0000-00004B000000}"/>
    <cellStyle name="20% - 强调文字颜色 2 2 2 2 2" xfId="28" xr:uid="{00000000-0005-0000-0000-00004C000000}"/>
    <cellStyle name="20% - 强调文字颜色 2 2 2 2 3" xfId="29" xr:uid="{00000000-0005-0000-0000-00004D000000}"/>
    <cellStyle name="20% - 强调文字颜色 2 2 2 3" xfId="30" xr:uid="{00000000-0005-0000-0000-00004E000000}"/>
    <cellStyle name="20% - 强调文字颜色 2 2 2 4" xfId="31" xr:uid="{00000000-0005-0000-0000-00004F000000}"/>
    <cellStyle name="20% - 强调文字颜色 2 2 2 5" xfId="32" xr:uid="{00000000-0005-0000-0000-000050000000}"/>
    <cellStyle name="20% - 强调文字颜色 2 2 3" xfId="33" xr:uid="{00000000-0005-0000-0000-000051000000}"/>
    <cellStyle name="20% - 强调文字颜色 2 2 3 2" xfId="34" xr:uid="{00000000-0005-0000-0000-000052000000}"/>
    <cellStyle name="20% - 强调文字颜色 2 2 3 3" xfId="35" xr:uid="{00000000-0005-0000-0000-000053000000}"/>
    <cellStyle name="20% - 强调文字颜色 2 2 4" xfId="36" xr:uid="{00000000-0005-0000-0000-000054000000}"/>
    <cellStyle name="20% - 强调文字颜色 2 2 5" xfId="37" xr:uid="{00000000-0005-0000-0000-000055000000}"/>
    <cellStyle name="20% - 强调文字颜色 2 2 6" xfId="38" xr:uid="{00000000-0005-0000-0000-000056000000}"/>
    <cellStyle name="20% - 强调文字颜色 2 3" xfId="39" xr:uid="{00000000-0005-0000-0000-000057000000}"/>
    <cellStyle name="20% - 强调文字颜色 2 3 2" xfId="40" xr:uid="{00000000-0005-0000-0000-000058000000}"/>
    <cellStyle name="20% - 强调文字颜色 2 3 2 2" xfId="41" xr:uid="{00000000-0005-0000-0000-000059000000}"/>
    <cellStyle name="20% - 强调文字颜色 2 3 2 3" xfId="42" xr:uid="{00000000-0005-0000-0000-00005A000000}"/>
    <cellStyle name="20% - 强调文字颜色 2 3 3" xfId="43" xr:uid="{00000000-0005-0000-0000-00005B000000}"/>
    <cellStyle name="20% - 强调文字颜色 2 3 4" xfId="44" xr:uid="{00000000-0005-0000-0000-00005C000000}"/>
    <cellStyle name="20% - 强调文字颜色 2 3 5" xfId="45" xr:uid="{00000000-0005-0000-0000-00005D000000}"/>
    <cellStyle name="20% - 强调文字颜色 2 4" xfId="46" xr:uid="{00000000-0005-0000-0000-00005E000000}"/>
    <cellStyle name="20% - 强调文字颜色 2 4 2" xfId="47" xr:uid="{00000000-0005-0000-0000-00005F000000}"/>
    <cellStyle name="20% - 强调文字颜色 2 4 3" xfId="48" xr:uid="{00000000-0005-0000-0000-000060000000}"/>
    <cellStyle name="20% - 强调文字颜色 3 2" xfId="49" xr:uid="{00000000-0005-0000-0000-000061000000}"/>
    <cellStyle name="20% - 强调文字颜色 3 2 2" xfId="50" xr:uid="{00000000-0005-0000-0000-000062000000}"/>
    <cellStyle name="20% - 强调文字颜色 3 2 2 2" xfId="51" xr:uid="{00000000-0005-0000-0000-000063000000}"/>
    <cellStyle name="20% - 强调文字颜色 3 2 2 2 2" xfId="52" xr:uid="{00000000-0005-0000-0000-000064000000}"/>
    <cellStyle name="20% - 强调文字颜色 3 2 2 2 3" xfId="53" xr:uid="{00000000-0005-0000-0000-000065000000}"/>
    <cellStyle name="20% - 强调文字颜色 3 2 2 3" xfId="54" xr:uid="{00000000-0005-0000-0000-000066000000}"/>
    <cellStyle name="20% - 强调文字颜色 3 2 2 4" xfId="55" xr:uid="{00000000-0005-0000-0000-000067000000}"/>
    <cellStyle name="20% - 强调文字颜色 3 2 2 5" xfId="56" xr:uid="{00000000-0005-0000-0000-000068000000}"/>
    <cellStyle name="20% - 强调文字颜色 3 2 3" xfId="57" xr:uid="{00000000-0005-0000-0000-000069000000}"/>
    <cellStyle name="20% - 强调文字颜色 3 2 3 2" xfId="58" xr:uid="{00000000-0005-0000-0000-00006A000000}"/>
    <cellStyle name="20% - 强调文字颜色 3 2 3 3" xfId="59" xr:uid="{00000000-0005-0000-0000-00006B000000}"/>
    <cellStyle name="20% - 强调文字颜色 3 2 4" xfId="60" xr:uid="{00000000-0005-0000-0000-00006C000000}"/>
    <cellStyle name="20% - 强调文字颜色 3 2 5" xfId="61" xr:uid="{00000000-0005-0000-0000-00006D000000}"/>
    <cellStyle name="20% - 强调文字颜色 3 2 6" xfId="62" xr:uid="{00000000-0005-0000-0000-00006E000000}"/>
    <cellStyle name="20% - 强调文字颜色 3 3" xfId="63" xr:uid="{00000000-0005-0000-0000-00006F000000}"/>
    <cellStyle name="20% - 强调文字颜色 3 3 2" xfId="64" xr:uid="{00000000-0005-0000-0000-000070000000}"/>
    <cellStyle name="20% - 强调文字颜色 3 3 2 2" xfId="65" xr:uid="{00000000-0005-0000-0000-000071000000}"/>
    <cellStyle name="20% - 强调文字颜色 3 3 2 3" xfId="66" xr:uid="{00000000-0005-0000-0000-000072000000}"/>
    <cellStyle name="20% - 强调文字颜色 3 3 3" xfId="67" xr:uid="{00000000-0005-0000-0000-000073000000}"/>
    <cellStyle name="20% - 强调文字颜色 3 3 4" xfId="68" xr:uid="{00000000-0005-0000-0000-000074000000}"/>
    <cellStyle name="20% - 强调文字颜色 3 3 5" xfId="69" xr:uid="{00000000-0005-0000-0000-000075000000}"/>
    <cellStyle name="20% - 强调文字颜色 3 4" xfId="70" xr:uid="{00000000-0005-0000-0000-000076000000}"/>
    <cellStyle name="20% - 强调文字颜色 3 4 2" xfId="71" xr:uid="{00000000-0005-0000-0000-000077000000}"/>
    <cellStyle name="20% - 强调文字颜色 3 4 3" xfId="72" xr:uid="{00000000-0005-0000-0000-000078000000}"/>
    <cellStyle name="20% - 强调文字颜色 4 2" xfId="73" xr:uid="{00000000-0005-0000-0000-000079000000}"/>
    <cellStyle name="20% - 强调文字颜色 4 2 2" xfId="74" xr:uid="{00000000-0005-0000-0000-00007A000000}"/>
    <cellStyle name="20% - 强调文字颜色 4 2 2 2" xfId="75" xr:uid="{00000000-0005-0000-0000-00007B000000}"/>
    <cellStyle name="20% - 强调文字颜色 4 2 2 2 2" xfId="76" xr:uid="{00000000-0005-0000-0000-00007C000000}"/>
    <cellStyle name="20% - 强调文字颜色 4 2 2 2 3" xfId="77" xr:uid="{00000000-0005-0000-0000-00007D000000}"/>
    <cellStyle name="20% - 强调文字颜色 4 2 2 3" xfId="78" xr:uid="{00000000-0005-0000-0000-00007E000000}"/>
    <cellStyle name="20% - 强调文字颜色 4 2 2 4" xfId="79" xr:uid="{00000000-0005-0000-0000-00007F000000}"/>
    <cellStyle name="20% - 强调文字颜色 4 2 2 5" xfId="80" xr:uid="{00000000-0005-0000-0000-000080000000}"/>
    <cellStyle name="20% - 强调文字颜色 4 2 3" xfId="81" xr:uid="{00000000-0005-0000-0000-000081000000}"/>
    <cellStyle name="20% - 强调文字颜色 4 2 3 2" xfId="82" xr:uid="{00000000-0005-0000-0000-000082000000}"/>
    <cellStyle name="20% - 强调文字颜色 4 2 3 3" xfId="83" xr:uid="{00000000-0005-0000-0000-000083000000}"/>
    <cellStyle name="20% - 强调文字颜色 4 2 4" xfId="84" xr:uid="{00000000-0005-0000-0000-000084000000}"/>
    <cellStyle name="20% - 强调文字颜色 4 2 5" xfId="85" xr:uid="{00000000-0005-0000-0000-000085000000}"/>
    <cellStyle name="20% - 强调文字颜色 4 2 6" xfId="86" xr:uid="{00000000-0005-0000-0000-000086000000}"/>
    <cellStyle name="20% - 强调文字颜色 4 3" xfId="87" xr:uid="{00000000-0005-0000-0000-000087000000}"/>
    <cellStyle name="20% - 强调文字颜色 4 3 2" xfId="88" xr:uid="{00000000-0005-0000-0000-000088000000}"/>
    <cellStyle name="20% - 强调文字颜色 4 3 2 2" xfId="89" xr:uid="{00000000-0005-0000-0000-000089000000}"/>
    <cellStyle name="20% - 强调文字颜色 4 3 2 3" xfId="90" xr:uid="{00000000-0005-0000-0000-00008A000000}"/>
    <cellStyle name="20% - 强调文字颜色 4 3 3" xfId="91" xr:uid="{00000000-0005-0000-0000-00008B000000}"/>
    <cellStyle name="20% - 强调文字颜色 4 3 4" xfId="92" xr:uid="{00000000-0005-0000-0000-00008C000000}"/>
    <cellStyle name="20% - 强调文字颜色 4 3 5" xfId="93" xr:uid="{00000000-0005-0000-0000-00008D000000}"/>
    <cellStyle name="20% - 强调文字颜色 4 4" xfId="94" xr:uid="{00000000-0005-0000-0000-00008E000000}"/>
    <cellStyle name="20% - 强调文字颜色 4 4 2" xfId="95" xr:uid="{00000000-0005-0000-0000-00008F000000}"/>
    <cellStyle name="20% - 强调文字颜色 4 4 3" xfId="96" xr:uid="{00000000-0005-0000-0000-000090000000}"/>
    <cellStyle name="20% - 强调文字颜色 5 2" xfId="97" xr:uid="{00000000-0005-0000-0000-000091000000}"/>
    <cellStyle name="20% - 强调文字颜色 5 2 2" xfId="98" xr:uid="{00000000-0005-0000-0000-000092000000}"/>
    <cellStyle name="20% - 强调文字颜色 5 2 2 2" xfId="99" xr:uid="{00000000-0005-0000-0000-000093000000}"/>
    <cellStyle name="20% - 强调文字颜色 5 2 2 2 2" xfId="100" xr:uid="{00000000-0005-0000-0000-000094000000}"/>
    <cellStyle name="20% - 强调文字颜色 5 2 2 2 3" xfId="101" xr:uid="{00000000-0005-0000-0000-000095000000}"/>
    <cellStyle name="20% - 强调文字颜色 5 2 2 3" xfId="102" xr:uid="{00000000-0005-0000-0000-000096000000}"/>
    <cellStyle name="20% - 强调文字颜色 5 2 2 4" xfId="103" xr:uid="{00000000-0005-0000-0000-000097000000}"/>
    <cellStyle name="20% - 强调文字颜色 5 2 2 5" xfId="104" xr:uid="{00000000-0005-0000-0000-000098000000}"/>
    <cellStyle name="20% - 强调文字颜色 5 2 3" xfId="105" xr:uid="{00000000-0005-0000-0000-000099000000}"/>
    <cellStyle name="20% - 强调文字颜色 5 2 3 2" xfId="106" xr:uid="{00000000-0005-0000-0000-00009A000000}"/>
    <cellStyle name="20% - 强调文字颜色 5 2 3 3" xfId="107" xr:uid="{00000000-0005-0000-0000-00009B000000}"/>
    <cellStyle name="20% - 强调文字颜色 5 2 4" xfId="108" xr:uid="{00000000-0005-0000-0000-00009C000000}"/>
    <cellStyle name="20% - 强调文字颜色 5 2 5" xfId="109" xr:uid="{00000000-0005-0000-0000-00009D000000}"/>
    <cellStyle name="20% - 强调文字颜色 5 2 6" xfId="110" xr:uid="{00000000-0005-0000-0000-00009E000000}"/>
    <cellStyle name="20% - 强调文字颜色 5 3" xfId="111" xr:uid="{00000000-0005-0000-0000-00009F000000}"/>
    <cellStyle name="20% - 强调文字颜色 5 3 2" xfId="112" xr:uid="{00000000-0005-0000-0000-0000A0000000}"/>
    <cellStyle name="20% - 强调文字颜色 5 3 2 2" xfId="113" xr:uid="{00000000-0005-0000-0000-0000A1000000}"/>
    <cellStyle name="20% - 强调文字颜色 5 3 2 3" xfId="114" xr:uid="{00000000-0005-0000-0000-0000A2000000}"/>
    <cellStyle name="20% - 强调文字颜色 5 3 3" xfId="115" xr:uid="{00000000-0005-0000-0000-0000A3000000}"/>
    <cellStyle name="20% - 强调文字颜色 5 3 4" xfId="116" xr:uid="{00000000-0005-0000-0000-0000A4000000}"/>
    <cellStyle name="20% - 强调文字颜色 5 3 5" xfId="117" xr:uid="{00000000-0005-0000-0000-0000A5000000}"/>
    <cellStyle name="20% - 强调文字颜色 5 4" xfId="118" xr:uid="{00000000-0005-0000-0000-0000A6000000}"/>
    <cellStyle name="20% - 强调文字颜色 5 4 2" xfId="119" xr:uid="{00000000-0005-0000-0000-0000A7000000}"/>
    <cellStyle name="20% - 强调文字颜色 5 4 3" xfId="120" xr:uid="{00000000-0005-0000-0000-0000A8000000}"/>
    <cellStyle name="20% - 强调文字颜色 6 2" xfId="121" xr:uid="{00000000-0005-0000-0000-0000A9000000}"/>
    <cellStyle name="20% - 强调文字颜色 6 2 2" xfId="122" xr:uid="{00000000-0005-0000-0000-0000AA000000}"/>
    <cellStyle name="20% - 强调文字颜色 6 2 2 2" xfId="123" xr:uid="{00000000-0005-0000-0000-0000AB000000}"/>
    <cellStyle name="20% - 强调文字颜色 6 2 2 2 2" xfId="124" xr:uid="{00000000-0005-0000-0000-0000AC000000}"/>
    <cellStyle name="20% - 强调文字颜色 6 2 2 2 3" xfId="125" xr:uid="{00000000-0005-0000-0000-0000AD000000}"/>
    <cellStyle name="20% - 强调文字颜色 6 2 2 3" xfId="126" xr:uid="{00000000-0005-0000-0000-0000AE000000}"/>
    <cellStyle name="20% - 强调文字颜色 6 2 2 4" xfId="127" xr:uid="{00000000-0005-0000-0000-0000AF000000}"/>
    <cellStyle name="20% - 强调文字颜色 6 2 2 5" xfId="128" xr:uid="{00000000-0005-0000-0000-0000B0000000}"/>
    <cellStyle name="20% - 强调文字颜色 6 2 3" xfId="129" xr:uid="{00000000-0005-0000-0000-0000B1000000}"/>
    <cellStyle name="20% - 强调文字颜色 6 2 3 2" xfId="130" xr:uid="{00000000-0005-0000-0000-0000B2000000}"/>
    <cellStyle name="20% - 强调文字颜色 6 2 3 3" xfId="131" xr:uid="{00000000-0005-0000-0000-0000B3000000}"/>
    <cellStyle name="20% - 强调文字颜色 6 2 4" xfId="132" xr:uid="{00000000-0005-0000-0000-0000B4000000}"/>
    <cellStyle name="20% - 强调文字颜色 6 2 5" xfId="133" xr:uid="{00000000-0005-0000-0000-0000B5000000}"/>
    <cellStyle name="20% - 强调文字颜色 6 2 6" xfId="134" xr:uid="{00000000-0005-0000-0000-0000B6000000}"/>
    <cellStyle name="20% - 强调文字颜色 6 3" xfId="135" xr:uid="{00000000-0005-0000-0000-0000B7000000}"/>
    <cellStyle name="20% - 强调文字颜色 6 3 2" xfId="136" xr:uid="{00000000-0005-0000-0000-0000B8000000}"/>
    <cellStyle name="20% - 强调文字颜色 6 3 2 2" xfId="137" xr:uid="{00000000-0005-0000-0000-0000B9000000}"/>
    <cellStyle name="20% - 强调文字颜色 6 3 2 3" xfId="138" xr:uid="{00000000-0005-0000-0000-0000BA000000}"/>
    <cellStyle name="20% - 强调文字颜色 6 3 3" xfId="139" xr:uid="{00000000-0005-0000-0000-0000BB000000}"/>
    <cellStyle name="20% - 强调文字颜色 6 3 4" xfId="140" xr:uid="{00000000-0005-0000-0000-0000BC000000}"/>
    <cellStyle name="20% - 强调文字颜色 6 3 5" xfId="141" xr:uid="{00000000-0005-0000-0000-0000BD000000}"/>
    <cellStyle name="20% - 强调文字颜色 6 4" xfId="142" xr:uid="{00000000-0005-0000-0000-0000BE000000}"/>
    <cellStyle name="20% - 强调文字颜色 6 4 2" xfId="143" xr:uid="{00000000-0005-0000-0000-0000BF000000}"/>
    <cellStyle name="20% - 强调文字颜色 6 4 3" xfId="144" xr:uid="{00000000-0005-0000-0000-0000C0000000}"/>
    <cellStyle name="40% - 强调文字颜色 1 2" xfId="145" xr:uid="{00000000-0005-0000-0000-0000C1000000}"/>
    <cellStyle name="40% - 强调文字颜色 1 2 2" xfId="146" xr:uid="{00000000-0005-0000-0000-0000C2000000}"/>
    <cellStyle name="40% - 强调文字颜色 1 2 2 2" xfId="147" xr:uid="{00000000-0005-0000-0000-0000C3000000}"/>
    <cellStyle name="40% - 强调文字颜色 1 2 2 2 2" xfId="148" xr:uid="{00000000-0005-0000-0000-0000C4000000}"/>
    <cellStyle name="40% - 强调文字颜色 1 2 2 2 3" xfId="149" xr:uid="{00000000-0005-0000-0000-0000C5000000}"/>
    <cellStyle name="40% - 强调文字颜色 1 2 2 3" xfId="150" xr:uid="{00000000-0005-0000-0000-0000C6000000}"/>
    <cellStyle name="40% - 强调文字颜色 1 2 2 4" xfId="151" xr:uid="{00000000-0005-0000-0000-0000C7000000}"/>
    <cellStyle name="40% - 强调文字颜色 1 2 2 5" xfId="152" xr:uid="{00000000-0005-0000-0000-0000C8000000}"/>
    <cellStyle name="40% - 强调文字颜色 1 2 3" xfId="153" xr:uid="{00000000-0005-0000-0000-0000C9000000}"/>
    <cellStyle name="40% - 强调文字颜色 1 2 3 2" xfId="154" xr:uid="{00000000-0005-0000-0000-0000CA000000}"/>
    <cellStyle name="40% - 强调文字颜色 1 2 3 3" xfId="155" xr:uid="{00000000-0005-0000-0000-0000CB000000}"/>
    <cellStyle name="40% - 强调文字颜色 1 2 4" xfId="156" xr:uid="{00000000-0005-0000-0000-0000CC000000}"/>
    <cellStyle name="40% - 强调文字颜色 1 2 5" xfId="157" xr:uid="{00000000-0005-0000-0000-0000CD000000}"/>
    <cellStyle name="40% - 强调文字颜色 1 2 6" xfId="158" xr:uid="{00000000-0005-0000-0000-0000CE000000}"/>
    <cellStyle name="40% - 强调文字颜色 1 3" xfId="159" xr:uid="{00000000-0005-0000-0000-0000CF000000}"/>
    <cellStyle name="40% - 强调文字颜色 1 3 2" xfId="160" xr:uid="{00000000-0005-0000-0000-0000D0000000}"/>
    <cellStyle name="40% - 强调文字颜色 1 3 2 2" xfId="161" xr:uid="{00000000-0005-0000-0000-0000D1000000}"/>
    <cellStyle name="40% - 强调文字颜色 1 3 2 3" xfId="162" xr:uid="{00000000-0005-0000-0000-0000D2000000}"/>
    <cellStyle name="40% - 强调文字颜色 1 3 3" xfId="163" xr:uid="{00000000-0005-0000-0000-0000D3000000}"/>
    <cellStyle name="40% - 强调文字颜色 1 3 4" xfId="164" xr:uid="{00000000-0005-0000-0000-0000D4000000}"/>
    <cellStyle name="40% - 强调文字颜色 1 3 5" xfId="165" xr:uid="{00000000-0005-0000-0000-0000D5000000}"/>
    <cellStyle name="40% - 强调文字颜色 1 4" xfId="166" xr:uid="{00000000-0005-0000-0000-0000D6000000}"/>
    <cellStyle name="40% - 强调文字颜色 1 4 2" xfId="167" xr:uid="{00000000-0005-0000-0000-0000D7000000}"/>
    <cellStyle name="40% - 强调文字颜色 1 4 3" xfId="168" xr:uid="{00000000-0005-0000-0000-0000D8000000}"/>
    <cellStyle name="40% - 强调文字颜色 2 2" xfId="169" xr:uid="{00000000-0005-0000-0000-0000D9000000}"/>
    <cellStyle name="40% - 强调文字颜色 2 2 2" xfId="170" xr:uid="{00000000-0005-0000-0000-0000DA000000}"/>
    <cellStyle name="40% - 强调文字颜色 2 2 2 2" xfId="171" xr:uid="{00000000-0005-0000-0000-0000DB000000}"/>
    <cellStyle name="40% - 强调文字颜色 2 2 2 2 2" xfId="172" xr:uid="{00000000-0005-0000-0000-0000DC000000}"/>
    <cellStyle name="40% - 强调文字颜色 2 2 2 2 3" xfId="173" xr:uid="{00000000-0005-0000-0000-0000DD000000}"/>
    <cellStyle name="40% - 强调文字颜色 2 2 2 3" xfId="174" xr:uid="{00000000-0005-0000-0000-0000DE000000}"/>
    <cellStyle name="40% - 强调文字颜色 2 2 2 4" xfId="175" xr:uid="{00000000-0005-0000-0000-0000DF000000}"/>
    <cellStyle name="40% - 强调文字颜色 2 2 2 5" xfId="176" xr:uid="{00000000-0005-0000-0000-0000E0000000}"/>
    <cellStyle name="40% - 强调文字颜色 2 2 3" xfId="177" xr:uid="{00000000-0005-0000-0000-0000E1000000}"/>
    <cellStyle name="40% - 强调文字颜色 2 2 3 2" xfId="178" xr:uid="{00000000-0005-0000-0000-0000E2000000}"/>
    <cellStyle name="40% - 强调文字颜色 2 2 3 3" xfId="179" xr:uid="{00000000-0005-0000-0000-0000E3000000}"/>
    <cellStyle name="40% - 强调文字颜色 2 2 4" xfId="180" xr:uid="{00000000-0005-0000-0000-0000E4000000}"/>
    <cellStyle name="40% - 强调文字颜色 2 2 5" xfId="181" xr:uid="{00000000-0005-0000-0000-0000E5000000}"/>
    <cellStyle name="40% - 强调文字颜色 2 2 6" xfId="182" xr:uid="{00000000-0005-0000-0000-0000E6000000}"/>
    <cellStyle name="40% - 强调文字颜色 2 3" xfId="183" xr:uid="{00000000-0005-0000-0000-0000E7000000}"/>
    <cellStyle name="40% - 强调文字颜色 2 3 2" xfId="184" xr:uid="{00000000-0005-0000-0000-0000E8000000}"/>
    <cellStyle name="40% - 强调文字颜色 2 3 2 2" xfId="185" xr:uid="{00000000-0005-0000-0000-0000E9000000}"/>
    <cellStyle name="40% - 强调文字颜色 2 3 2 3" xfId="186" xr:uid="{00000000-0005-0000-0000-0000EA000000}"/>
    <cellStyle name="40% - 强调文字颜色 2 3 3" xfId="187" xr:uid="{00000000-0005-0000-0000-0000EB000000}"/>
    <cellStyle name="40% - 强调文字颜色 2 3 4" xfId="188" xr:uid="{00000000-0005-0000-0000-0000EC000000}"/>
    <cellStyle name="40% - 强调文字颜色 2 3 5" xfId="189" xr:uid="{00000000-0005-0000-0000-0000ED000000}"/>
    <cellStyle name="40% - 强调文字颜色 2 4" xfId="190" xr:uid="{00000000-0005-0000-0000-0000EE000000}"/>
    <cellStyle name="40% - 强调文字颜色 2 4 2" xfId="191" xr:uid="{00000000-0005-0000-0000-0000EF000000}"/>
    <cellStyle name="40% - 强调文字颜色 2 4 3" xfId="192" xr:uid="{00000000-0005-0000-0000-0000F0000000}"/>
    <cellStyle name="40% - 强调文字颜色 3 2" xfId="193" xr:uid="{00000000-0005-0000-0000-0000F1000000}"/>
    <cellStyle name="40% - 强调文字颜色 3 2 2" xfId="194" xr:uid="{00000000-0005-0000-0000-0000F2000000}"/>
    <cellStyle name="40% - 强调文字颜色 3 2 2 2" xfId="195" xr:uid="{00000000-0005-0000-0000-0000F3000000}"/>
    <cellStyle name="40% - 强调文字颜色 3 2 2 2 2" xfId="196" xr:uid="{00000000-0005-0000-0000-0000F4000000}"/>
    <cellStyle name="40% - 强调文字颜色 3 2 2 2 3" xfId="197" xr:uid="{00000000-0005-0000-0000-0000F5000000}"/>
    <cellStyle name="40% - 强调文字颜色 3 2 2 3" xfId="198" xr:uid="{00000000-0005-0000-0000-0000F6000000}"/>
    <cellStyle name="40% - 强调文字颜色 3 2 2 4" xfId="199" xr:uid="{00000000-0005-0000-0000-0000F7000000}"/>
    <cellStyle name="40% - 强调文字颜色 3 2 2 5" xfId="200" xr:uid="{00000000-0005-0000-0000-0000F8000000}"/>
    <cellStyle name="40% - 强调文字颜色 3 2 3" xfId="201" xr:uid="{00000000-0005-0000-0000-0000F9000000}"/>
    <cellStyle name="40% - 强调文字颜色 3 2 3 2" xfId="202" xr:uid="{00000000-0005-0000-0000-0000FA000000}"/>
    <cellStyle name="40% - 强调文字颜色 3 2 3 3" xfId="203" xr:uid="{00000000-0005-0000-0000-0000FB000000}"/>
    <cellStyle name="40% - 强调文字颜色 3 2 4" xfId="204" xr:uid="{00000000-0005-0000-0000-0000FC000000}"/>
    <cellStyle name="40% - 强调文字颜色 3 2 5" xfId="205" xr:uid="{00000000-0005-0000-0000-0000FD000000}"/>
    <cellStyle name="40% - 强调文字颜色 3 2 6" xfId="206" xr:uid="{00000000-0005-0000-0000-0000FE000000}"/>
    <cellStyle name="40% - 强调文字颜色 3 3" xfId="207" xr:uid="{00000000-0005-0000-0000-0000FF000000}"/>
    <cellStyle name="40% - 强调文字颜色 3 3 2" xfId="208" xr:uid="{00000000-0005-0000-0000-000000010000}"/>
    <cellStyle name="40% - 强调文字颜色 3 3 2 2" xfId="209" xr:uid="{00000000-0005-0000-0000-000001010000}"/>
    <cellStyle name="40% - 强调文字颜色 3 3 2 3" xfId="210" xr:uid="{00000000-0005-0000-0000-000002010000}"/>
    <cellStyle name="40% - 强调文字颜色 3 3 3" xfId="211" xr:uid="{00000000-0005-0000-0000-000003010000}"/>
    <cellStyle name="40% - 强调文字颜色 3 3 4" xfId="212" xr:uid="{00000000-0005-0000-0000-000004010000}"/>
    <cellStyle name="40% - 强调文字颜色 3 3 5" xfId="213" xr:uid="{00000000-0005-0000-0000-000005010000}"/>
    <cellStyle name="40% - 强调文字颜色 3 4" xfId="214" xr:uid="{00000000-0005-0000-0000-000006010000}"/>
    <cellStyle name="40% - 强调文字颜色 3 4 2" xfId="215" xr:uid="{00000000-0005-0000-0000-000007010000}"/>
    <cellStyle name="40% - 强调文字颜色 3 4 3" xfId="216" xr:uid="{00000000-0005-0000-0000-000008010000}"/>
    <cellStyle name="40% - 强调文字颜色 4 2" xfId="217" xr:uid="{00000000-0005-0000-0000-000009010000}"/>
    <cellStyle name="40% - 强调文字颜色 4 2 2" xfId="218" xr:uid="{00000000-0005-0000-0000-00000A010000}"/>
    <cellStyle name="40% - 强调文字颜色 4 2 2 2" xfId="219" xr:uid="{00000000-0005-0000-0000-00000B010000}"/>
    <cellStyle name="40% - 强调文字颜色 4 2 2 2 2" xfId="220" xr:uid="{00000000-0005-0000-0000-00000C010000}"/>
    <cellStyle name="40% - 强调文字颜色 4 2 2 2 3" xfId="221" xr:uid="{00000000-0005-0000-0000-00000D010000}"/>
    <cellStyle name="40% - 强调文字颜色 4 2 2 3" xfId="222" xr:uid="{00000000-0005-0000-0000-00000E010000}"/>
    <cellStyle name="40% - 强调文字颜色 4 2 2 4" xfId="223" xr:uid="{00000000-0005-0000-0000-00000F010000}"/>
    <cellStyle name="40% - 强调文字颜色 4 2 2 5" xfId="224" xr:uid="{00000000-0005-0000-0000-000010010000}"/>
    <cellStyle name="40% - 强调文字颜色 4 2 3" xfId="225" xr:uid="{00000000-0005-0000-0000-000011010000}"/>
    <cellStyle name="40% - 强调文字颜色 4 2 3 2" xfId="226" xr:uid="{00000000-0005-0000-0000-000012010000}"/>
    <cellStyle name="40% - 强调文字颜色 4 2 3 3" xfId="227" xr:uid="{00000000-0005-0000-0000-000013010000}"/>
    <cellStyle name="40% - 强调文字颜色 4 2 4" xfId="228" xr:uid="{00000000-0005-0000-0000-000014010000}"/>
    <cellStyle name="40% - 强调文字颜色 4 2 5" xfId="229" xr:uid="{00000000-0005-0000-0000-000015010000}"/>
    <cellStyle name="40% - 强调文字颜色 4 2 6" xfId="230" xr:uid="{00000000-0005-0000-0000-000016010000}"/>
    <cellStyle name="40% - 强调文字颜色 4 3" xfId="231" xr:uid="{00000000-0005-0000-0000-000017010000}"/>
    <cellStyle name="40% - 强调文字颜色 4 3 2" xfId="232" xr:uid="{00000000-0005-0000-0000-000018010000}"/>
    <cellStyle name="40% - 强调文字颜色 4 3 2 2" xfId="233" xr:uid="{00000000-0005-0000-0000-000019010000}"/>
    <cellStyle name="40% - 强调文字颜色 4 3 2 3" xfId="234" xr:uid="{00000000-0005-0000-0000-00001A010000}"/>
    <cellStyle name="40% - 强调文字颜色 4 3 3" xfId="235" xr:uid="{00000000-0005-0000-0000-00001B010000}"/>
    <cellStyle name="40% - 强调文字颜色 4 3 4" xfId="236" xr:uid="{00000000-0005-0000-0000-00001C010000}"/>
    <cellStyle name="40% - 强调文字颜色 4 3 5" xfId="237" xr:uid="{00000000-0005-0000-0000-00001D010000}"/>
    <cellStyle name="40% - 强调文字颜色 4 4" xfId="238" xr:uid="{00000000-0005-0000-0000-00001E010000}"/>
    <cellStyle name="40% - 强调文字颜色 4 4 2" xfId="239" xr:uid="{00000000-0005-0000-0000-00001F010000}"/>
    <cellStyle name="40% - 强调文字颜色 4 4 3" xfId="240" xr:uid="{00000000-0005-0000-0000-000020010000}"/>
    <cellStyle name="40% - 强调文字颜色 5 2" xfId="241" xr:uid="{00000000-0005-0000-0000-000021010000}"/>
    <cellStyle name="40% - 强调文字颜色 5 2 2" xfId="242" xr:uid="{00000000-0005-0000-0000-000022010000}"/>
    <cellStyle name="40% - 强调文字颜色 5 2 2 2" xfId="243" xr:uid="{00000000-0005-0000-0000-000023010000}"/>
    <cellStyle name="40% - 强调文字颜色 5 2 2 2 2" xfId="244" xr:uid="{00000000-0005-0000-0000-000024010000}"/>
    <cellStyle name="40% - 强调文字颜色 5 2 2 2 3" xfId="245" xr:uid="{00000000-0005-0000-0000-000025010000}"/>
    <cellStyle name="40% - 强调文字颜色 5 2 2 3" xfId="246" xr:uid="{00000000-0005-0000-0000-000026010000}"/>
    <cellStyle name="40% - 强调文字颜色 5 2 2 4" xfId="247" xr:uid="{00000000-0005-0000-0000-000027010000}"/>
    <cellStyle name="40% - 强调文字颜色 5 2 2 5" xfId="248" xr:uid="{00000000-0005-0000-0000-000028010000}"/>
    <cellStyle name="40% - 强调文字颜色 5 2 3" xfId="249" xr:uid="{00000000-0005-0000-0000-000029010000}"/>
    <cellStyle name="40% - 强调文字颜色 5 2 3 2" xfId="250" xr:uid="{00000000-0005-0000-0000-00002A010000}"/>
    <cellStyle name="40% - 强调文字颜色 5 2 3 3" xfId="251" xr:uid="{00000000-0005-0000-0000-00002B010000}"/>
    <cellStyle name="40% - 强调文字颜色 5 2 4" xfId="252" xr:uid="{00000000-0005-0000-0000-00002C010000}"/>
    <cellStyle name="40% - 强调文字颜色 5 2 5" xfId="253" xr:uid="{00000000-0005-0000-0000-00002D010000}"/>
    <cellStyle name="40% - 强调文字颜色 5 2 6" xfId="254" xr:uid="{00000000-0005-0000-0000-00002E010000}"/>
    <cellStyle name="40% - 强调文字颜色 5 3" xfId="255" xr:uid="{00000000-0005-0000-0000-00002F010000}"/>
    <cellStyle name="40% - 强调文字颜色 5 3 2" xfId="256" xr:uid="{00000000-0005-0000-0000-000030010000}"/>
    <cellStyle name="40% - 强调文字颜色 5 3 2 2" xfId="257" xr:uid="{00000000-0005-0000-0000-000031010000}"/>
    <cellStyle name="40% - 强调文字颜色 5 3 2 3" xfId="258" xr:uid="{00000000-0005-0000-0000-000032010000}"/>
    <cellStyle name="40% - 强调文字颜色 5 3 3" xfId="259" xr:uid="{00000000-0005-0000-0000-000033010000}"/>
    <cellStyle name="40% - 强调文字颜色 5 3 4" xfId="260" xr:uid="{00000000-0005-0000-0000-000034010000}"/>
    <cellStyle name="40% - 强调文字颜色 5 3 5" xfId="261" xr:uid="{00000000-0005-0000-0000-000035010000}"/>
    <cellStyle name="40% - 强调文字颜色 5 4" xfId="262" xr:uid="{00000000-0005-0000-0000-000036010000}"/>
    <cellStyle name="40% - 强调文字颜色 5 4 2" xfId="263" xr:uid="{00000000-0005-0000-0000-000037010000}"/>
    <cellStyle name="40% - 强调文字颜色 5 4 3" xfId="264" xr:uid="{00000000-0005-0000-0000-000038010000}"/>
    <cellStyle name="40% - 强调文字颜色 6 2" xfId="265" xr:uid="{00000000-0005-0000-0000-000039010000}"/>
    <cellStyle name="40% - 强调文字颜色 6 2 2" xfId="266" xr:uid="{00000000-0005-0000-0000-00003A010000}"/>
    <cellStyle name="40% - 强调文字颜色 6 2 2 2" xfId="267" xr:uid="{00000000-0005-0000-0000-00003B010000}"/>
    <cellStyle name="40% - 强调文字颜色 6 2 2 2 2" xfId="268" xr:uid="{00000000-0005-0000-0000-00003C010000}"/>
    <cellStyle name="40% - 强调文字颜色 6 2 2 2 3" xfId="269" xr:uid="{00000000-0005-0000-0000-00003D010000}"/>
    <cellStyle name="40% - 强调文字颜色 6 2 2 3" xfId="270" xr:uid="{00000000-0005-0000-0000-00003E010000}"/>
    <cellStyle name="40% - 强调文字颜色 6 2 2 4" xfId="271" xr:uid="{00000000-0005-0000-0000-00003F010000}"/>
    <cellStyle name="40% - 强调文字颜色 6 2 2 5" xfId="272" xr:uid="{00000000-0005-0000-0000-000040010000}"/>
    <cellStyle name="40% - 强调文字颜色 6 2 3" xfId="273" xr:uid="{00000000-0005-0000-0000-000041010000}"/>
    <cellStyle name="40% - 强调文字颜色 6 2 3 2" xfId="274" xr:uid="{00000000-0005-0000-0000-000042010000}"/>
    <cellStyle name="40% - 强调文字颜色 6 2 3 3" xfId="275" xr:uid="{00000000-0005-0000-0000-000043010000}"/>
    <cellStyle name="40% - 强调文字颜色 6 2 4" xfId="276" xr:uid="{00000000-0005-0000-0000-000044010000}"/>
    <cellStyle name="40% - 强调文字颜色 6 2 5" xfId="277" xr:uid="{00000000-0005-0000-0000-000045010000}"/>
    <cellStyle name="40% - 强调文字颜色 6 2 6" xfId="278" xr:uid="{00000000-0005-0000-0000-000046010000}"/>
    <cellStyle name="40% - 强调文字颜色 6 3" xfId="279" xr:uid="{00000000-0005-0000-0000-000047010000}"/>
    <cellStyle name="40% - 强调文字颜色 6 3 2" xfId="280" xr:uid="{00000000-0005-0000-0000-000048010000}"/>
    <cellStyle name="40% - 强调文字颜色 6 3 2 2" xfId="281" xr:uid="{00000000-0005-0000-0000-000049010000}"/>
    <cellStyle name="40% - 强调文字颜色 6 3 2 3" xfId="282" xr:uid="{00000000-0005-0000-0000-00004A010000}"/>
    <cellStyle name="40% - 强调文字颜色 6 3 3" xfId="283" xr:uid="{00000000-0005-0000-0000-00004B010000}"/>
    <cellStyle name="40% - 强调文字颜色 6 3 4" xfId="284" xr:uid="{00000000-0005-0000-0000-00004C010000}"/>
    <cellStyle name="40% - 强调文字颜色 6 3 5" xfId="285" xr:uid="{00000000-0005-0000-0000-00004D010000}"/>
    <cellStyle name="40% - 强调文字颜色 6 4" xfId="286" xr:uid="{00000000-0005-0000-0000-00004E010000}"/>
    <cellStyle name="40% - 强调文字颜色 6 4 2" xfId="287" xr:uid="{00000000-0005-0000-0000-00004F010000}"/>
    <cellStyle name="40% - 强调文字颜色 6 4 3" xfId="288" xr:uid="{00000000-0005-0000-0000-000050010000}"/>
    <cellStyle name="常规" xfId="0" builtinId="0"/>
    <cellStyle name="常规 2" xfId="289" xr:uid="{00000000-0005-0000-0000-000051010000}"/>
    <cellStyle name="常规 2 2" xfId="290" xr:uid="{00000000-0005-0000-0000-000052010000}"/>
    <cellStyle name="常规 2 2 2" xfId="291" xr:uid="{00000000-0005-0000-0000-000053010000}"/>
    <cellStyle name="常规 2 2 3" xfId="292" xr:uid="{00000000-0005-0000-0000-000054010000}"/>
    <cellStyle name="常规 2 3" xfId="293" xr:uid="{00000000-0005-0000-0000-000055010000}"/>
    <cellStyle name="常规 2 3 2" xfId="294" xr:uid="{00000000-0005-0000-0000-000056010000}"/>
    <cellStyle name="常规 2 3 2 2" xfId="295" xr:uid="{00000000-0005-0000-0000-000057010000}"/>
    <cellStyle name="常规 2 3 2 2 2" xfId="296" xr:uid="{00000000-0005-0000-0000-000058010000}"/>
    <cellStyle name="常规 2 3 2 2 2 2" xfId="297" xr:uid="{00000000-0005-0000-0000-000059010000}"/>
    <cellStyle name="常规 2 3 2 2 2 2 2" xfId="298" xr:uid="{00000000-0005-0000-0000-00005A010000}"/>
    <cellStyle name="常规 2 3 2 2 2 2 3" xfId="299" xr:uid="{00000000-0005-0000-0000-00005B010000}"/>
    <cellStyle name="常规 2 3 2 2 2 3" xfId="300" xr:uid="{00000000-0005-0000-0000-00005C010000}"/>
    <cellStyle name="常规 2 3 2 2 2 4" xfId="301" xr:uid="{00000000-0005-0000-0000-00005D010000}"/>
    <cellStyle name="常规 2 3 2 2 2 5" xfId="302" xr:uid="{00000000-0005-0000-0000-00005E010000}"/>
    <cellStyle name="常规 2 3 2 2 3" xfId="303" xr:uid="{00000000-0005-0000-0000-00005F010000}"/>
    <cellStyle name="常规 2 3 2 2 3 2" xfId="304" xr:uid="{00000000-0005-0000-0000-000060010000}"/>
    <cellStyle name="常规 2 3 2 2 3 3" xfId="305" xr:uid="{00000000-0005-0000-0000-000061010000}"/>
    <cellStyle name="常规 2 3 2 2 4" xfId="306" xr:uid="{00000000-0005-0000-0000-000062010000}"/>
    <cellStyle name="常规 2 3 2 2 5" xfId="307" xr:uid="{00000000-0005-0000-0000-000063010000}"/>
    <cellStyle name="常规 2 3 2 2 6" xfId="308" xr:uid="{00000000-0005-0000-0000-000064010000}"/>
    <cellStyle name="常规 2 3 2 3" xfId="309" xr:uid="{00000000-0005-0000-0000-000065010000}"/>
    <cellStyle name="常规 2 3 2 3 2" xfId="310" xr:uid="{00000000-0005-0000-0000-000066010000}"/>
    <cellStyle name="常规 2 3 2 3 2 2" xfId="311" xr:uid="{00000000-0005-0000-0000-000067010000}"/>
    <cellStyle name="常规 2 3 2 3 2 3" xfId="312" xr:uid="{00000000-0005-0000-0000-000068010000}"/>
    <cellStyle name="常规 2 3 2 3 3" xfId="313" xr:uid="{00000000-0005-0000-0000-000069010000}"/>
    <cellStyle name="常规 2 3 2 3 4" xfId="314" xr:uid="{00000000-0005-0000-0000-00006A010000}"/>
    <cellStyle name="常规 2 3 2 3 5" xfId="315" xr:uid="{00000000-0005-0000-0000-00006B010000}"/>
    <cellStyle name="常规 2 3 2 4" xfId="316" xr:uid="{00000000-0005-0000-0000-00006C010000}"/>
    <cellStyle name="常规 2 3 2 4 2" xfId="317" xr:uid="{00000000-0005-0000-0000-00006D010000}"/>
    <cellStyle name="常规 2 3 2 4 3" xfId="318" xr:uid="{00000000-0005-0000-0000-00006E010000}"/>
    <cellStyle name="常规 2 3 2 5" xfId="319" xr:uid="{00000000-0005-0000-0000-00006F010000}"/>
    <cellStyle name="常规 2 3 2 6" xfId="320" xr:uid="{00000000-0005-0000-0000-000070010000}"/>
    <cellStyle name="常规 2 3 2 7" xfId="321" xr:uid="{00000000-0005-0000-0000-000071010000}"/>
    <cellStyle name="常规 2 3 3" xfId="322" xr:uid="{00000000-0005-0000-0000-000072010000}"/>
    <cellStyle name="常规 2 3 3 2" xfId="323" xr:uid="{00000000-0005-0000-0000-000073010000}"/>
    <cellStyle name="常规 2 3 3 2 2" xfId="324" xr:uid="{00000000-0005-0000-0000-000074010000}"/>
    <cellStyle name="常规 2 3 3 2 2 2" xfId="325" xr:uid="{00000000-0005-0000-0000-000075010000}"/>
    <cellStyle name="常规 2 3 3 2 2 3" xfId="326" xr:uid="{00000000-0005-0000-0000-000076010000}"/>
    <cellStyle name="常规 2 3 3 2 3" xfId="327" xr:uid="{00000000-0005-0000-0000-000077010000}"/>
    <cellStyle name="常规 2 3 3 2 4" xfId="328" xr:uid="{00000000-0005-0000-0000-000078010000}"/>
    <cellStyle name="常规 2 3 3 2 5" xfId="329" xr:uid="{00000000-0005-0000-0000-000079010000}"/>
    <cellStyle name="常规 2 3 3 3" xfId="330" xr:uid="{00000000-0005-0000-0000-00007A010000}"/>
    <cellStyle name="常规 2 3 3 3 2" xfId="331" xr:uid="{00000000-0005-0000-0000-00007B010000}"/>
    <cellStyle name="常规 2 3 3 3 3" xfId="332" xr:uid="{00000000-0005-0000-0000-00007C010000}"/>
    <cellStyle name="常规 2 3 3 4" xfId="333" xr:uid="{00000000-0005-0000-0000-00007D010000}"/>
    <cellStyle name="常规 2 3 3 5" xfId="334" xr:uid="{00000000-0005-0000-0000-00007E010000}"/>
    <cellStyle name="常规 2 3 3 6" xfId="335" xr:uid="{00000000-0005-0000-0000-00007F010000}"/>
    <cellStyle name="常规 2 3 4" xfId="336" xr:uid="{00000000-0005-0000-0000-000080010000}"/>
    <cellStyle name="常规 2 3 4 2" xfId="337" xr:uid="{00000000-0005-0000-0000-000081010000}"/>
    <cellStyle name="常规 2 3 4 2 2" xfId="338" xr:uid="{00000000-0005-0000-0000-000082010000}"/>
    <cellStyle name="常规 2 3 4 2 3" xfId="339" xr:uid="{00000000-0005-0000-0000-000083010000}"/>
    <cellStyle name="常规 2 3 4 3" xfId="340" xr:uid="{00000000-0005-0000-0000-000084010000}"/>
    <cellStyle name="常规 2 3 4 4" xfId="341" xr:uid="{00000000-0005-0000-0000-000085010000}"/>
    <cellStyle name="常规 2 3 4 5" xfId="342" xr:uid="{00000000-0005-0000-0000-000086010000}"/>
    <cellStyle name="常规 2 3 5" xfId="343" xr:uid="{00000000-0005-0000-0000-000087010000}"/>
    <cellStyle name="常规 2 3 5 2" xfId="344" xr:uid="{00000000-0005-0000-0000-000088010000}"/>
    <cellStyle name="常规 2 3 5 3" xfId="345" xr:uid="{00000000-0005-0000-0000-000089010000}"/>
    <cellStyle name="常规 2 3 6" xfId="346" xr:uid="{00000000-0005-0000-0000-00008A010000}"/>
    <cellStyle name="常规 2 3 7" xfId="347" xr:uid="{00000000-0005-0000-0000-00008B010000}"/>
    <cellStyle name="常规 2 3 8" xfId="348" xr:uid="{00000000-0005-0000-0000-00008C010000}"/>
    <cellStyle name="常规 2 4" xfId="349" xr:uid="{00000000-0005-0000-0000-00008D010000}"/>
    <cellStyle name="常规 2 4 2" xfId="350" xr:uid="{00000000-0005-0000-0000-00008E010000}"/>
    <cellStyle name="常规 2 5" xfId="351" xr:uid="{00000000-0005-0000-0000-00008F010000}"/>
    <cellStyle name="常规 2 6" xfId="352" xr:uid="{00000000-0005-0000-0000-000090010000}"/>
    <cellStyle name="常规 2 7" xfId="353" xr:uid="{00000000-0005-0000-0000-000091010000}"/>
    <cellStyle name="常规 3" xfId="354" xr:uid="{00000000-0005-0000-0000-000092010000}"/>
    <cellStyle name="常规 3 2" xfId="355" xr:uid="{00000000-0005-0000-0000-000093010000}"/>
    <cellStyle name="常规 3 2 2" xfId="356" xr:uid="{00000000-0005-0000-0000-000094010000}"/>
    <cellStyle name="常规 3 3" xfId="357" xr:uid="{00000000-0005-0000-0000-000095010000}"/>
    <cellStyle name="常规 3 4" xfId="358" xr:uid="{00000000-0005-0000-0000-000096010000}"/>
    <cellStyle name="常规 4" xfId="359" xr:uid="{00000000-0005-0000-0000-000097010000}"/>
    <cellStyle name="常规 4 2" xfId="360" xr:uid="{00000000-0005-0000-0000-000098010000}"/>
    <cellStyle name="常规 4 2 2" xfId="361" xr:uid="{00000000-0005-0000-0000-000099010000}"/>
    <cellStyle name="常规 4 3" xfId="362" xr:uid="{00000000-0005-0000-0000-00009A010000}"/>
    <cellStyle name="常规 4 4" xfId="363" xr:uid="{00000000-0005-0000-0000-00009B010000}"/>
    <cellStyle name="常规 4 5" xfId="364" xr:uid="{00000000-0005-0000-0000-00009C010000}"/>
    <cellStyle name="常规 5" xfId="365" xr:uid="{00000000-0005-0000-0000-00009D010000}"/>
    <cellStyle name="常规 5 2" xfId="366" xr:uid="{00000000-0005-0000-0000-00009E010000}"/>
    <cellStyle name="常规 5 2 2" xfId="367" xr:uid="{00000000-0005-0000-0000-00009F010000}"/>
    <cellStyle name="常规 5 2 2 2" xfId="368" xr:uid="{00000000-0005-0000-0000-0000A0010000}"/>
    <cellStyle name="常规 5 2 2 2 2" xfId="369" xr:uid="{00000000-0005-0000-0000-0000A1010000}"/>
    <cellStyle name="常规 5 2 2 2 3" xfId="370" xr:uid="{00000000-0005-0000-0000-0000A2010000}"/>
    <cellStyle name="常规 5 2 2 3" xfId="371" xr:uid="{00000000-0005-0000-0000-0000A3010000}"/>
    <cellStyle name="常规 5 2 2 4" xfId="372" xr:uid="{00000000-0005-0000-0000-0000A4010000}"/>
    <cellStyle name="常规 5 2 2 5" xfId="373" xr:uid="{00000000-0005-0000-0000-0000A5010000}"/>
    <cellStyle name="常规 5 2 3" xfId="374" xr:uid="{00000000-0005-0000-0000-0000A6010000}"/>
    <cellStyle name="常规 5 2 3 2" xfId="375" xr:uid="{00000000-0005-0000-0000-0000A7010000}"/>
    <cellStyle name="常规 5 2 3 3" xfId="376" xr:uid="{00000000-0005-0000-0000-0000A8010000}"/>
    <cellStyle name="常规 5 2 4" xfId="377" xr:uid="{00000000-0005-0000-0000-0000A9010000}"/>
    <cellStyle name="常规 5 2 5" xfId="378" xr:uid="{00000000-0005-0000-0000-0000AA010000}"/>
    <cellStyle name="常规 5 2 6" xfId="379" xr:uid="{00000000-0005-0000-0000-0000AB010000}"/>
    <cellStyle name="常规 5 3" xfId="380" xr:uid="{00000000-0005-0000-0000-0000AC010000}"/>
    <cellStyle name="常规 5 3 2" xfId="381" xr:uid="{00000000-0005-0000-0000-0000AD010000}"/>
    <cellStyle name="常规 5 3 2 2" xfId="382" xr:uid="{00000000-0005-0000-0000-0000AE010000}"/>
    <cellStyle name="常规 5 3 2 3" xfId="383" xr:uid="{00000000-0005-0000-0000-0000AF010000}"/>
    <cellStyle name="常规 5 3 3" xfId="384" xr:uid="{00000000-0005-0000-0000-0000B0010000}"/>
    <cellStyle name="常规 5 3 4" xfId="385" xr:uid="{00000000-0005-0000-0000-0000B1010000}"/>
    <cellStyle name="常规 5 3 5" xfId="386" xr:uid="{00000000-0005-0000-0000-0000B2010000}"/>
    <cellStyle name="常规 5 4" xfId="387" xr:uid="{00000000-0005-0000-0000-0000B3010000}"/>
    <cellStyle name="常规 5 4 2" xfId="388" xr:uid="{00000000-0005-0000-0000-0000B4010000}"/>
    <cellStyle name="常规 5 4 3" xfId="389" xr:uid="{00000000-0005-0000-0000-0000B5010000}"/>
    <cellStyle name="常规 5 5" xfId="390" xr:uid="{00000000-0005-0000-0000-0000B6010000}"/>
    <cellStyle name="常规 5 6" xfId="391" xr:uid="{00000000-0005-0000-0000-0000B7010000}"/>
    <cellStyle name="常规 5 7" xfId="392" xr:uid="{00000000-0005-0000-0000-0000B8010000}"/>
    <cellStyle name="常规 6" xfId="393" xr:uid="{00000000-0005-0000-0000-0000B9010000}"/>
    <cellStyle name="常规 6 2" xfId="394" xr:uid="{00000000-0005-0000-0000-0000BA010000}"/>
    <cellStyle name="常规 7" xfId="395" xr:uid="{00000000-0005-0000-0000-0000BB010000}"/>
    <cellStyle name="常规 8" xfId="396" xr:uid="{00000000-0005-0000-0000-0000BC010000}"/>
    <cellStyle name="常规 9" xfId="397" xr:uid="{00000000-0005-0000-0000-0000BD010000}"/>
    <cellStyle name="注释 2" xfId="398" xr:uid="{00000000-0005-0000-0000-0000BE010000}"/>
    <cellStyle name="注释 2 2" xfId="399" xr:uid="{00000000-0005-0000-0000-0000BF010000}"/>
    <cellStyle name="注释 2 2 2" xfId="400" xr:uid="{00000000-0005-0000-0000-0000C0010000}"/>
    <cellStyle name="注释 2 2 2 2" xfId="401" xr:uid="{00000000-0005-0000-0000-0000C1010000}"/>
    <cellStyle name="注释 2 2 2 2 2" xfId="402" xr:uid="{00000000-0005-0000-0000-0000C2010000}"/>
    <cellStyle name="注释 2 2 2 2 3" xfId="403" xr:uid="{00000000-0005-0000-0000-0000C3010000}"/>
    <cellStyle name="注释 2 2 2 3" xfId="404" xr:uid="{00000000-0005-0000-0000-0000C4010000}"/>
    <cellStyle name="注释 2 2 2 4" xfId="405" xr:uid="{00000000-0005-0000-0000-0000C5010000}"/>
    <cellStyle name="注释 2 2 2 5" xfId="406" xr:uid="{00000000-0005-0000-0000-0000C6010000}"/>
    <cellStyle name="注释 2 2 3" xfId="407" xr:uid="{00000000-0005-0000-0000-0000C7010000}"/>
    <cellStyle name="注释 2 2 3 2" xfId="408" xr:uid="{00000000-0005-0000-0000-0000C8010000}"/>
    <cellStyle name="注释 2 2 3 3" xfId="409" xr:uid="{00000000-0005-0000-0000-0000C9010000}"/>
    <cellStyle name="注释 2 2 4" xfId="410" xr:uid="{00000000-0005-0000-0000-0000CA010000}"/>
    <cellStyle name="注释 2 2 5" xfId="411" xr:uid="{00000000-0005-0000-0000-0000CB010000}"/>
    <cellStyle name="注释 2 2 6" xfId="412" xr:uid="{00000000-0005-0000-0000-0000CC010000}"/>
    <cellStyle name="注释 2 3" xfId="413" xr:uid="{00000000-0005-0000-0000-0000CD010000}"/>
    <cellStyle name="注释 2 3 2" xfId="414" xr:uid="{00000000-0005-0000-0000-0000CE010000}"/>
    <cellStyle name="注释 2 3 2 2" xfId="415" xr:uid="{00000000-0005-0000-0000-0000CF010000}"/>
    <cellStyle name="注释 2 3 2 3" xfId="416" xr:uid="{00000000-0005-0000-0000-0000D0010000}"/>
    <cellStyle name="注释 2 3 3" xfId="417" xr:uid="{00000000-0005-0000-0000-0000D1010000}"/>
    <cellStyle name="注释 2 3 4" xfId="418" xr:uid="{00000000-0005-0000-0000-0000D2010000}"/>
    <cellStyle name="注释 2 3 5" xfId="419" xr:uid="{00000000-0005-0000-0000-0000D3010000}"/>
    <cellStyle name="注释 2 4" xfId="420" xr:uid="{00000000-0005-0000-0000-0000D4010000}"/>
    <cellStyle name="注释 2 4 2" xfId="421" xr:uid="{00000000-0005-0000-0000-0000D5010000}"/>
    <cellStyle name="注释 2 4 3" xfId="422" xr:uid="{00000000-0005-0000-0000-0000D6010000}"/>
    <cellStyle name="注释 2 5" xfId="423" xr:uid="{00000000-0005-0000-0000-0000D7010000}"/>
    <cellStyle name="注释 2 6" xfId="424" xr:uid="{00000000-0005-0000-0000-0000D8010000}"/>
    <cellStyle name="注释 2 7" xfId="425" xr:uid="{00000000-0005-0000-0000-0000D9010000}"/>
  </cellStyles>
  <dxfs count="2">
    <dxf>
      <font>
        <b/>
        <i val="0"/>
      </font>
      <fill>
        <patternFill patternType="solid">
          <bgColor rgb="FFD7D7D7"/>
        </patternFill>
      </fill>
    </dxf>
    <dxf>
      <font>
        <b val="0"/>
        <i val="0"/>
      </font>
      <fill>
        <patternFill patternType="none"/>
      </fill>
    </dxf>
  </dxfs>
  <tableStyles count="1" defaultTableStyle="TableStyleMedium2">
    <tableStyle name="MySqlDefault" count="2" xr9:uid="{04A7DCDC-412C-41E9-A09C-73C9DE847244}">
      <tableStyleElement type="wholeTable" dxfId="1"/>
      <tableStyleElement type="headerRow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3F3F3F"/>
      <rgbColor rgb="0095B3D7"/>
      <rgbColor rgb="007F7F7F"/>
      <rgbColor rgb="00D8D8D8"/>
      <rgbColor rgb="00FF0000"/>
      <rgbColor rgb="00AAAAAA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 主题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主题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主题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 panose="020F0502020204030204"/>
            <a:ea typeface="Calibri" panose="020F0502020204030204"/>
            <a:cs typeface="Calibri" panose="020F0502020204030204"/>
            <a:sym typeface="Calibri" panose="020F0502020204030204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 panose="020F0502020204030204"/>
            <a:ea typeface="Calibri" panose="020F0502020204030204"/>
            <a:cs typeface="Calibri" panose="020F0502020204030204"/>
            <a:sym typeface="Calibri" panose="020F0502020204030204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HP494"/>
  <sheetViews>
    <sheetView showGridLines="0" tabSelected="1" workbookViewId="0">
      <pane xSplit="4" ySplit="5" topLeftCell="E423" activePane="bottomRight" state="frozen"/>
      <selection pane="topRight"/>
      <selection pane="bottomLeft"/>
      <selection pane="bottomRight" activeCell="E492" sqref="E492"/>
    </sheetView>
  </sheetViews>
  <sheetFormatPr defaultColWidth="8.875" defaultRowHeight="13.5" customHeight="1"/>
  <cols>
    <col min="2" max="2" width="9.5" customWidth="1"/>
    <col min="3" max="3" width="13.25" style="6" customWidth="1"/>
    <col min="4" max="4" width="18.625" style="6" customWidth="1"/>
    <col min="5" max="5" width="13.125" style="6" customWidth="1"/>
    <col min="6" max="8" width="11.875" style="6" customWidth="1"/>
    <col min="9" max="9" width="18.625" style="6" customWidth="1"/>
    <col min="10" max="10" width="17.125" style="6" customWidth="1"/>
    <col min="11" max="11" width="18.625" style="6" customWidth="1"/>
    <col min="12" max="12" width="13.5" style="6" customWidth="1"/>
    <col min="13" max="13" width="17.875" style="6" customWidth="1"/>
    <col min="14" max="14" width="19" style="6" customWidth="1"/>
    <col min="15" max="15" width="17.875" style="6" customWidth="1"/>
    <col min="16" max="16" width="19" style="6" customWidth="1"/>
    <col min="17" max="17" width="17.875" style="6" customWidth="1"/>
    <col min="18" max="20" width="19" style="6" customWidth="1"/>
    <col min="21" max="22" width="14.5" style="6" customWidth="1"/>
    <col min="23" max="23" width="15.5" style="6" customWidth="1"/>
    <col min="24" max="24" width="20.125" style="6" customWidth="1"/>
    <col min="25" max="25" width="21.375" style="6" customWidth="1"/>
    <col min="26" max="26" width="16" style="6" customWidth="1"/>
    <col min="27" max="27" width="16.625" style="6" customWidth="1"/>
    <col min="28" max="29" width="16" style="6" customWidth="1"/>
    <col min="30" max="30" width="19" style="6" customWidth="1"/>
    <col min="31" max="31" width="22.125" style="6" customWidth="1"/>
    <col min="32" max="199" width="8.875" style="6" customWidth="1"/>
  </cols>
  <sheetData>
    <row r="1" spans="3:224" s="1" customFormat="1" ht="14.25"/>
    <row r="2" spans="3:224" ht="13.5" customHeight="1">
      <c r="D2" s="6" t="s">
        <v>0</v>
      </c>
    </row>
    <row r="3" spans="3:224" ht="20.100000000000001" customHeight="1">
      <c r="C3" s="7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  <c r="J3" s="8" t="s">
        <v>8</v>
      </c>
      <c r="K3" s="8" t="s">
        <v>9</v>
      </c>
      <c r="L3" s="8" t="s">
        <v>10</v>
      </c>
      <c r="M3" s="8" t="s">
        <v>11</v>
      </c>
      <c r="N3" s="8" t="s">
        <v>12</v>
      </c>
      <c r="O3" s="8" t="s">
        <v>11</v>
      </c>
      <c r="P3" s="8" t="s">
        <v>12</v>
      </c>
      <c r="Q3" s="8" t="s">
        <v>13</v>
      </c>
      <c r="R3" s="8" t="s">
        <v>14</v>
      </c>
      <c r="S3" s="8" t="s">
        <v>13</v>
      </c>
      <c r="T3" s="8" t="s">
        <v>14</v>
      </c>
      <c r="U3" s="8" t="s">
        <v>15</v>
      </c>
      <c r="V3" s="8" t="s">
        <v>16</v>
      </c>
      <c r="W3" s="8" t="s">
        <v>17</v>
      </c>
      <c r="X3" s="8" t="s">
        <v>18</v>
      </c>
      <c r="Y3" s="8" t="s">
        <v>19</v>
      </c>
      <c r="Z3" s="8" t="s">
        <v>20</v>
      </c>
      <c r="AA3" s="8" t="s">
        <v>21</v>
      </c>
      <c r="AB3" s="8" t="s">
        <v>22</v>
      </c>
      <c r="AC3" s="8" t="s">
        <v>23</v>
      </c>
      <c r="AD3" s="8" t="s">
        <v>24</v>
      </c>
      <c r="AE3" s="28" t="s">
        <v>25</v>
      </c>
    </row>
    <row r="4" spans="3:224" ht="20.100000000000001" customHeight="1">
      <c r="C4" s="7" t="s">
        <v>1</v>
      </c>
      <c r="D4" s="9" t="s">
        <v>26</v>
      </c>
      <c r="E4" s="10" t="s">
        <v>27</v>
      </c>
      <c r="F4" s="10" t="s">
        <v>28</v>
      </c>
      <c r="G4" s="10" t="s">
        <v>29</v>
      </c>
      <c r="H4" s="10" t="s">
        <v>30</v>
      </c>
      <c r="I4" s="10" t="s">
        <v>31</v>
      </c>
      <c r="J4" s="10" t="s">
        <v>32</v>
      </c>
      <c r="K4" s="10" t="s">
        <v>33</v>
      </c>
      <c r="L4" s="10" t="s">
        <v>34</v>
      </c>
      <c r="M4" s="10" t="s">
        <v>35</v>
      </c>
      <c r="N4" s="10" t="s">
        <v>36</v>
      </c>
      <c r="O4" s="10" t="s">
        <v>37</v>
      </c>
      <c r="P4" s="10" t="s">
        <v>38</v>
      </c>
      <c r="Q4" s="10" t="s">
        <v>39</v>
      </c>
      <c r="R4" s="10" t="s">
        <v>40</v>
      </c>
      <c r="S4" s="10" t="s">
        <v>41</v>
      </c>
      <c r="T4" s="10" t="s">
        <v>42</v>
      </c>
      <c r="U4" s="10" t="s">
        <v>43</v>
      </c>
      <c r="V4" s="10" t="s">
        <v>44</v>
      </c>
      <c r="W4" s="10" t="s">
        <v>45</v>
      </c>
      <c r="X4" s="10" t="s">
        <v>46</v>
      </c>
      <c r="Y4" s="10" t="s">
        <v>47</v>
      </c>
      <c r="Z4" s="10" t="s">
        <v>48</v>
      </c>
      <c r="AA4" s="10" t="s">
        <v>49</v>
      </c>
      <c r="AB4" s="29" t="s">
        <v>50</v>
      </c>
      <c r="AC4" s="29" t="s">
        <v>51</v>
      </c>
      <c r="AD4" s="29" t="s">
        <v>52</v>
      </c>
      <c r="AE4" s="28" t="s">
        <v>53</v>
      </c>
    </row>
    <row r="5" spans="3:224" ht="20.100000000000001" customHeight="1">
      <c r="C5" s="7" t="s">
        <v>54</v>
      </c>
      <c r="D5" s="8" t="s">
        <v>55</v>
      </c>
      <c r="E5" s="8" t="s">
        <v>54</v>
      </c>
      <c r="F5" s="8" t="s">
        <v>54</v>
      </c>
      <c r="G5" s="8" t="s">
        <v>54</v>
      </c>
      <c r="H5" s="8" t="s">
        <v>54</v>
      </c>
      <c r="I5" s="8" t="s">
        <v>56</v>
      </c>
      <c r="J5" s="8" t="s">
        <v>54</v>
      </c>
      <c r="K5" s="8" t="s">
        <v>54</v>
      </c>
      <c r="L5" s="8" t="s">
        <v>54</v>
      </c>
      <c r="M5" s="8" t="s">
        <v>54</v>
      </c>
      <c r="N5" s="8" t="s">
        <v>54</v>
      </c>
      <c r="O5" s="8" t="s">
        <v>54</v>
      </c>
      <c r="P5" s="8" t="s">
        <v>54</v>
      </c>
      <c r="Q5" s="8" t="s">
        <v>54</v>
      </c>
      <c r="R5" s="8" t="s">
        <v>54</v>
      </c>
      <c r="S5" s="8" t="s">
        <v>54</v>
      </c>
      <c r="T5" s="8" t="s">
        <v>54</v>
      </c>
      <c r="U5" s="8" t="s">
        <v>56</v>
      </c>
      <c r="V5" s="8" t="s">
        <v>56</v>
      </c>
      <c r="W5" s="8" t="s">
        <v>56</v>
      </c>
      <c r="X5" s="8" t="s">
        <v>56</v>
      </c>
      <c r="Y5" s="8" t="s">
        <v>56</v>
      </c>
      <c r="Z5" s="8" t="s">
        <v>56</v>
      </c>
      <c r="AA5" s="8" t="s">
        <v>54</v>
      </c>
      <c r="AB5" s="8" t="s">
        <v>57</v>
      </c>
      <c r="AC5" s="8" t="s">
        <v>58</v>
      </c>
      <c r="AD5" s="8" t="s">
        <v>58</v>
      </c>
      <c r="AE5" s="28" t="s">
        <v>54</v>
      </c>
    </row>
    <row r="6" spans="3:224" s="2" customFormat="1" ht="20.100000000000001" customHeight="1">
      <c r="C6" s="11">
        <v>40030001</v>
      </c>
      <c r="D6" s="12" t="s">
        <v>59</v>
      </c>
      <c r="E6" s="13">
        <v>0</v>
      </c>
      <c r="F6" s="13">
        <v>0</v>
      </c>
      <c r="G6" s="13">
        <v>1</v>
      </c>
      <c r="H6" s="13">
        <v>10</v>
      </c>
      <c r="I6" s="13">
        <v>0.3</v>
      </c>
      <c r="J6" s="20">
        <v>0</v>
      </c>
      <c r="K6" s="20">
        <v>0</v>
      </c>
      <c r="L6" s="21">
        <v>999999</v>
      </c>
      <c r="M6" s="21">
        <v>99999</v>
      </c>
      <c r="N6" s="21">
        <v>99999</v>
      </c>
      <c r="O6" s="21">
        <v>99999</v>
      </c>
      <c r="P6" s="21">
        <v>99999</v>
      </c>
      <c r="Q6" s="21">
        <v>99999</v>
      </c>
      <c r="R6" s="21">
        <v>99999</v>
      </c>
      <c r="S6" s="21">
        <v>99999</v>
      </c>
      <c r="T6" s="21">
        <v>99999</v>
      </c>
      <c r="U6" s="21">
        <v>0</v>
      </c>
      <c r="V6" s="21">
        <v>0</v>
      </c>
      <c r="W6" s="21">
        <v>0</v>
      </c>
      <c r="X6" s="21">
        <v>0</v>
      </c>
      <c r="Y6" s="21">
        <v>0</v>
      </c>
      <c r="Z6" s="21">
        <v>0</v>
      </c>
      <c r="AA6" s="21">
        <v>0</v>
      </c>
      <c r="AB6" s="20">
        <v>0</v>
      </c>
      <c r="AC6" s="20">
        <v>0</v>
      </c>
      <c r="AD6" s="20">
        <v>0</v>
      </c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</row>
    <row r="7" spans="3:224" s="2" customFormat="1" ht="20.100000000000001" customHeight="1">
      <c r="C7" s="11">
        <v>40030002</v>
      </c>
      <c r="D7" s="12" t="s">
        <v>60</v>
      </c>
      <c r="E7" s="13">
        <v>0</v>
      </c>
      <c r="F7" s="13">
        <v>0</v>
      </c>
      <c r="G7" s="13">
        <v>1</v>
      </c>
      <c r="H7" s="13">
        <v>10</v>
      </c>
      <c r="I7" s="13">
        <v>0.3</v>
      </c>
      <c r="J7" s="20">
        <v>0</v>
      </c>
      <c r="K7" s="20">
        <v>0</v>
      </c>
      <c r="L7" s="21">
        <v>999999</v>
      </c>
      <c r="M7" s="21">
        <v>0</v>
      </c>
      <c r="N7" s="21">
        <v>0</v>
      </c>
      <c r="O7" s="21">
        <v>0</v>
      </c>
      <c r="P7" s="21">
        <v>0</v>
      </c>
      <c r="Q7" s="21">
        <v>99999</v>
      </c>
      <c r="R7" s="21">
        <v>99999</v>
      </c>
      <c r="S7" s="21">
        <v>99999</v>
      </c>
      <c r="T7" s="21">
        <v>99999</v>
      </c>
      <c r="U7" s="21">
        <v>0</v>
      </c>
      <c r="V7" s="21">
        <v>0</v>
      </c>
      <c r="W7" s="21">
        <v>0</v>
      </c>
      <c r="X7" s="21">
        <v>0</v>
      </c>
      <c r="Y7" s="21">
        <v>0</v>
      </c>
      <c r="Z7" s="21">
        <v>0</v>
      </c>
      <c r="AA7" s="21">
        <v>0</v>
      </c>
      <c r="AB7" s="20">
        <v>0</v>
      </c>
      <c r="AC7" s="20">
        <v>0</v>
      </c>
      <c r="AD7" s="20">
        <v>0</v>
      </c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</row>
    <row r="8" spans="3:224" ht="20.100000000000001" customHeight="1">
      <c r="C8" s="55">
        <v>1800101</v>
      </c>
      <c r="D8" s="55" t="s">
        <v>486</v>
      </c>
      <c r="E8" s="14">
        <v>1140002</v>
      </c>
      <c r="F8" s="14">
        <v>0</v>
      </c>
      <c r="G8" s="14">
        <v>1</v>
      </c>
      <c r="H8" s="14">
        <v>20</v>
      </c>
      <c r="I8" s="22">
        <v>0.2</v>
      </c>
      <c r="J8" s="23">
        <v>10</v>
      </c>
      <c r="K8" s="14">
        <v>0</v>
      </c>
      <c r="L8" s="14">
        <v>1200</v>
      </c>
      <c r="M8" s="14">
        <v>0</v>
      </c>
      <c r="N8" s="14">
        <v>0</v>
      </c>
      <c r="O8" s="14">
        <v>0</v>
      </c>
      <c r="P8" s="14">
        <v>0</v>
      </c>
      <c r="Q8" s="14">
        <v>0</v>
      </c>
      <c r="R8" s="14">
        <v>0</v>
      </c>
      <c r="S8" s="14">
        <v>0</v>
      </c>
      <c r="T8" s="14">
        <v>0</v>
      </c>
      <c r="U8" s="22">
        <v>0</v>
      </c>
      <c r="V8" s="14">
        <v>0</v>
      </c>
      <c r="W8" s="14">
        <v>0</v>
      </c>
      <c r="X8" s="14">
        <v>0</v>
      </c>
      <c r="Y8" s="22">
        <v>0</v>
      </c>
      <c r="Z8" s="22">
        <v>0</v>
      </c>
      <c r="AA8" s="22">
        <v>0</v>
      </c>
      <c r="AB8" s="54">
        <v>0</v>
      </c>
      <c r="AC8" s="22">
        <v>0</v>
      </c>
      <c r="AD8" s="22">
        <v>0</v>
      </c>
      <c r="GR8" s="6"/>
      <c r="GS8" s="6"/>
      <c r="GT8" s="6"/>
      <c r="GU8" s="6"/>
      <c r="GV8" s="6"/>
      <c r="GW8" s="6"/>
      <c r="GX8" s="6"/>
      <c r="GY8" s="6"/>
      <c r="GZ8" s="6"/>
      <c r="HA8" s="6"/>
      <c r="HB8" s="6"/>
      <c r="HC8" s="6"/>
      <c r="HD8" s="6"/>
      <c r="HE8" s="6"/>
      <c r="HF8" s="6"/>
      <c r="HG8" s="6"/>
      <c r="HH8" s="6"/>
      <c r="HI8" s="6"/>
      <c r="HJ8" s="6"/>
      <c r="HK8" s="6"/>
      <c r="HL8" s="6"/>
      <c r="HM8" s="6"/>
      <c r="HN8" s="6"/>
      <c r="HO8" s="6"/>
      <c r="HP8" s="6"/>
    </row>
    <row r="9" spans="3:224" ht="20.100000000000001" customHeight="1">
      <c r="C9" s="55">
        <v>1800102</v>
      </c>
      <c r="D9" s="55" t="s">
        <v>487</v>
      </c>
      <c r="E9" s="14">
        <v>1140001</v>
      </c>
      <c r="F9" s="14">
        <v>0</v>
      </c>
      <c r="G9" s="14">
        <v>1</v>
      </c>
      <c r="H9" s="14">
        <v>20</v>
      </c>
      <c r="I9" s="22">
        <v>0.2</v>
      </c>
      <c r="J9" s="23">
        <v>10</v>
      </c>
      <c r="K9" s="14">
        <v>0</v>
      </c>
      <c r="L9" s="14">
        <v>0</v>
      </c>
      <c r="M9" s="14">
        <v>50</v>
      </c>
      <c r="N9" s="14">
        <v>50</v>
      </c>
      <c r="O9" s="14">
        <v>0</v>
      </c>
      <c r="P9" s="14">
        <v>0</v>
      </c>
      <c r="Q9" s="14">
        <v>0</v>
      </c>
      <c r="R9" s="14">
        <v>0</v>
      </c>
      <c r="S9" s="14">
        <v>20</v>
      </c>
      <c r="T9" s="14">
        <v>20</v>
      </c>
      <c r="U9" s="22">
        <v>0</v>
      </c>
      <c r="V9" s="14">
        <v>0</v>
      </c>
      <c r="W9" s="14">
        <v>0</v>
      </c>
      <c r="X9" s="14">
        <v>0</v>
      </c>
      <c r="Y9" s="22">
        <v>0</v>
      </c>
      <c r="Z9" s="22">
        <v>0</v>
      </c>
      <c r="AA9" s="22">
        <v>0</v>
      </c>
      <c r="AB9" s="54">
        <v>100202</v>
      </c>
      <c r="AC9" s="22">
        <v>300</v>
      </c>
      <c r="AD9" s="22">
        <v>1</v>
      </c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</row>
    <row r="10" spans="3:224" ht="20.100000000000001" customHeight="1">
      <c r="C10" s="55">
        <v>1800103</v>
      </c>
      <c r="D10" s="55" t="s">
        <v>488</v>
      </c>
      <c r="E10" s="14">
        <v>1140001</v>
      </c>
      <c r="F10" s="14">
        <v>0</v>
      </c>
      <c r="G10" s="14">
        <v>1</v>
      </c>
      <c r="H10" s="14">
        <v>20</v>
      </c>
      <c r="I10" s="22">
        <v>0.2</v>
      </c>
      <c r="J10" s="23">
        <v>10</v>
      </c>
      <c r="K10" s="14">
        <v>0</v>
      </c>
      <c r="L10" s="14">
        <v>0</v>
      </c>
      <c r="M10" s="14">
        <v>200</v>
      </c>
      <c r="N10" s="14">
        <v>200</v>
      </c>
      <c r="O10" s="14">
        <v>0</v>
      </c>
      <c r="P10" s="14">
        <v>0</v>
      </c>
      <c r="Q10" s="14">
        <v>0</v>
      </c>
      <c r="R10" s="14">
        <v>0</v>
      </c>
      <c r="S10" s="14">
        <v>0</v>
      </c>
      <c r="T10" s="14">
        <v>0</v>
      </c>
      <c r="U10" s="22">
        <v>0</v>
      </c>
      <c r="V10" s="14">
        <v>0</v>
      </c>
      <c r="W10" s="14">
        <v>0</v>
      </c>
      <c r="X10" s="14">
        <v>0</v>
      </c>
      <c r="Y10" s="22">
        <v>0</v>
      </c>
      <c r="Z10" s="22">
        <v>0</v>
      </c>
      <c r="AA10" s="22">
        <v>0</v>
      </c>
      <c r="AB10" s="54">
        <v>0</v>
      </c>
      <c r="AC10" s="22">
        <v>0</v>
      </c>
      <c r="AD10" s="22">
        <v>0</v>
      </c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</row>
    <row r="11" spans="3:224" ht="20.100000000000001" customHeight="1">
      <c r="C11" s="55">
        <v>1800104</v>
      </c>
      <c r="D11" s="55" t="s">
        <v>489</v>
      </c>
      <c r="E11" s="14">
        <v>1140003</v>
      </c>
      <c r="F11" s="14">
        <v>0</v>
      </c>
      <c r="G11" s="14">
        <v>1</v>
      </c>
      <c r="H11" s="14">
        <v>20</v>
      </c>
      <c r="I11" s="22">
        <v>0.2</v>
      </c>
      <c r="J11" s="23">
        <v>10</v>
      </c>
      <c r="K11" s="14">
        <v>0</v>
      </c>
      <c r="L11" s="14">
        <v>600</v>
      </c>
      <c r="M11" s="14">
        <v>0</v>
      </c>
      <c r="N11" s="14">
        <v>0</v>
      </c>
      <c r="O11" s="14">
        <v>0</v>
      </c>
      <c r="P11" s="14">
        <v>0</v>
      </c>
      <c r="Q11" s="14">
        <v>20</v>
      </c>
      <c r="R11" s="14">
        <v>20</v>
      </c>
      <c r="S11" s="14">
        <v>0</v>
      </c>
      <c r="T11" s="14">
        <v>0</v>
      </c>
      <c r="U11" s="22">
        <v>0</v>
      </c>
      <c r="V11" s="14">
        <v>0</v>
      </c>
      <c r="W11" s="14">
        <v>0</v>
      </c>
      <c r="X11" s="14">
        <v>0</v>
      </c>
      <c r="Y11" s="22">
        <v>0</v>
      </c>
      <c r="Z11" s="22">
        <v>0</v>
      </c>
      <c r="AA11" s="22">
        <v>0</v>
      </c>
      <c r="AB11" s="54">
        <v>0</v>
      </c>
      <c r="AC11" s="22">
        <v>0</v>
      </c>
      <c r="AD11" s="22">
        <v>0</v>
      </c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</row>
    <row r="12" spans="3:224" ht="20.100000000000001" customHeight="1">
      <c r="C12" s="55">
        <v>1800201</v>
      </c>
      <c r="D12" s="55" t="s">
        <v>486</v>
      </c>
      <c r="E12" s="14">
        <v>1140002</v>
      </c>
      <c r="F12" s="14">
        <v>0</v>
      </c>
      <c r="G12" s="14">
        <v>1</v>
      </c>
      <c r="H12" s="14">
        <v>20</v>
      </c>
      <c r="I12" s="22">
        <v>0.2</v>
      </c>
      <c r="J12" s="23">
        <v>15</v>
      </c>
      <c r="K12" s="14">
        <v>0</v>
      </c>
      <c r="L12" s="14">
        <v>1500</v>
      </c>
      <c r="M12" s="14">
        <v>0</v>
      </c>
      <c r="N12" s="14">
        <v>0</v>
      </c>
      <c r="O12" s="14">
        <v>0</v>
      </c>
      <c r="P12" s="14">
        <v>0</v>
      </c>
      <c r="Q12" s="14">
        <v>0</v>
      </c>
      <c r="R12" s="14">
        <v>0</v>
      </c>
      <c r="S12" s="14">
        <v>0</v>
      </c>
      <c r="T12" s="14">
        <v>0</v>
      </c>
      <c r="U12" s="22">
        <v>0</v>
      </c>
      <c r="V12" s="14">
        <v>0</v>
      </c>
      <c r="W12" s="14">
        <v>0</v>
      </c>
      <c r="X12" s="14">
        <v>0</v>
      </c>
      <c r="Y12" s="22">
        <v>0</v>
      </c>
      <c r="Z12" s="22">
        <v>0</v>
      </c>
      <c r="AA12" s="22">
        <v>0</v>
      </c>
      <c r="AB12" s="54">
        <v>0</v>
      </c>
      <c r="AC12" s="22">
        <v>0</v>
      </c>
      <c r="AD12" s="22">
        <v>0</v>
      </c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</row>
    <row r="13" spans="3:224" ht="20.100000000000001" customHeight="1">
      <c r="C13" s="55">
        <v>1800202</v>
      </c>
      <c r="D13" s="55" t="s">
        <v>487</v>
      </c>
      <c r="E13" s="14">
        <v>1140001</v>
      </c>
      <c r="F13" s="14">
        <v>0</v>
      </c>
      <c r="G13" s="14">
        <v>1</v>
      </c>
      <c r="H13" s="14">
        <v>20</v>
      </c>
      <c r="I13" s="22">
        <v>0.2</v>
      </c>
      <c r="J13" s="23">
        <v>15</v>
      </c>
      <c r="K13" s="14">
        <v>0</v>
      </c>
      <c r="L13" s="14">
        <v>0</v>
      </c>
      <c r="M13" s="14">
        <v>60</v>
      </c>
      <c r="N13" s="14">
        <v>60</v>
      </c>
      <c r="O13" s="14">
        <v>0</v>
      </c>
      <c r="P13" s="14">
        <v>0</v>
      </c>
      <c r="Q13" s="14">
        <v>0</v>
      </c>
      <c r="R13" s="14">
        <v>0</v>
      </c>
      <c r="S13" s="14">
        <v>30</v>
      </c>
      <c r="T13" s="14">
        <v>30</v>
      </c>
      <c r="U13" s="22">
        <v>0</v>
      </c>
      <c r="V13" s="14">
        <v>0</v>
      </c>
      <c r="W13" s="14">
        <v>0</v>
      </c>
      <c r="X13" s="14">
        <v>0</v>
      </c>
      <c r="Y13" s="22">
        <v>0</v>
      </c>
      <c r="Z13" s="22">
        <v>0</v>
      </c>
      <c r="AA13" s="22">
        <v>0</v>
      </c>
      <c r="AB13" s="54">
        <v>100202</v>
      </c>
      <c r="AC13" s="22">
        <v>300</v>
      </c>
      <c r="AD13" s="22">
        <v>1</v>
      </c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</row>
    <row r="14" spans="3:224" ht="20.100000000000001" customHeight="1">
      <c r="C14" s="55">
        <v>1800203</v>
      </c>
      <c r="D14" s="55" t="s">
        <v>488</v>
      </c>
      <c r="E14" s="14">
        <v>1140001</v>
      </c>
      <c r="F14" s="14">
        <v>0</v>
      </c>
      <c r="G14" s="14">
        <v>1</v>
      </c>
      <c r="H14" s="14">
        <v>20</v>
      </c>
      <c r="I14" s="22">
        <v>0.2</v>
      </c>
      <c r="J14" s="23">
        <v>15</v>
      </c>
      <c r="K14" s="14">
        <v>0</v>
      </c>
      <c r="L14" s="14">
        <v>750</v>
      </c>
      <c r="M14" s="14">
        <v>0</v>
      </c>
      <c r="N14" s="14">
        <v>0</v>
      </c>
      <c r="O14" s="14">
        <v>0</v>
      </c>
      <c r="P14" s="14">
        <v>0</v>
      </c>
      <c r="Q14" s="14">
        <v>0</v>
      </c>
      <c r="R14" s="14">
        <v>0</v>
      </c>
      <c r="S14" s="14">
        <v>0</v>
      </c>
      <c r="T14" s="14">
        <v>0</v>
      </c>
      <c r="U14" s="22">
        <v>0</v>
      </c>
      <c r="V14" s="14">
        <v>0</v>
      </c>
      <c r="W14" s="14">
        <v>0</v>
      </c>
      <c r="X14" s="14">
        <v>0</v>
      </c>
      <c r="Y14" s="22">
        <v>0</v>
      </c>
      <c r="Z14" s="22">
        <v>0</v>
      </c>
      <c r="AA14" s="22">
        <v>0</v>
      </c>
      <c r="AB14" s="54">
        <v>0</v>
      </c>
      <c r="AC14" s="22">
        <v>0</v>
      </c>
      <c r="AD14" s="22">
        <v>0</v>
      </c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</row>
    <row r="15" spans="3:224" ht="20.100000000000001" customHeight="1">
      <c r="C15" s="55">
        <v>1800204</v>
      </c>
      <c r="D15" s="55" t="s">
        <v>489</v>
      </c>
      <c r="E15" s="14">
        <v>1140003</v>
      </c>
      <c r="F15" s="14">
        <v>0</v>
      </c>
      <c r="G15" s="14">
        <v>1</v>
      </c>
      <c r="H15" s="14">
        <v>20</v>
      </c>
      <c r="I15" s="22">
        <v>0.2</v>
      </c>
      <c r="J15" s="23">
        <v>15</v>
      </c>
      <c r="K15" s="14">
        <v>0</v>
      </c>
      <c r="L15" s="14">
        <v>0</v>
      </c>
      <c r="M15" s="14">
        <v>240</v>
      </c>
      <c r="N15" s="14">
        <v>240</v>
      </c>
      <c r="O15" s="14">
        <v>0</v>
      </c>
      <c r="P15" s="14">
        <v>0</v>
      </c>
      <c r="Q15" s="14">
        <v>30</v>
      </c>
      <c r="R15" s="14">
        <v>30</v>
      </c>
      <c r="S15" s="14">
        <v>0</v>
      </c>
      <c r="T15" s="14">
        <v>0</v>
      </c>
      <c r="U15" s="22">
        <v>0</v>
      </c>
      <c r="V15" s="14">
        <v>0</v>
      </c>
      <c r="W15" s="14">
        <v>0</v>
      </c>
      <c r="X15" s="14">
        <v>0</v>
      </c>
      <c r="Y15" s="22">
        <v>0</v>
      </c>
      <c r="Z15" s="22">
        <v>0</v>
      </c>
      <c r="AA15" s="22">
        <v>0</v>
      </c>
      <c r="AB15" s="54">
        <v>0</v>
      </c>
      <c r="AC15" s="22">
        <v>0</v>
      </c>
      <c r="AD15" s="22">
        <v>0</v>
      </c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</row>
    <row r="16" spans="3:224" ht="20.100000000000001" customHeight="1">
      <c r="C16" s="55">
        <v>1800301</v>
      </c>
      <c r="D16" s="55" t="s">
        <v>486</v>
      </c>
      <c r="E16" s="14">
        <v>1140002</v>
      </c>
      <c r="F16" s="14">
        <v>0</v>
      </c>
      <c r="G16" s="14">
        <v>1</v>
      </c>
      <c r="H16" s="14">
        <v>20</v>
      </c>
      <c r="I16" s="22">
        <v>0.2</v>
      </c>
      <c r="J16" s="23">
        <v>20</v>
      </c>
      <c r="K16" s="14">
        <v>0</v>
      </c>
      <c r="L16" s="14">
        <v>1800</v>
      </c>
      <c r="M16" s="14">
        <v>0</v>
      </c>
      <c r="N16" s="14">
        <v>0</v>
      </c>
      <c r="O16" s="14">
        <v>0</v>
      </c>
      <c r="P16" s="14">
        <v>0</v>
      </c>
      <c r="Q16" s="14">
        <v>0</v>
      </c>
      <c r="R16" s="14">
        <v>0</v>
      </c>
      <c r="S16" s="14">
        <v>0</v>
      </c>
      <c r="T16" s="14">
        <v>0</v>
      </c>
      <c r="U16" s="22">
        <v>0</v>
      </c>
      <c r="V16" s="14">
        <v>0</v>
      </c>
      <c r="W16" s="14">
        <v>0</v>
      </c>
      <c r="X16" s="14">
        <v>0</v>
      </c>
      <c r="Y16" s="22">
        <v>0</v>
      </c>
      <c r="Z16" s="22">
        <v>0</v>
      </c>
      <c r="AA16" s="22">
        <v>0</v>
      </c>
      <c r="AB16" s="54">
        <v>0</v>
      </c>
      <c r="AC16" s="22">
        <v>0</v>
      </c>
      <c r="AD16" s="22">
        <v>0</v>
      </c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</row>
    <row r="17" spans="3:224" ht="20.100000000000001" customHeight="1">
      <c r="C17" s="55">
        <v>1800302</v>
      </c>
      <c r="D17" s="55" t="s">
        <v>487</v>
      </c>
      <c r="E17" s="14">
        <v>1140001</v>
      </c>
      <c r="F17" s="14">
        <v>0</v>
      </c>
      <c r="G17" s="14">
        <v>1</v>
      </c>
      <c r="H17" s="14">
        <v>20</v>
      </c>
      <c r="I17" s="22">
        <v>0.2</v>
      </c>
      <c r="J17" s="23">
        <v>20</v>
      </c>
      <c r="K17" s="14">
        <v>0</v>
      </c>
      <c r="L17" s="14">
        <v>0</v>
      </c>
      <c r="M17" s="14">
        <v>75</v>
      </c>
      <c r="N17" s="14">
        <v>75</v>
      </c>
      <c r="O17" s="14">
        <v>0</v>
      </c>
      <c r="P17" s="14">
        <v>0</v>
      </c>
      <c r="Q17" s="14">
        <v>0</v>
      </c>
      <c r="R17" s="14">
        <v>0</v>
      </c>
      <c r="S17" s="14">
        <v>45</v>
      </c>
      <c r="T17" s="14">
        <v>45</v>
      </c>
      <c r="U17" s="22">
        <v>0</v>
      </c>
      <c r="V17" s="14">
        <v>0</v>
      </c>
      <c r="W17" s="14">
        <v>0</v>
      </c>
      <c r="X17" s="14">
        <v>0</v>
      </c>
      <c r="Y17" s="22">
        <v>0</v>
      </c>
      <c r="Z17" s="22">
        <v>0</v>
      </c>
      <c r="AA17" s="22">
        <v>0</v>
      </c>
      <c r="AB17" s="54">
        <v>100202</v>
      </c>
      <c r="AC17" s="22">
        <v>300</v>
      </c>
      <c r="AD17" s="22">
        <v>1</v>
      </c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  <c r="HD17" s="6"/>
      <c r="HE17" s="6"/>
      <c r="HF17" s="6"/>
      <c r="HG17" s="6"/>
      <c r="HH17" s="6"/>
      <c r="HI17" s="6"/>
      <c r="HJ17" s="6"/>
      <c r="HK17" s="6"/>
      <c r="HL17" s="6"/>
      <c r="HM17" s="6"/>
      <c r="HN17" s="6"/>
      <c r="HO17" s="6"/>
      <c r="HP17" s="6"/>
    </row>
    <row r="18" spans="3:224" ht="20.100000000000001" customHeight="1">
      <c r="C18" s="55">
        <v>1800303</v>
      </c>
      <c r="D18" s="55" t="s">
        <v>488</v>
      </c>
      <c r="E18" s="14">
        <v>1140001</v>
      </c>
      <c r="F18" s="14">
        <v>0</v>
      </c>
      <c r="G18" s="14">
        <v>1</v>
      </c>
      <c r="H18" s="14">
        <v>20</v>
      </c>
      <c r="I18" s="22">
        <v>0.2</v>
      </c>
      <c r="J18" s="23">
        <v>20</v>
      </c>
      <c r="K18" s="14">
        <v>0</v>
      </c>
      <c r="L18" s="14">
        <v>0</v>
      </c>
      <c r="M18" s="14">
        <v>300</v>
      </c>
      <c r="N18" s="14">
        <v>300</v>
      </c>
      <c r="O18" s="14">
        <v>0</v>
      </c>
      <c r="P18" s="14">
        <v>0</v>
      </c>
      <c r="Q18" s="14">
        <v>0</v>
      </c>
      <c r="R18" s="14">
        <v>0</v>
      </c>
      <c r="S18" s="14">
        <v>0</v>
      </c>
      <c r="T18" s="14">
        <v>0</v>
      </c>
      <c r="U18" s="22">
        <v>0</v>
      </c>
      <c r="V18" s="14">
        <v>0</v>
      </c>
      <c r="W18" s="14">
        <v>0</v>
      </c>
      <c r="X18" s="14">
        <v>0</v>
      </c>
      <c r="Y18" s="22">
        <v>0</v>
      </c>
      <c r="Z18" s="22">
        <v>0</v>
      </c>
      <c r="AA18" s="22">
        <v>0</v>
      </c>
      <c r="AB18" s="54">
        <v>0</v>
      </c>
      <c r="AC18" s="22">
        <v>0</v>
      </c>
      <c r="AD18" s="22">
        <v>0</v>
      </c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</row>
    <row r="19" spans="3:224" ht="20.100000000000001" customHeight="1">
      <c r="C19" s="55">
        <v>1800304</v>
      </c>
      <c r="D19" s="55" t="s">
        <v>489</v>
      </c>
      <c r="E19" s="14">
        <v>1140003</v>
      </c>
      <c r="F19" s="14">
        <v>0</v>
      </c>
      <c r="G19" s="14">
        <v>1</v>
      </c>
      <c r="H19" s="14">
        <v>20</v>
      </c>
      <c r="I19" s="22">
        <v>0.2</v>
      </c>
      <c r="J19" s="23">
        <v>20</v>
      </c>
      <c r="K19" s="14">
        <v>0</v>
      </c>
      <c r="L19" s="14">
        <v>900</v>
      </c>
      <c r="M19" s="14">
        <v>0</v>
      </c>
      <c r="N19" s="14">
        <v>0</v>
      </c>
      <c r="O19" s="14">
        <v>0</v>
      </c>
      <c r="P19" s="14">
        <v>0</v>
      </c>
      <c r="Q19" s="14">
        <v>45</v>
      </c>
      <c r="R19" s="14">
        <v>45</v>
      </c>
      <c r="S19" s="14">
        <v>0</v>
      </c>
      <c r="T19" s="14">
        <v>0</v>
      </c>
      <c r="U19" s="22">
        <v>0</v>
      </c>
      <c r="V19" s="14">
        <v>0</v>
      </c>
      <c r="W19" s="14">
        <v>0</v>
      </c>
      <c r="X19" s="14">
        <v>0</v>
      </c>
      <c r="Y19" s="22">
        <v>0</v>
      </c>
      <c r="Z19" s="22">
        <v>0</v>
      </c>
      <c r="AA19" s="22">
        <v>0</v>
      </c>
      <c r="AB19" s="54">
        <v>0</v>
      </c>
      <c r="AC19" s="22">
        <v>0</v>
      </c>
      <c r="AD19" s="22">
        <v>0</v>
      </c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</row>
    <row r="20" spans="3:224" ht="20.100000000000001" customHeight="1">
      <c r="C20" s="55">
        <v>1800401</v>
      </c>
      <c r="D20" s="55" t="s">
        <v>486</v>
      </c>
      <c r="E20" s="14">
        <v>1140002</v>
      </c>
      <c r="F20" s="14">
        <v>0</v>
      </c>
      <c r="G20" s="14">
        <v>1</v>
      </c>
      <c r="H20" s="14">
        <v>20</v>
      </c>
      <c r="I20" s="22">
        <v>0.2</v>
      </c>
      <c r="J20" s="23">
        <v>25</v>
      </c>
      <c r="K20" s="14">
        <v>0</v>
      </c>
      <c r="L20" s="14">
        <v>2100</v>
      </c>
      <c r="M20" s="14">
        <v>0</v>
      </c>
      <c r="N20" s="14">
        <v>0</v>
      </c>
      <c r="O20" s="14">
        <v>0</v>
      </c>
      <c r="P20" s="14">
        <v>0</v>
      </c>
      <c r="Q20" s="14">
        <v>0</v>
      </c>
      <c r="R20" s="14">
        <v>0</v>
      </c>
      <c r="S20" s="14">
        <v>0</v>
      </c>
      <c r="T20" s="14">
        <v>0</v>
      </c>
      <c r="U20" s="22">
        <v>0</v>
      </c>
      <c r="V20" s="14">
        <v>0</v>
      </c>
      <c r="W20" s="14">
        <v>0</v>
      </c>
      <c r="X20" s="14">
        <v>0</v>
      </c>
      <c r="Y20" s="22">
        <v>0</v>
      </c>
      <c r="Z20" s="22">
        <v>0</v>
      </c>
      <c r="AA20" s="22">
        <v>0</v>
      </c>
      <c r="AB20" s="54">
        <v>0</v>
      </c>
      <c r="AC20" s="22">
        <v>0</v>
      </c>
      <c r="AD20" s="22">
        <v>0</v>
      </c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</row>
    <row r="21" spans="3:224" ht="20.100000000000001" customHeight="1">
      <c r="C21" s="55">
        <v>1800402</v>
      </c>
      <c r="D21" s="55" t="s">
        <v>487</v>
      </c>
      <c r="E21" s="14">
        <v>1140001</v>
      </c>
      <c r="F21" s="14">
        <v>0</v>
      </c>
      <c r="G21" s="14">
        <v>1</v>
      </c>
      <c r="H21" s="14">
        <v>20</v>
      </c>
      <c r="I21" s="22">
        <v>0.2</v>
      </c>
      <c r="J21" s="23">
        <v>25</v>
      </c>
      <c r="K21" s="14">
        <v>0</v>
      </c>
      <c r="L21" s="14">
        <v>0</v>
      </c>
      <c r="M21" s="14">
        <v>90</v>
      </c>
      <c r="N21" s="14">
        <v>90</v>
      </c>
      <c r="O21" s="14">
        <v>0</v>
      </c>
      <c r="P21" s="14">
        <v>0</v>
      </c>
      <c r="Q21" s="14">
        <v>0</v>
      </c>
      <c r="R21" s="14">
        <v>0</v>
      </c>
      <c r="S21" s="14">
        <v>60</v>
      </c>
      <c r="T21" s="14">
        <v>60</v>
      </c>
      <c r="U21" s="22">
        <v>0</v>
      </c>
      <c r="V21" s="14">
        <v>0</v>
      </c>
      <c r="W21" s="14">
        <v>0</v>
      </c>
      <c r="X21" s="14">
        <v>0</v>
      </c>
      <c r="Y21" s="22">
        <v>0</v>
      </c>
      <c r="Z21" s="22">
        <v>0</v>
      </c>
      <c r="AA21" s="22">
        <v>0</v>
      </c>
      <c r="AB21" s="54">
        <v>100202</v>
      </c>
      <c r="AC21" s="22">
        <v>300</v>
      </c>
      <c r="AD21" s="22">
        <v>1</v>
      </c>
      <c r="GR21" s="6"/>
      <c r="GS21" s="6"/>
      <c r="GT21" s="6"/>
      <c r="GU21" s="6"/>
      <c r="GV21" s="6"/>
      <c r="GW21" s="6"/>
      <c r="GX21" s="6"/>
      <c r="GY21" s="6"/>
      <c r="GZ21" s="6"/>
      <c r="HA21" s="6"/>
      <c r="HB21" s="6"/>
      <c r="HC21" s="6"/>
      <c r="HD21" s="6"/>
      <c r="HE21" s="6"/>
      <c r="HF21" s="6"/>
      <c r="HG21" s="6"/>
      <c r="HH21" s="6"/>
      <c r="HI21" s="6"/>
      <c r="HJ21" s="6"/>
      <c r="HK21" s="6"/>
      <c r="HL21" s="6"/>
      <c r="HM21" s="6"/>
      <c r="HN21" s="6"/>
      <c r="HO21" s="6"/>
      <c r="HP21" s="6"/>
    </row>
    <row r="22" spans="3:224" ht="20.100000000000001" customHeight="1">
      <c r="C22" s="55">
        <v>1800403</v>
      </c>
      <c r="D22" s="55" t="s">
        <v>488</v>
      </c>
      <c r="E22" s="14">
        <v>1140001</v>
      </c>
      <c r="F22" s="14">
        <v>0</v>
      </c>
      <c r="G22" s="14">
        <v>1</v>
      </c>
      <c r="H22" s="14">
        <v>20</v>
      </c>
      <c r="I22" s="22">
        <v>0.2</v>
      </c>
      <c r="J22" s="23">
        <v>25</v>
      </c>
      <c r="K22" s="14">
        <v>0</v>
      </c>
      <c r="L22" s="14">
        <v>0</v>
      </c>
      <c r="M22" s="14">
        <v>360</v>
      </c>
      <c r="N22" s="14">
        <v>360</v>
      </c>
      <c r="O22" s="14">
        <v>0</v>
      </c>
      <c r="P22" s="14">
        <v>0</v>
      </c>
      <c r="Q22" s="14">
        <v>0</v>
      </c>
      <c r="R22" s="14">
        <v>0</v>
      </c>
      <c r="S22" s="14">
        <v>0</v>
      </c>
      <c r="T22" s="14">
        <v>0</v>
      </c>
      <c r="U22" s="22">
        <v>0</v>
      </c>
      <c r="V22" s="14">
        <v>0</v>
      </c>
      <c r="W22" s="14">
        <v>0</v>
      </c>
      <c r="X22" s="14">
        <v>0</v>
      </c>
      <c r="Y22" s="22">
        <v>0</v>
      </c>
      <c r="Z22" s="22">
        <v>0</v>
      </c>
      <c r="AA22" s="22">
        <v>0</v>
      </c>
      <c r="AB22" s="54">
        <v>0</v>
      </c>
      <c r="AC22" s="22">
        <v>0</v>
      </c>
      <c r="AD22" s="22">
        <v>0</v>
      </c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</row>
    <row r="23" spans="3:224" ht="20.100000000000001" customHeight="1">
      <c r="C23" s="55">
        <v>1800404</v>
      </c>
      <c r="D23" s="55" t="s">
        <v>489</v>
      </c>
      <c r="E23" s="14">
        <v>1140003</v>
      </c>
      <c r="F23" s="14">
        <v>0</v>
      </c>
      <c r="G23" s="14">
        <v>1</v>
      </c>
      <c r="H23" s="14">
        <v>20</v>
      </c>
      <c r="I23" s="22">
        <v>0.2</v>
      </c>
      <c r="J23" s="23">
        <v>25</v>
      </c>
      <c r="K23" s="14">
        <v>0</v>
      </c>
      <c r="L23" s="14">
        <v>1050</v>
      </c>
      <c r="M23" s="14">
        <v>0</v>
      </c>
      <c r="N23" s="14">
        <v>0</v>
      </c>
      <c r="O23" s="14">
        <v>0</v>
      </c>
      <c r="P23" s="14">
        <v>0</v>
      </c>
      <c r="Q23" s="14">
        <v>60</v>
      </c>
      <c r="R23" s="14">
        <v>60</v>
      </c>
      <c r="S23" s="14">
        <v>0</v>
      </c>
      <c r="T23" s="14">
        <v>0</v>
      </c>
      <c r="U23" s="22">
        <v>0</v>
      </c>
      <c r="V23" s="14">
        <v>0</v>
      </c>
      <c r="W23" s="14">
        <v>0</v>
      </c>
      <c r="X23" s="14">
        <v>0</v>
      </c>
      <c r="Y23" s="22">
        <v>0</v>
      </c>
      <c r="Z23" s="22">
        <v>0</v>
      </c>
      <c r="AA23" s="22">
        <v>0</v>
      </c>
      <c r="AB23" s="54">
        <v>0</v>
      </c>
      <c r="AC23" s="22">
        <v>0</v>
      </c>
      <c r="AD23" s="22">
        <v>0</v>
      </c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</row>
    <row r="24" spans="3:224" ht="20.100000000000001" customHeight="1">
      <c r="C24" s="11">
        <v>10090101</v>
      </c>
      <c r="D24" s="11" t="s">
        <v>61</v>
      </c>
      <c r="E24" s="14">
        <v>1140003</v>
      </c>
      <c r="F24" s="14">
        <v>0</v>
      </c>
      <c r="G24" s="14">
        <v>1</v>
      </c>
      <c r="H24" s="14">
        <v>20</v>
      </c>
      <c r="I24" s="22">
        <v>0.2</v>
      </c>
      <c r="J24" s="23">
        <v>5</v>
      </c>
      <c r="K24" s="14">
        <v>0</v>
      </c>
      <c r="L24" s="14"/>
      <c r="M24" s="14">
        <v>0</v>
      </c>
      <c r="N24" s="14">
        <v>0</v>
      </c>
      <c r="O24" s="14">
        <v>0</v>
      </c>
      <c r="P24" s="14">
        <v>0</v>
      </c>
      <c r="Q24" s="14">
        <v>0</v>
      </c>
      <c r="R24" s="14">
        <v>0</v>
      </c>
      <c r="S24" s="14">
        <v>0</v>
      </c>
      <c r="T24" s="14">
        <v>0</v>
      </c>
      <c r="U24" s="22">
        <v>0</v>
      </c>
      <c r="V24" s="14">
        <v>0</v>
      </c>
      <c r="W24" s="14">
        <v>0</v>
      </c>
      <c r="X24" s="14">
        <v>0</v>
      </c>
      <c r="Y24" s="22">
        <v>0</v>
      </c>
      <c r="Z24" s="22">
        <v>0</v>
      </c>
      <c r="AA24" s="22">
        <v>0</v>
      </c>
      <c r="AB24" s="54" t="s">
        <v>62</v>
      </c>
      <c r="AC24" s="22" t="s">
        <v>63</v>
      </c>
      <c r="AD24" s="22" t="s">
        <v>64</v>
      </c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</row>
    <row r="25" spans="3:224" ht="20.100000000000001" customHeight="1">
      <c r="C25" s="11">
        <v>10090102</v>
      </c>
      <c r="D25" s="11" t="s">
        <v>65</v>
      </c>
      <c r="E25" s="14">
        <v>1140003</v>
      </c>
      <c r="F25" s="14">
        <v>0</v>
      </c>
      <c r="G25" s="14">
        <v>1</v>
      </c>
      <c r="H25" s="14">
        <v>20</v>
      </c>
      <c r="I25" s="22">
        <v>0.2</v>
      </c>
      <c r="J25" s="23">
        <v>5</v>
      </c>
      <c r="K25" s="14">
        <v>0</v>
      </c>
      <c r="L25" s="14"/>
      <c r="M25" s="14">
        <v>0</v>
      </c>
      <c r="N25" s="14">
        <v>0</v>
      </c>
      <c r="O25" s="14">
        <v>0</v>
      </c>
      <c r="P25" s="14">
        <v>0</v>
      </c>
      <c r="Q25" s="14">
        <v>0</v>
      </c>
      <c r="R25" s="14">
        <v>0</v>
      </c>
      <c r="S25" s="14">
        <v>0</v>
      </c>
      <c r="T25" s="14">
        <v>0</v>
      </c>
      <c r="U25" s="22">
        <v>0</v>
      </c>
      <c r="V25" s="14">
        <v>0</v>
      </c>
      <c r="W25" s="14">
        <v>0</v>
      </c>
      <c r="X25" s="14">
        <v>0</v>
      </c>
      <c r="Y25" s="22">
        <v>0</v>
      </c>
      <c r="Z25" s="22">
        <v>0</v>
      </c>
      <c r="AA25" s="22">
        <v>0</v>
      </c>
      <c r="AB25" s="54" t="s">
        <v>66</v>
      </c>
      <c r="AC25" s="22" t="s">
        <v>63</v>
      </c>
      <c r="AD25" s="22" t="s">
        <v>64</v>
      </c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</row>
    <row r="26" spans="3:224" ht="20.100000000000001" customHeight="1">
      <c r="C26" s="11">
        <v>10090201</v>
      </c>
      <c r="D26" s="11" t="s">
        <v>67</v>
      </c>
      <c r="E26" s="14">
        <v>1140003</v>
      </c>
      <c r="F26" s="14">
        <v>0</v>
      </c>
      <c r="G26" s="14">
        <v>1</v>
      </c>
      <c r="H26" s="14">
        <v>20</v>
      </c>
      <c r="I26" s="22">
        <v>0.2</v>
      </c>
      <c r="J26" s="23">
        <v>5</v>
      </c>
      <c r="K26" s="14">
        <v>0</v>
      </c>
      <c r="L26" s="14"/>
      <c r="M26" s="14">
        <v>0</v>
      </c>
      <c r="N26" s="14">
        <v>0</v>
      </c>
      <c r="O26" s="14">
        <v>0</v>
      </c>
      <c r="P26" s="14">
        <v>0</v>
      </c>
      <c r="Q26" s="14">
        <v>0</v>
      </c>
      <c r="R26" s="14">
        <v>0</v>
      </c>
      <c r="S26" s="14">
        <v>0</v>
      </c>
      <c r="T26" s="14">
        <v>0</v>
      </c>
      <c r="U26" s="22">
        <v>0</v>
      </c>
      <c r="V26" s="14">
        <v>0</v>
      </c>
      <c r="W26" s="14">
        <v>0</v>
      </c>
      <c r="X26" s="14">
        <v>0</v>
      </c>
      <c r="Y26" s="22">
        <v>0</v>
      </c>
      <c r="Z26" s="22">
        <v>0</v>
      </c>
      <c r="AA26" s="22">
        <v>0</v>
      </c>
      <c r="AB26" s="54" t="s">
        <v>62</v>
      </c>
      <c r="AC26" s="22" t="s">
        <v>68</v>
      </c>
      <c r="AD26" s="22" t="s">
        <v>64</v>
      </c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</row>
    <row r="27" spans="3:224" ht="20.100000000000001" customHeight="1">
      <c r="C27" s="11">
        <v>10090202</v>
      </c>
      <c r="D27" s="11" t="s">
        <v>69</v>
      </c>
      <c r="E27" s="14">
        <v>1140003</v>
      </c>
      <c r="F27" s="14">
        <v>0</v>
      </c>
      <c r="G27" s="14">
        <v>1</v>
      </c>
      <c r="H27" s="14">
        <v>20</v>
      </c>
      <c r="I27" s="22">
        <v>0.2</v>
      </c>
      <c r="J27" s="23">
        <v>5</v>
      </c>
      <c r="K27" s="14">
        <v>0</v>
      </c>
      <c r="L27" s="14"/>
      <c r="M27" s="14">
        <v>0</v>
      </c>
      <c r="N27" s="14">
        <v>0</v>
      </c>
      <c r="O27" s="14">
        <v>0</v>
      </c>
      <c r="P27" s="14">
        <v>0</v>
      </c>
      <c r="Q27" s="14">
        <v>0</v>
      </c>
      <c r="R27" s="14">
        <v>0</v>
      </c>
      <c r="S27" s="14">
        <v>0</v>
      </c>
      <c r="T27" s="14">
        <v>0</v>
      </c>
      <c r="U27" s="22">
        <v>0</v>
      </c>
      <c r="V27" s="14">
        <v>0</v>
      </c>
      <c r="W27" s="14">
        <v>0</v>
      </c>
      <c r="X27" s="14">
        <v>0</v>
      </c>
      <c r="Y27" s="22">
        <v>0</v>
      </c>
      <c r="Z27" s="22">
        <v>0</v>
      </c>
      <c r="AA27" s="22">
        <v>0</v>
      </c>
      <c r="AB27" s="54" t="s">
        <v>66</v>
      </c>
      <c r="AC27" s="22" t="s">
        <v>68</v>
      </c>
      <c r="AD27" s="22" t="s">
        <v>64</v>
      </c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</row>
    <row r="28" spans="3:224" ht="20.100000000000001" customHeight="1">
      <c r="C28" s="11">
        <v>10090301</v>
      </c>
      <c r="D28" s="11" t="s">
        <v>70</v>
      </c>
      <c r="E28" s="14">
        <v>1140003</v>
      </c>
      <c r="F28" s="14">
        <v>0</v>
      </c>
      <c r="G28" s="14">
        <v>1</v>
      </c>
      <c r="H28" s="14">
        <v>20</v>
      </c>
      <c r="I28" s="22">
        <v>0.2</v>
      </c>
      <c r="J28" s="23">
        <v>5</v>
      </c>
      <c r="K28" s="14">
        <v>0</v>
      </c>
      <c r="L28" s="14"/>
      <c r="M28" s="14">
        <v>0</v>
      </c>
      <c r="N28" s="14">
        <v>0</v>
      </c>
      <c r="O28" s="14">
        <v>0</v>
      </c>
      <c r="P28" s="14">
        <v>0</v>
      </c>
      <c r="Q28" s="14">
        <v>0</v>
      </c>
      <c r="R28" s="14">
        <v>0</v>
      </c>
      <c r="S28" s="14">
        <v>0</v>
      </c>
      <c r="T28" s="14">
        <v>0</v>
      </c>
      <c r="U28" s="22">
        <v>0</v>
      </c>
      <c r="V28" s="14">
        <v>0</v>
      </c>
      <c r="W28" s="14">
        <v>0</v>
      </c>
      <c r="X28" s="14">
        <v>0</v>
      </c>
      <c r="Y28" s="22">
        <v>0</v>
      </c>
      <c r="Z28" s="22">
        <v>0</v>
      </c>
      <c r="AA28" s="22">
        <v>0</v>
      </c>
      <c r="AB28" s="54" t="s">
        <v>62</v>
      </c>
      <c r="AC28" s="22" t="s">
        <v>71</v>
      </c>
      <c r="AD28" s="22" t="s">
        <v>64</v>
      </c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</row>
    <row r="29" spans="3:224" ht="20.100000000000001" customHeight="1">
      <c r="C29" s="11">
        <v>10090302</v>
      </c>
      <c r="D29" s="11" t="s">
        <v>72</v>
      </c>
      <c r="E29" s="14">
        <v>1140003</v>
      </c>
      <c r="F29" s="14">
        <v>0</v>
      </c>
      <c r="G29" s="14">
        <v>1</v>
      </c>
      <c r="H29" s="14">
        <v>20</v>
      </c>
      <c r="I29" s="22">
        <v>0.2</v>
      </c>
      <c r="J29" s="23">
        <v>5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0</v>
      </c>
      <c r="R29" s="14">
        <v>0</v>
      </c>
      <c r="S29" s="14">
        <v>0</v>
      </c>
      <c r="T29" s="14">
        <v>0</v>
      </c>
      <c r="U29" s="22">
        <v>0</v>
      </c>
      <c r="V29" s="14">
        <v>0</v>
      </c>
      <c r="W29" s="14">
        <v>0</v>
      </c>
      <c r="X29" s="14">
        <v>0</v>
      </c>
      <c r="Y29" s="22">
        <v>0</v>
      </c>
      <c r="Z29" s="22">
        <v>0</v>
      </c>
      <c r="AA29" s="22">
        <v>0</v>
      </c>
      <c r="AB29" s="54" t="s">
        <v>66</v>
      </c>
      <c r="AC29" s="22" t="s">
        <v>71</v>
      </c>
      <c r="AD29" s="22" t="s">
        <v>64</v>
      </c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</row>
    <row r="30" spans="3:224" s="3" customFormat="1" ht="20.100000000000001" customHeight="1">
      <c r="C30" s="11">
        <v>14000001</v>
      </c>
      <c r="D30" s="15" t="s">
        <v>73</v>
      </c>
      <c r="E30" s="16">
        <v>1140001</v>
      </c>
      <c r="F30" s="16">
        <v>0</v>
      </c>
      <c r="G30" s="16">
        <v>1</v>
      </c>
      <c r="H30" s="16">
        <v>60</v>
      </c>
      <c r="I30" s="24">
        <v>0.2</v>
      </c>
      <c r="J30" s="25">
        <v>25</v>
      </c>
      <c r="K30" s="16">
        <v>0</v>
      </c>
      <c r="L30" s="16">
        <v>0</v>
      </c>
      <c r="M30" s="16">
        <v>520</v>
      </c>
      <c r="N30" s="16">
        <v>1050</v>
      </c>
      <c r="O30" s="16">
        <v>0</v>
      </c>
      <c r="P30" s="16">
        <v>0</v>
      </c>
      <c r="Q30" s="16">
        <f t="shared" ref="Q30:Q35" si="0">ROUND(R30/2,0)</f>
        <v>0</v>
      </c>
      <c r="R30" s="16">
        <v>0</v>
      </c>
      <c r="S30" s="16">
        <f t="shared" ref="S30:S35" si="1">ROUND(T30/2,0)</f>
        <v>0</v>
      </c>
      <c r="T30" s="16">
        <v>0</v>
      </c>
      <c r="U30" s="24">
        <v>0</v>
      </c>
      <c r="V30" s="16">
        <v>0</v>
      </c>
      <c r="W30" s="16">
        <v>0</v>
      </c>
      <c r="X30" s="16">
        <v>0</v>
      </c>
      <c r="Y30" s="24">
        <v>0</v>
      </c>
      <c r="Z30" s="24">
        <v>0</v>
      </c>
      <c r="AA30" s="24">
        <v>0</v>
      </c>
      <c r="AB30" s="24">
        <v>0</v>
      </c>
      <c r="AC30" s="24">
        <v>0</v>
      </c>
      <c r="AD30" s="24">
        <v>0</v>
      </c>
      <c r="AE30" s="31">
        <v>100009</v>
      </c>
      <c r="AF30" s="32"/>
      <c r="AG30" s="32"/>
      <c r="AH30" s="32"/>
      <c r="AI30" s="32"/>
      <c r="AJ30" s="32"/>
      <c r="AK30" s="32"/>
      <c r="AL30" s="32"/>
      <c r="AM30" s="32"/>
      <c r="AN30" s="32"/>
      <c r="AO30" s="32"/>
      <c r="AP30" s="32"/>
      <c r="AQ30" s="32"/>
      <c r="AR30" s="32"/>
      <c r="AS30" s="32"/>
      <c r="AT30" s="32"/>
      <c r="AU30" s="32"/>
      <c r="AV30" s="32"/>
      <c r="AW30" s="32"/>
      <c r="AX30" s="32"/>
      <c r="AY30" s="32"/>
      <c r="AZ30" s="32"/>
      <c r="BA30" s="32"/>
      <c r="BB30" s="32"/>
      <c r="BC30" s="32"/>
      <c r="BD30" s="32"/>
      <c r="BE30" s="32"/>
      <c r="BF30" s="32"/>
      <c r="BG30" s="32"/>
      <c r="BH30" s="32"/>
      <c r="BI30" s="32"/>
      <c r="BJ30" s="32"/>
      <c r="BK30" s="32"/>
      <c r="BL30" s="32"/>
      <c r="BM30" s="32"/>
      <c r="BN30" s="32"/>
      <c r="BO30" s="32"/>
      <c r="BP30" s="3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  <c r="CE30" s="32"/>
      <c r="CF30" s="32"/>
      <c r="CG30" s="32"/>
      <c r="CH30" s="32"/>
      <c r="CI30" s="32"/>
      <c r="CJ30" s="32"/>
      <c r="CK30" s="32"/>
      <c r="CL30" s="32"/>
      <c r="CM30" s="32"/>
      <c r="CN30" s="32"/>
      <c r="CO30" s="32"/>
      <c r="CP30" s="32"/>
      <c r="CQ30" s="32"/>
      <c r="CR30" s="32"/>
      <c r="CS30" s="32"/>
      <c r="CT30" s="32"/>
      <c r="CU30" s="32"/>
      <c r="CV30" s="32"/>
      <c r="CW30" s="32"/>
      <c r="CX30" s="32"/>
      <c r="CY30" s="32"/>
      <c r="CZ30" s="32"/>
      <c r="DA30" s="32"/>
      <c r="DB30" s="32"/>
      <c r="DC30" s="32"/>
      <c r="DD30" s="32"/>
      <c r="DE30" s="32"/>
      <c r="DF30" s="32"/>
      <c r="DG30" s="32"/>
      <c r="DH30" s="32"/>
      <c r="DI30" s="32"/>
      <c r="DJ30" s="32"/>
      <c r="DK30" s="32"/>
      <c r="DL30" s="32"/>
      <c r="DM30" s="32"/>
      <c r="DN30" s="32"/>
      <c r="DO30" s="32"/>
      <c r="DP30" s="32"/>
      <c r="DQ30" s="32"/>
      <c r="DR30" s="32"/>
      <c r="DS30" s="32"/>
      <c r="DT30" s="32"/>
      <c r="DU30" s="32"/>
      <c r="DV30" s="32"/>
      <c r="DW30" s="32"/>
      <c r="DX30" s="32"/>
      <c r="DY30" s="32"/>
      <c r="DZ30" s="32"/>
      <c r="EA30" s="32"/>
      <c r="EB30" s="32"/>
      <c r="EC30" s="32"/>
      <c r="ED30" s="32"/>
      <c r="EE30" s="32"/>
      <c r="EF30" s="32"/>
      <c r="EG30" s="32"/>
      <c r="EH30" s="32"/>
      <c r="EI30" s="32"/>
      <c r="EJ30" s="32"/>
      <c r="EK30" s="32"/>
      <c r="EL30" s="32"/>
      <c r="EM30" s="32"/>
      <c r="EN30" s="32"/>
      <c r="EO30" s="32"/>
      <c r="EP30" s="32"/>
      <c r="EQ30" s="32"/>
      <c r="ER30" s="32"/>
      <c r="ES30" s="32"/>
      <c r="ET30" s="32"/>
      <c r="EU30" s="32"/>
      <c r="EV30" s="32"/>
      <c r="EW30" s="32"/>
      <c r="EX30" s="32"/>
      <c r="EY30" s="32"/>
      <c r="EZ30" s="32"/>
      <c r="FA30" s="32"/>
      <c r="FB30" s="32"/>
      <c r="FC30" s="32"/>
      <c r="FD30" s="32"/>
      <c r="FE30" s="32"/>
      <c r="FF30" s="32"/>
      <c r="FG30" s="32"/>
      <c r="FH30" s="32"/>
      <c r="FI30" s="32"/>
      <c r="FJ30" s="32"/>
      <c r="FK30" s="32"/>
      <c r="FL30" s="32"/>
      <c r="FM30" s="32"/>
      <c r="FN30" s="32"/>
      <c r="FO30" s="32"/>
      <c r="FP30" s="32"/>
      <c r="FQ30" s="32"/>
      <c r="FR30" s="32"/>
      <c r="FS30" s="32"/>
      <c r="FT30" s="32"/>
      <c r="FU30" s="32"/>
      <c r="FV30" s="32"/>
      <c r="FW30" s="32"/>
      <c r="FX30" s="32"/>
      <c r="FY30" s="32"/>
      <c r="FZ30" s="32"/>
      <c r="GA30" s="32"/>
      <c r="GB30" s="32"/>
      <c r="GC30" s="32"/>
      <c r="GD30" s="32"/>
      <c r="GE30" s="32"/>
      <c r="GF30" s="32"/>
      <c r="GG30" s="32"/>
      <c r="GH30" s="32"/>
      <c r="GI30" s="32"/>
      <c r="GJ30" s="32"/>
      <c r="GK30" s="32"/>
      <c r="GL30" s="32"/>
      <c r="GM30" s="32"/>
      <c r="GN30" s="32"/>
      <c r="GO30" s="32"/>
      <c r="GP30" s="32"/>
      <c r="GQ30" s="32"/>
      <c r="GR30" s="32"/>
      <c r="GS30" s="32"/>
      <c r="GT30" s="32"/>
      <c r="GU30" s="32"/>
      <c r="GV30" s="32"/>
      <c r="GW30" s="32"/>
      <c r="GX30" s="32"/>
      <c r="GY30" s="32"/>
      <c r="GZ30" s="32"/>
      <c r="HA30" s="32"/>
      <c r="HB30" s="32"/>
      <c r="HC30" s="32"/>
      <c r="HD30" s="32"/>
      <c r="HE30" s="32"/>
      <c r="HF30" s="32"/>
      <c r="HG30" s="32"/>
      <c r="HH30" s="32"/>
      <c r="HI30" s="32"/>
      <c r="HJ30" s="32"/>
      <c r="HK30" s="32"/>
      <c r="HL30" s="32"/>
      <c r="HM30" s="32"/>
      <c r="HN30" s="32"/>
      <c r="HO30" s="32"/>
      <c r="HP30" s="32"/>
    </row>
    <row r="31" spans="3:224" s="3" customFormat="1" ht="20.100000000000001" customHeight="1">
      <c r="C31" s="11">
        <v>14000002</v>
      </c>
      <c r="D31" s="15" t="s">
        <v>74</v>
      </c>
      <c r="E31" s="16">
        <v>1140001</v>
      </c>
      <c r="F31" s="16">
        <v>0</v>
      </c>
      <c r="G31" s="16">
        <v>1</v>
      </c>
      <c r="H31" s="16">
        <v>60</v>
      </c>
      <c r="I31" s="24">
        <v>0.2</v>
      </c>
      <c r="J31" s="25">
        <v>25</v>
      </c>
      <c r="K31" s="16">
        <v>0</v>
      </c>
      <c r="L31" s="16">
        <v>0</v>
      </c>
      <c r="M31" s="16">
        <v>520</v>
      </c>
      <c r="N31" s="16">
        <v>1050</v>
      </c>
      <c r="O31" s="16">
        <v>0</v>
      </c>
      <c r="P31" s="16">
        <v>0</v>
      </c>
      <c r="Q31" s="16">
        <f t="shared" si="0"/>
        <v>0</v>
      </c>
      <c r="R31" s="16">
        <v>0</v>
      </c>
      <c r="S31" s="16">
        <f t="shared" si="1"/>
        <v>0</v>
      </c>
      <c r="T31" s="16">
        <v>0</v>
      </c>
      <c r="U31" s="24">
        <v>0</v>
      </c>
      <c r="V31" s="16">
        <v>0</v>
      </c>
      <c r="W31" s="16">
        <v>0</v>
      </c>
      <c r="X31" s="16">
        <v>0</v>
      </c>
      <c r="Y31" s="24">
        <v>0</v>
      </c>
      <c r="Z31" s="24">
        <v>0</v>
      </c>
      <c r="AA31" s="24">
        <v>0</v>
      </c>
      <c r="AB31" s="24">
        <v>0</v>
      </c>
      <c r="AC31" s="24">
        <v>0</v>
      </c>
      <c r="AD31" s="24">
        <v>0</v>
      </c>
      <c r="AE31" s="33">
        <v>100008</v>
      </c>
      <c r="AF31" s="32"/>
      <c r="AG31" s="32"/>
      <c r="AH31" s="32"/>
      <c r="AI31" s="32"/>
      <c r="AJ31" s="32"/>
      <c r="AK31" s="32"/>
      <c r="AL31" s="32"/>
      <c r="AM31" s="32"/>
      <c r="AN31" s="32"/>
      <c r="AO31" s="32"/>
      <c r="AP31" s="32"/>
      <c r="AQ31" s="32"/>
      <c r="AR31" s="32"/>
      <c r="AS31" s="32"/>
      <c r="AT31" s="32"/>
      <c r="AU31" s="32"/>
      <c r="AV31" s="32"/>
      <c r="AW31" s="32"/>
      <c r="AX31" s="32"/>
      <c r="AY31" s="32"/>
      <c r="AZ31" s="32"/>
      <c r="BA31" s="32"/>
      <c r="BB31" s="32"/>
      <c r="BC31" s="32"/>
      <c r="BD31" s="32"/>
      <c r="BE31" s="32"/>
      <c r="BF31" s="32"/>
      <c r="BG31" s="32"/>
      <c r="BH31" s="32"/>
      <c r="BI31" s="32"/>
      <c r="BJ31" s="32"/>
      <c r="BK31" s="32"/>
      <c r="BL31" s="32"/>
      <c r="BM31" s="32"/>
      <c r="BN31" s="32"/>
      <c r="BO31" s="32"/>
      <c r="BP31" s="3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  <c r="CE31" s="32"/>
      <c r="CF31" s="32"/>
      <c r="CG31" s="32"/>
      <c r="CH31" s="32"/>
      <c r="CI31" s="32"/>
      <c r="CJ31" s="32"/>
      <c r="CK31" s="32"/>
      <c r="CL31" s="32"/>
      <c r="CM31" s="32"/>
      <c r="CN31" s="32"/>
      <c r="CO31" s="32"/>
      <c r="CP31" s="32"/>
      <c r="CQ31" s="32"/>
      <c r="CR31" s="32"/>
      <c r="CS31" s="32"/>
      <c r="CT31" s="32"/>
      <c r="CU31" s="32"/>
      <c r="CV31" s="32"/>
      <c r="CW31" s="32"/>
      <c r="CX31" s="32"/>
      <c r="CY31" s="32"/>
      <c r="CZ31" s="32"/>
      <c r="DA31" s="32"/>
      <c r="DB31" s="32"/>
      <c r="DC31" s="32"/>
      <c r="DD31" s="32"/>
      <c r="DE31" s="32"/>
      <c r="DF31" s="32"/>
      <c r="DG31" s="32"/>
      <c r="DH31" s="32"/>
      <c r="DI31" s="32"/>
      <c r="DJ31" s="32"/>
      <c r="DK31" s="32"/>
      <c r="DL31" s="32"/>
      <c r="DM31" s="32"/>
      <c r="DN31" s="32"/>
      <c r="DO31" s="32"/>
      <c r="DP31" s="32"/>
      <c r="DQ31" s="32"/>
      <c r="DR31" s="32"/>
      <c r="DS31" s="32"/>
      <c r="DT31" s="32"/>
      <c r="DU31" s="32"/>
      <c r="DV31" s="32"/>
      <c r="DW31" s="32"/>
      <c r="DX31" s="32"/>
      <c r="DY31" s="32"/>
      <c r="DZ31" s="32"/>
      <c r="EA31" s="32"/>
      <c r="EB31" s="32"/>
      <c r="EC31" s="32"/>
      <c r="ED31" s="32"/>
      <c r="EE31" s="32"/>
      <c r="EF31" s="32"/>
      <c r="EG31" s="32"/>
      <c r="EH31" s="32"/>
      <c r="EI31" s="32"/>
      <c r="EJ31" s="32"/>
      <c r="EK31" s="32"/>
      <c r="EL31" s="32"/>
      <c r="EM31" s="32"/>
      <c r="EN31" s="32"/>
      <c r="EO31" s="32"/>
      <c r="EP31" s="32"/>
      <c r="EQ31" s="32"/>
      <c r="ER31" s="32"/>
      <c r="ES31" s="32"/>
      <c r="ET31" s="32"/>
      <c r="EU31" s="32"/>
      <c r="EV31" s="32"/>
      <c r="EW31" s="32"/>
      <c r="EX31" s="32"/>
      <c r="EY31" s="32"/>
      <c r="EZ31" s="32"/>
      <c r="FA31" s="32"/>
      <c r="FB31" s="32"/>
      <c r="FC31" s="32"/>
      <c r="FD31" s="32"/>
      <c r="FE31" s="32"/>
      <c r="FF31" s="32"/>
      <c r="FG31" s="32"/>
      <c r="FH31" s="32"/>
      <c r="FI31" s="32"/>
      <c r="FJ31" s="32"/>
      <c r="FK31" s="32"/>
      <c r="FL31" s="32"/>
      <c r="FM31" s="32"/>
      <c r="FN31" s="32"/>
      <c r="FO31" s="32"/>
      <c r="FP31" s="32"/>
      <c r="FQ31" s="32"/>
      <c r="FR31" s="32"/>
      <c r="FS31" s="32"/>
      <c r="FT31" s="32"/>
      <c r="FU31" s="32"/>
      <c r="FV31" s="32"/>
      <c r="FW31" s="32"/>
      <c r="FX31" s="32"/>
      <c r="FY31" s="32"/>
      <c r="FZ31" s="32"/>
      <c r="GA31" s="32"/>
      <c r="GB31" s="32"/>
      <c r="GC31" s="32"/>
      <c r="GD31" s="32"/>
      <c r="GE31" s="32"/>
      <c r="GF31" s="32"/>
      <c r="GG31" s="32"/>
      <c r="GH31" s="32"/>
      <c r="GI31" s="32"/>
      <c r="GJ31" s="32"/>
      <c r="GK31" s="32"/>
      <c r="GL31" s="32"/>
      <c r="GM31" s="32"/>
      <c r="GN31" s="32"/>
      <c r="GO31" s="32"/>
      <c r="GP31" s="32"/>
      <c r="GQ31" s="32"/>
      <c r="GR31" s="32"/>
      <c r="GS31" s="32"/>
      <c r="GT31" s="32"/>
      <c r="GU31" s="32"/>
      <c r="GV31" s="32"/>
      <c r="GW31" s="32"/>
      <c r="GX31" s="32"/>
      <c r="GY31" s="32"/>
      <c r="GZ31" s="32"/>
      <c r="HA31" s="32"/>
      <c r="HB31" s="32"/>
      <c r="HC31" s="32"/>
      <c r="HD31" s="32"/>
      <c r="HE31" s="32"/>
      <c r="HF31" s="32"/>
      <c r="HG31" s="32"/>
      <c r="HH31" s="32"/>
      <c r="HI31" s="32"/>
      <c r="HJ31" s="32"/>
      <c r="HK31" s="32"/>
      <c r="HL31" s="32"/>
      <c r="HM31" s="32"/>
      <c r="HN31" s="32"/>
      <c r="HO31" s="32"/>
      <c r="HP31" s="32"/>
    </row>
    <row r="32" spans="3:224" s="3" customFormat="1" ht="20.100000000000001" customHeight="1">
      <c r="C32" s="11">
        <v>14000003</v>
      </c>
      <c r="D32" s="15" t="s">
        <v>75</v>
      </c>
      <c r="E32" s="16">
        <v>1140001</v>
      </c>
      <c r="F32" s="16">
        <v>0</v>
      </c>
      <c r="G32" s="16">
        <v>1</v>
      </c>
      <c r="H32" s="16">
        <v>60</v>
      </c>
      <c r="I32" s="24">
        <v>0.2</v>
      </c>
      <c r="J32" s="25">
        <v>25</v>
      </c>
      <c r="K32" s="16">
        <v>0</v>
      </c>
      <c r="L32" s="16">
        <v>0</v>
      </c>
      <c r="M32" s="16">
        <v>520</v>
      </c>
      <c r="N32" s="16">
        <v>1050</v>
      </c>
      <c r="O32" s="16">
        <v>0</v>
      </c>
      <c r="P32" s="16">
        <v>0</v>
      </c>
      <c r="Q32" s="16">
        <f t="shared" si="0"/>
        <v>0</v>
      </c>
      <c r="R32" s="16">
        <v>0</v>
      </c>
      <c r="S32" s="16">
        <f t="shared" si="1"/>
        <v>0</v>
      </c>
      <c r="T32" s="16">
        <v>0</v>
      </c>
      <c r="U32" s="24">
        <v>0</v>
      </c>
      <c r="V32" s="16">
        <v>0</v>
      </c>
      <c r="W32" s="16">
        <v>0</v>
      </c>
      <c r="X32" s="16">
        <v>0</v>
      </c>
      <c r="Y32" s="24">
        <v>0</v>
      </c>
      <c r="Z32" s="24">
        <v>0</v>
      </c>
      <c r="AA32" s="24">
        <v>0</v>
      </c>
      <c r="AB32" s="24">
        <v>0</v>
      </c>
      <c r="AC32" s="24">
        <v>0</v>
      </c>
      <c r="AD32" s="24">
        <v>0</v>
      </c>
      <c r="AE32" s="33"/>
      <c r="AF32" s="32"/>
      <c r="AG32" s="32"/>
      <c r="AH32" s="32"/>
      <c r="AI32" s="32"/>
      <c r="AJ32" s="32"/>
      <c r="AK32" s="32"/>
      <c r="AL32" s="32"/>
      <c r="AM32" s="32"/>
      <c r="AN32" s="32"/>
      <c r="AO32" s="32"/>
      <c r="AP32" s="32"/>
      <c r="AQ32" s="32"/>
      <c r="AR32" s="32"/>
      <c r="AS32" s="32"/>
      <c r="AT32" s="32"/>
      <c r="AU32" s="32"/>
      <c r="AV32" s="32"/>
      <c r="AW32" s="32"/>
      <c r="AX32" s="32"/>
      <c r="AY32" s="32"/>
      <c r="AZ32" s="32"/>
      <c r="BA32" s="32"/>
      <c r="BB32" s="32"/>
      <c r="BC32" s="32"/>
      <c r="BD32" s="32"/>
      <c r="BE32" s="32"/>
      <c r="BF32" s="32"/>
      <c r="BG32" s="32"/>
      <c r="BH32" s="32"/>
      <c r="BI32" s="32"/>
      <c r="BJ32" s="32"/>
      <c r="BK32" s="32"/>
      <c r="BL32" s="32"/>
      <c r="BM32" s="32"/>
      <c r="BN32" s="32"/>
      <c r="BO32" s="32"/>
      <c r="BP32" s="3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  <c r="CE32" s="32"/>
      <c r="CF32" s="32"/>
      <c r="CG32" s="32"/>
      <c r="CH32" s="32"/>
      <c r="CI32" s="32"/>
      <c r="CJ32" s="32"/>
      <c r="CK32" s="32"/>
      <c r="CL32" s="32"/>
      <c r="CM32" s="32"/>
      <c r="CN32" s="32"/>
      <c r="CO32" s="32"/>
      <c r="CP32" s="32"/>
      <c r="CQ32" s="32"/>
      <c r="CR32" s="32"/>
      <c r="CS32" s="32"/>
      <c r="CT32" s="32"/>
      <c r="CU32" s="32"/>
      <c r="CV32" s="32"/>
      <c r="CW32" s="32"/>
      <c r="CX32" s="32"/>
      <c r="CY32" s="32"/>
      <c r="CZ32" s="32"/>
      <c r="DA32" s="32"/>
      <c r="DB32" s="32"/>
      <c r="DC32" s="32"/>
      <c r="DD32" s="32"/>
      <c r="DE32" s="32"/>
      <c r="DF32" s="32"/>
      <c r="DG32" s="32"/>
      <c r="DH32" s="32"/>
      <c r="DI32" s="32"/>
      <c r="DJ32" s="32"/>
      <c r="DK32" s="32"/>
      <c r="DL32" s="32"/>
      <c r="DM32" s="32"/>
      <c r="DN32" s="32"/>
      <c r="DO32" s="32"/>
      <c r="DP32" s="32"/>
      <c r="DQ32" s="32"/>
      <c r="DR32" s="32"/>
      <c r="DS32" s="32"/>
      <c r="DT32" s="32"/>
      <c r="DU32" s="32"/>
      <c r="DV32" s="32"/>
      <c r="DW32" s="32"/>
      <c r="DX32" s="32"/>
      <c r="DY32" s="32"/>
      <c r="DZ32" s="32"/>
      <c r="EA32" s="32"/>
      <c r="EB32" s="32"/>
      <c r="EC32" s="32"/>
      <c r="ED32" s="32"/>
      <c r="EE32" s="32"/>
      <c r="EF32" s="32"/>
      <c r="EG32" s="32"/>
      <c r="EH32" s="32"/>
      <c r="EI32" s="32"/>
      <c r="EJ32" s="32"/>
      <c r="EK32" s="32"/>
      <c r="EL32" s="32"/>
      <c r="EM32" s="32"/>
      <c r="EN32" s="32"/>
      <c r="EO32" s="32"/>
      <c r="EP32" s="32"/>
      <c r="EQ32" s="32"/>
      <c r="ER32" s="32"/>
      <c r="ES32" s="32"/>
      <c r="ET32" s="32"/>
      <c r="EU32" s="32"/>
      <c r="EV32" s="32"/>
      <c r="EW32" s="32"/>
      <c r="EX32" s="32"/>
      <c r="EY32" s="32"/>
      <c r="EZ32" s="32"/>
      <c r="FA32" s="32"/>
      <c r="FB32" s="32"/>
      <c r="FC32" s="32"/>
      <c r="FD32" s="32"/>
      <c r="FE32" s="32"/>
      <c r="FF32" s="32"/>
      <c r="FG32" s="32"/>
      <c r="FH32" s="32"/>
      <c r="FI32" s="32"/>
      <c r="FJ32" s="32"/>
      <c r="FK32" s="32"/>
      <c r="FL32" s="32"/>
      <c r="FM32" s="32"/>
      <c r="FN32" s="32"/>
      <c r="FO32" s="32"/>
      <c r="FP32" s="32"/>
      <c r="FQ32" s="32"/>
      <c r="FR32" s="32"/>
      <c r="FS32" s="32"/>
      <c r="FT32" s="32"/>
      <c r="FU32" s="32"/>
      <c r="FV32" s="32"/>
      <c r="FW32" s="32"/>
      <c r="FX32" s="32"/>
      <c r="FY32" s="32"/>
      <c r="FZ32" s="32"/>
      <c r="GA32" s="32"/>
      <c r="GB32" s="32"/>
      <c r="GC32" s="32"/>
      <c r="GD32" s="32"/>
      <c r="GE32" s="32"/>
      <c r="GF32" s="32"/>
      <c r="GG32" s="32"/>
      <c r="GH32" s="32"/>
      <c r="GI32" s="32"/>
      <c r="GJ32" s="32"/>
      <c r="GK32" s="32"/>
      <c r="GL32" s="32"/>
      <c r="GM32" s="32"/>
      <c r="GN32" s="32"/>
      <c r="GO32" s="32"/>
      <c r="GP32" s="32"/>
      <c r="GQ32" s="32"/>
      <c r="GR32" s="32"/>
      <c r="GS32" s="32"/>
      <c r="GT32" s="32"/>
      <c r="GU32" s="32"/>
      <c r="GV32" s="32"/>
      <c r="GW32" s="32"/>
      <c r="GX32" s="32"/>
      <c r="GY32" s="32"/>
      <c r="GZ32" s="32"/>
      <c r="HA32" s="32"/>
      <c r="HB32" s="32"/>
      <c r="HC32" s="32"/>
      <c r="HD32" s="32"/>
      <c r="HE32" s="32"/>
      <c r="HF32" s="32"/>
      <c r="HG32" s="32"/>
      <c r="HH32" s="32"/>
      <c r="HI32" s="32"/>
      <c r="HJ32" s="32"/>
      <c r="HK32" s="32"/>
      <c r="HL32" s="32"/>
      <c r="HM32" s="32"/>
      <c r="HN32" s="32"/>
      <c r="HO32" s="32"/>
      <c r="HP32" s="32"/>
    </row>
    <row r="33" spans="3:224" s="3" customFormat="1" ht="20.100000000000001" customHeight="1">
      <c r="C33" s="11">
        <v>14000004</v>
      </c>
      <c r="D33" s="15" t="s">
        <v>76</v>
      </c>
      <c r="E33" s="16">
        <v>1140001</v>
      </c>
      <c r="F33" s="16">
        <v>0</v>
      </c>
      <c r="G33" s="16">
        <v>1</v>
      </c>
      <c r="H33" s="16">
        <v>60</v>
      </c>
      <c r="I33" s="24">
        <v>0.2</v>
      </c>
      <c r="J33" s="25">
        <v>25</v>
      </c>
      <c r="K33" s="16">
        <v>0</v>
      </c>
      <c r="L33" s="16">
        <v>0</v>
      </c>
      <c r="M33" s="16">
        <v>520</v>
      </c>
      <c r="N33" s="16">
        <v>1050</v>
      </c>
      <c r="O33" s="16">
        <v>0</v>
      </c>
      <c r="P33" s="16">
        <v>0</v>
      </c>
      <c r="Q33" s="16">
        <f t="shared" si="0"/>
        <v>0</v>
      </c>
      <c r="R33" s="16">
        <v>0</v>
      </c>
      <c r="S33" s="16">
        <f t="shared" si="1"/>
        <v>0</v>
      </c>
      <c r="T33" s="16">
        <v>0</v>
      </c>
      <c r="U33" s="24">
        <v>0</v>
      </c>
      <c r="V33" s="16">
        <v>0</v>
      </c>
      <c r="W33" s="16">
        <v>0</v>
      </c>
      <c r="X33" s="16">
        <v>0</v>
      </c>
      <c r="Y33" s="24">
        <v>0</v>
      </c>
      <c r="Z33" s="24">
        <v>0</v>
      </c>
      <c r="AA33" s="24">
        <v>0</v>
      </c>
      <c r="AB33" s="24">
        <v>0</v>
      </c>
      <c r="AC33" s="24">
        <v>0</v>
      </c>
      <c r="AD33" s="24">
        <v>0</v>
      </c>
      <c r="AE33" s="33">
        <v>100010</v>
      </c>
      <c r="AF33" s="32"/>
      <c r="AG33" s="32"/>
      <c r="AH33" s="32"/>
      <c r="AI33" s="32"/>
      <c r="AJ33" s="32"/>
      <c r="AK33" s="32"/>
      <c r="AL33" s="32"/>
      <c r="AM33" s="32"/>
      <c r="AN33" s="32"/>
      <c r="AO33" s="32"/>
      <c r="AP33" s="32"/>
      <c r="AQ33" s="32"/>
      <c r="AR33" s="32"/>
      <c r="AS33" s="32"/>
      <c r="AT33" s="32"/>
      <c r="AU33" s="32"/>
      <c r="AV33" s="32"/>
      <c r="AW33" s="32"/>
      <c r="AX33" s="32"/>
      <c r="AY33" s="32"/>
      <c r="AZ33" s="32"/>
      <c r="BA33" s="32"/>
      <c r="BB33" s="32"/>
      <c r="BC33" s="32"/>
      <c r="BD33" s="32"/>
      <c r="BE33" s="32"/>
      <c r="BF33" s="32"/>
      <c r="BG33" s="32"/>
      <c r="BH33" s="32"/>
      <c r="BI33" s="32"/>
      <c r="BJ33" s="32"/>
      <c r="BK33" s="32"/>
      <c r="BL33" s="32"/>
      <c r="BM33" s="32"/>
      <c r="BN33" s="32"/>
      <c r="BO33" s="32"/>
      <c r="BP33" s="3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  <c r="CE33" s="32"/>
      <c r="CF33" s="32"/>
      <c r="CG33" s="32"/>
      <c r="CH33" s="32"/>
      <c r="CI33" s="32"/>
      <c r="CJ33" s="32"/>
      <c r="CK33" s="32"/>
      <c r="CL33" s="32"/>
      <c r="CM33" s="32"/>
      <c r="CN33" s="32"/>
      <c r="CO33" s="32"/>
      <c r="CP33" s="32"/>
      <c r="CQ33" s="32"/>
      <c r="CR33" s="32"/>
      <c r="CS33" s="32"/>
      <c r="CT33" s="32"/>
      <c r="CU33" s="32"/>
      <c r="CV33" s="32"/>
      <c r="CW33" s="32"/>
      <c r="CX33" s="32"/>
      <c r="CY33" s="32"/>
      <c r="CZ33" s="32"/>
      <c r="DA33" s="32"/>
      <c r="DB33" s="32"/>
      <c r="DC33" s="32"/>
      <c r="DD33" s="32"/>
      <c r="DE33" s="32"/>
      <c r="DF33" s="32"/>
      <c r="DG33" s="32"/>
      <c r="DH33" s="32"/>
      <c r="DI33" s="32"/>
      <c r="DJ33" s="32"/>
      <c r="DK33" s="32"/>
      <c r="DL33" s="32"/>
      <c r="DM33" s="32"/>
      <c r="DN33" s="32"/>
      <c r="DO33" s="32"/>
      <c r="DP33" s="32"/>
      <c r="DQ33" s="32"/>
      <c r="DR33" s="32"/>
      <c r="DS33" s="32"/>
      <c r="DT33" s="32"/>
      <c r="DU33" s="32"/>
      <c r="DV33" s="32"/>
      <c r="DW33" s="32"/>
      <c r="DX33" s="32"/>
      <c r="DY33" s="32"/>
      <c r="DZ33" s="32"/>
      <c r="EA33" s="32"/>
      <c r="EB33" s="32"/>
      <c r="EC33" s="32"/>
      <c r="ED33" s="32"/>
      <c r="EE33" s="32"/>
      <c r="EF33" s="32"/>
      <c r="EG33" s="32"/>
      <c r="EH33" s="32"/>
      <c r="EI33" s="32"/>
      <c r="EJ33" s="32"/>
      <c r="EK33" s="32"/>
      <c r="EL33" s="32"/>
      <c r="EM33" s="32"/>
      <c r="EN33" s="32"/>
      <c r="EO33" s="32"/>
      <c r="EP33" s="32"/>
      <c r="EQ33" s="32"/>
      <c r="ER33" s="32"/>
      <c r="ES33" s="32"/>
      <c r="ET33" s="32"/>
      <c r="EU33" s="32"/>
      <c r="EV33" s="32"/>
      <c r="EW33" s="32"/>
      <c r="EX33" s="32"/>
      <c r="EY33" s="32"/>
      <c r="EZ33" s="32"/>
      <c r="FA33" s="32"/>
      <c r="FB33" s="32"/>
      <c r="FC33" s="32"/>
      <c r="FD33" s="32"/>
      <c r="FE33" s="32"/>
      <c r="FF33" s="32"/>
      <c r="FG33" s="32"/>
      <c r="FH33" s="32"/>
      <c r="FI33" s="32"/>
      <c r="FJ33" s="32"/>
      <c r="FK33" s="32"/>
      <c r="FL33" s="32"/>
      <c r="FM33" s="32"/>
      <c r="FN33" s="32"/>
      <c r="FO33" s="32"/>
      <c r="FP33" s="32"/>
      <c r="FQ33" s="32"/>
      <c r="FR33" s="32"/>
      <c r="FS33" s="32"/>
      <c r="FT33" s="32"/>
      <c r="FU33" s="32"/>
      <c r="FV33" s="32"/>
      <c r="FW33" s="32"/>
      <c r="FX33" s="32"/>
      <c r="FY33" s="32"/>
      <c r="FZ33" s="32"/>
      <c r="GA33" s="32"/>
      <c r="GB33" s="32"/>
      <c r="GC33" s="32"/>
      <c r="GD33" s="32"/>
      <c r="GE33" s="32"/>
      <c r="GF33" s="32"/>
      <c r="GG33" s="32"/>
      <c r="GH33" s="32"/>
      <c r="GI33" s="32"/>
      <c r="GJ33" s="32"/>
      <c r="GK33" s="32"/>
      <c r="GL33" s="32"/>
      <c r="GM33" s="32"/>
      <c r="GN33" s="32"/>
      <c r="GO33" s="32"/>
      <c r="GP33" s="32"/>
      <c r="GQ33" s="32"/>
      <c r="GR33" s="32"/>
      <c r="GS33" s="32"/>
      <c r="GT33" s="32"/>
      <c r="GU33" s="32"/>
      <c r="GV33" s="32"/>
      <c r="GW33" s="32"/>
      <c r="GX33" s="32"/>
      <c r="GY33" s="32"/>
      <c r="GZ33" s="32"/>
      <c r="HA33" s="32"/>
      <c r="HB33" s="32"/>
      <c r="HC33" s="32"/>
      <c r="HD33" s="32"/>
      <c r="HE33" s="32"/>
      <c r="HF33" s="32"/>
      <c r="HG33" s="32"/>
      <c r="HH33" s="32"/>
      <c r="HI33" s="32"/>
      <c r="HJ33" s="32"/>
      <c r="HK33" s="32"/>
      <c r="HL33" s="32"/>
      <c r="HM33" s="32"/>
      <c r="HN33" s="32"/>
      <c r="HO33" s="32"/>
      <c r="HP33" s="32"/>
    </row>
    <row r="34" spans="3:224" s="3" customFormat="1" ht="20.100000000000001" customHeight="1">
      <c r="C34" s="11">
        <v>14000005</v>
      </c>
      <c r="D34" s="15" t="s">
        <v>77</v>
      </c>
      <c r="E34" s="16">
        <v>1140001</v>
      </c>
      <c r="F34" s="16">
        <v>0</v>
      </c>
      <c r="G34" s="16">
        <v>1</v>
      </c>
      <c r="H34" s="16">
        <v>60</v>
      </c>
      <c r="I34" s="24">
        <v>0.2</v>
      </c>
      <c r="J34" s="25">
        <v>25</v>
      </c>
      <c r="K34" s="16">
        <v>0</v>
      </c>
      <c r="L34" s="16">
        <v>0</v>
      </c>
      <c r="M34" s="16">
        <v>520</v>
      </c>
      <c r="N34" s="16">
        <v>1050</v>
      </c>
      <c r="O34" s="16">
        <v>0</v>
      </c>
      <c r="P34" s="16">
        <v>0</v>
      </c>
      <c r="Q34" s="16">
        <f t="shared" si="0"/>
        <v>0</v>
      </c>
      <c r="R34" s="16">
        <v>0</v>
      </c>
      <c r="S34" s="16">
        <f t="shared" si="1"/>
        <v>0</v>
      </c>
      <c r="T34" s="16">
        <v>0</v>
      </c>
      <c r="U34" s="24">
        <v>0</v>
      </c>
      <c r="V34" s="16">
        <v>0</v>
      </c>
      <c r="W34" s="16">
        <v>0</v>
      </c>
      <c r="X34" s="16">
        <v>0</v>
      </c>
      <c r="Y34" s="24">
        <v>0</v>
      </c>
      <c r="Z34" s="24">
        <v>0</v>
      </c>
      <c r="AA34" s="24">
        <v>0</v>
      </c>
      <c r="AB34" s="24">
        <v>200103</v>
      </c>
      <c r="AC34" s="24">
        <v>500</v>
      </c>
      <c r="AD34" s="24">
        <v>1</v>
      </c>
      <c r="AE34" s="31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  <c r="AQ34" s="32"/>
      <c r="AR34" s="32"/>
      <c r="AS34" s="32"/>
      <c r="AT34" s="32"/>
      <c r="AU34" s="32"/>
      <c r="AV34" s="32"/>
      <c r="AW34" s="32"/>
      <c r="AX34" s="32"/>
      <c r="AY34" s="32"/>
      <c r="AZ34" s="32"/>
      <c r="BA34" s="32"/>
      <c r="BB34" s="32"/>
      <c r="BC34" s="32"/>
      <c r="BD34" s="32"/>
      <c r="BE34" s="32"/>
      <c r="BF34" s="32"/>
      <c r="BG34" s="32"/>
      <c r="BH34" s="32"/>
      <c r="BI34" s="32"/>
      <c r="BJ34" s="32"/>
      <c r="BK34" s="32"/>
      <c r="BL34" s="32"/>
      <c r="BM34" s="32"/>
      <c r="BN34" s="32"/>
      <c r="BO34" s="32"/>
      <c r="BP34" s="3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  <c r="CE34" s="32"/>
      <c r="CF34" s="32"/>
      <c r="CG34" s="32"/>
      <c r="CH34" s="32"/>
      <c r="CI34" s="32"/>
      <c r="CJ34" s="32"/>
      <c r="CK34" s="32"/>
      <c r="CL34" s="32"/>
      <c r="CM34" s="32"/>
      <c r="CN34" s="32"/>
      <c r="CO34" s="32"/>
      <c r="CP34" s="32"/>
      <c r="CQ34" s="32"/>
      <c r="CR34" s="32"/>
      <c r="CS34" s="32"/>
      <c r="CT34" s="32"/>
      <c r="CU34" s="32"/>
      <c r="CV34" s="32"/>
      <c r="CW34" s="32"/>
      <c r="CX34" s="32"/>
      <c r="CY34" s="32"/>
      <c r="CZ34" s="32"/>
      <c r="DA34" s="32"/>
      <c r="DB34" s="32"/>
      <c r="DC34" s="32"/>
      <c r="DD34" s="32"/>
      <c r="DE34" s="32"/>
      <c r="DF34" s="32"/>
      <c r="DG34" s="32"/>
      <c r="DH34" s="32"/>
      <c r="DI34" s="32"/>
      <c r="DJ34" s="32"/>
      <c r="DK34" s="32"/>
      <c r="DL34" s="32"/>
      <c r="DM34" s="32"/>
      <c r="DN34" s="32"/>
      <c r="DO34" s="32"/>
      <c r="DP34" s="32"/>
      <c r="DQ34" s="32"/>
      <c r="DR34" s="32"/>
      <c r="DS34" s="32"/>
      <c r="DT34" s="32"/>
      <c r="DU34" s="32"/>
      <c r="DV34" s="32"/>
      <c r="DW34" s="32"/>
      <c r="DX34" s="32"/>
      <c r="DY34" s="32"/>
      <c r="DZ34" s="32"/>
      <c r="EA34" s="32"/>
      <c r="EB34" s="32"/>
      <c r="EC34" s="32"/>
      <c r="ED34" s="32"/>
      <c r="EE34" s="32"/>
      <c r="EF34" s="32"/>
      <c r="EG34" s="32"/>
      <c r="EH34" s="32"/>
      <c r="EI34" s="32"/>
      <c r="EJ34" s="32"/>
      <c r="EK34" s="32"/>
      <c r="EL34" s="32"/>
      <c r="EM34" s="32"/>
      <c r="EN34" s="32"/>
      <c r="EO34" s="32"/>
      <c r="EP34" s="32"/>
      <c r="EQ34" s="32"/>
      <c r="ER34" s="32"/>
      <c r="ES34" s="32"/>
      <c r="ET34" s="32"/>
      <c r="EU34" s="32"/>
      <c r="EV34" s="32"/>
      <c r="EW34" s="32"/>
      <c r="EX34" s="32"/>
      <c r="EY34" s="32"/>
      <c r="EZ34" s="32"/>
      <c r="FA34" s="32"/>
      <c r="FB34" s="32"/>
      <c r="FC34" s="32"/>
      <c r="FD34" s="32"/>
      <c r="FE34" s="32"/>
      <c r="FF34" s="32"/>
      <c r="FG34" s="32"/>
      <c r="FH34" s="32"/>
      <c r="FI34" s="32"/>
      <c r="FJ34" s="32"/>
      <c r="FK34" s="32"/>
      <c r="FL34" s="32"/>
      <c r="FM34" s="32"/>
      <c r="FN34" s="32"/>
      <c r="FO34" s="32"/>
      <c r="FP34" s="32"/>
      <c r="FQ34" s="32"/>
      <c r="FR34" s="32"/>
      <c r="FS34" s="32"/>
      <c r="FT34" s="32"/>
      <c r="FU34" s="32"/>
      <c r="FV34" s="32"/>
      <c r="FW34" s="32"/>
      <c r="FX34" s="32"/>
      <c r="FY34" s="32"/>
      <c r="FZ34" s="32"/>
      <c r="GA34" s="32"/>
      <c r="GB34" s="32"/>
      <c r="GC34" s="32"/>
      <c r="GD34" s="32"/>
      <c r="GE34" s="32"/>
      <c r="GF34" s="32"/>
      <c r="GG34" s="32"/>
      <c r="GH34" s="32"/>
      <c r="GI34" s="32"/>
      <c r="GJ34" s="32"/>
      <c r="GK34" s="32"/>
      <c r="GL34" s="32"/>
      <c r="GM34" s="32"/>
      <c r="GN34" s="32"/>
      <c r="GO34" s="32"/>
      <c r="GP34" s="32"/>
      <c r="GQ34" s="32"/>
      <c r="GR34" s="32"/>
      <c r="GS34" s="32"/>
      <c r="GT34" s="32"/>
      <c r="GU34" s="32"/>
      <c r="GV34" s="32"/>
      <c r="GW34" s="32"/>
      <c r="GX34" s="32"/>
      <c r="GY34" s="32"/>
      <c r="GZ34" s="32"/>
      <c r="HA34" s="32"/>
      <c r="HB34" s="32"/>
      <c r="HC34" s="32"/>
      <c r="HD34" s="32"/>
      <c r="HE34" s="32"/>
      <c r="HF34" s="32"/>
      <c r="HG34" s="32"/>
      <c r="HH34" s="32"/>
      <c r="HI34" s="32"/>
      <c r="HJ34" s="32"/>
      <c r="HK34" s="32"/>
      <c r="HL34" s="32"/>
      <c r="HM34" s="32"/>
      <c r="HN34" s="32"/>
      <c r="HO34" s="32"/>
      <c r="HP34" s="32"/>
    </row>
    <row r="35" spans="3:224" ht="20.100000000000001" customHeight="1">
      <c r="C35" s="11">
        <v>14010001</v>
      </c>
      <c r="D35" s="11" t="s">
        <v>78</v>
      </c>
      <c r="E35" s="14">
        <v>1140003</v>
      </c>
      <c r="F35" s="14">
        <v>0</v>
      </c>
      <c r="G35" s="14">
        <v>1</v>
      </c>
      <c r="H35" s="14">
        <v>20</v>
      </c>
      <c r="I35" s="22">
        <v>0.2</v>
      </c>
      <c r="J35" s="23">
        <v>5</v>
      </c>
      <c r="K35" s="14">
        <v>0</v>
      </c>
      <c r="L35" s="14">
        <v>0</v>
      </c>
      <c r="M35" s="14">
        <f>ROUND(N35/2,0)</f>
        <v>5</v>
      </c>
      <c r="N35" s="14">
        <v>10</v>
      </c>
      <c r="O35" s="14">
        <v>0</v>
      </c>
      <c r="P35" s="14">
        <v>0</v>
      </c>
      <c r="Q35" s="14">
        <f t="shared" si="0"/>
        <v>3</v>
      </c>
      <c r="R35" s="14">
        <v>6</v>
      </c>
      <c r="S35" s="14">
        <f t="shared" si="1"/>
        <v>3</v>
      </c>
      <c r="T35" s="14">
        <v>6</v>
      </c>
      <c r="U35" s="22">
        <v>0</v>
      </c>
      <c r="V35" s="14">
        <v>0</v>
      </c>
      <c r="W35" s="14">
        <v>0</v>
      </c>
      <c r="X35" s="14">
        <v>0</v>
      </c>
      <c r="Y35" s="22">
        <v>0</v>
      </c>
      <c r="Z35" s="22">
        <v>0</v>
      </c>
      <c r="AA35" s="22">
        <v>0</v>
      </c>
      <c r="AB35" s="22">
        <v>0</v>
      </c>
      <c r="AC35" s="22">
        <v>0</v>
      </c>
      <c r="AD35" s="22">
        <v>0</v>
      </c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</row>
    <row r="36" spans="3:224" ht="20.100000000000001" customHeight="1">
      <c r="C36" s="11">
        <v>14010002</v>
      </c>
      <c r="D36" s="11" t="s">
        <v>79</v>
      </c>
      <c r="E36" s="14">
        <v>1140003</v>
      </c>
      <c r="F36" s="14">
        <v>0</v>
      </c>
      <c r="G36" s="14">
        <v>1</v>
      </c>
      <c r="H36" s="14">
        <v>20</v>
      </c>
      <c r="I36" s="22">
        <v>0.2</v>
      </c>
      <c r="J36" s="23">
        <v>5</v>
      </c>
      <c r="K36" s="14">
        <v>0</v>
      </c>
      <c r="L36" s="14">
        <v>0</v>
      </c>
      <c r="M36" s="14">
        <f t="shared" ref="M36:M103" si="2">ROUND(N36/2,0)</f>
        <v>9</v>
      </c>
      <c r="N36" s="14">
        <v>18</v>
      </c>
      <c r="O36" s="14">
        <v>0</v>
      </c>
      <c r="P36" s="14">
        <v>0</v>
      </c>
      <c r="Q36" s="14">
        <f t="shared" ref="Q36:Q103" si="3">ROUND(R36/2,0)</f>
        <v>5</v>
      </c>
      <c r="R36" s="14">
        <v>10</v>
      </c>
      <c r="S36" s="14">
        <f t="shared" ref="S36:S103" si="4">ROUND(T36/2,0)</f>
        <v>5</v>
      </c>
      <c r="T36" s="14">
        <v>10</v>
      </c>
      <c r="U36" s="22">
        <v>0</v>
      </c>
      <c r="V36" s="14">
        <v>0</v>
      </c>
      <c r="W36" s="14">
        <v>0</v>
      </c>
      <c r="X36" s="14">
        <v>0</v>
      </c>
      <c r="Y36" s="22">
        <v>0</v>
      </c>
      <c r="Z36" s="22">
        <v>0</v>
      </c>
      <c r="AA36" s="22">
        <v>0</v>
      </c>
      <c r="AB36" s="22">
        <v>0</v>
      </c>
      <c r="AC36" s="22">
        <v>0</v>
      </c>
      <c r="AD36" s="22">
        <v>0</v>
      </c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</row>
    <row r="37" spans="3:224" ht="20.100000000000001" customHeight="1">
      <c r="C37" s="11">
        <v>14010003</v>
      </c>
      <c r="D37" s="11" t="s">
        <v>80</v>
      </c>
      <c r="E37" s="14">
        <v>1140003</v>
      </c>
      <c r="F37" s="14">
        <v>11011</v>
      </c>
      <c r="G37" s="14">
        <v>1</v>
      </c>
      <c r="H37" s="14">
        <v>20</v>
      </c>
      <c r="I37" s="22">
        <v>0.2</v>
      </c>
      <c r="J37" s="23">
        <v>5</v>
      </c>
      <c r="K37" s="14">
        <v>0</v>
      </c>
      <c r="L37" s="14">
        <v>0</v>
      </c>
      <c r="M37" s="14">
        <f t="shared" si="2"/>
        <v>10</v>
      </c>
      <c r="N37" s="14">
        <v>20</v>
      </c>
      <c r="O37" s="14">
        <v>0</v>
      </c>
      <c r="P37" s="14">
        <v>0</v>
      </c>
      <c r="Q37" s="14">
        <f t="shared" si="3"/>
        <v>6</v>
      </c>
      <c r="R37" s="14">
        <v>12</v>
      </c>
      <c r="S37" s="14">
        <f t="shared" si="4"/>
        <v>6</v>
      </c>
      <c r="T37" s="14">
        <v>12</v>
      </c>
      <c r="U37" s="22">
        <v>0</v>
      </c>
      <c r="V37" s="14">
        <v>0</v>
      </c>
      <c r="W37" s="14">
        <v>0</v>
      </c>
      <c r="X37" s="14">
        <v>0</v>
      </c>
      <c r="Y37" s="22">
        <v>0</v>
      </c>
      <c r="Z37" s="22">
        <v>0</v>
      </c>
      <c r="AA37" s="22">
        <v>0</v>
      </c>
      <c r="AB37" s="22">
        <v>0</v>
      </c>
      <c r="AC37" s="22">
        <v>0</v>
      </c>
      <c r="AD37" s="22">
        <v>0</v>
      </c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</row>
    <row r="38" spans="3:224" ht="20.100000000000001" customHeight="1">
      <c r="C38" s="11">
        <v>14010004</v>
      </c>
      <c r="D38" s="11" t="s">
        <v>81</v>
      </c>
      <c r="E38" s="14">
        <v>1140003</v>
      </c>
      <c r="F38" s="14">
        <v>11041</v>
      </c>
      <c r="G38" s="14">
        <v>1</v>
      </c>
      <c r="H38" s="14">
        <v>20</v>
      </c>
      <c r="I38" s="22">
        <v>0.2</v>
      </c>
      <c r="J38" s="23">
        <v>10</v>
      </c>
      <c r="K38" s="14">
        <v>0</v>
      </c>
      <c r="L38" s="14">
        <v>0</v>
      </c>
      <c r="M38" s="14">
        <f t="shared" si="2"/>
        <v>13</v>
      </c>
      <c r="N38" s="14">
        <v>25</v>
      </c>
      <c r="O38" s="14">
        <v>0</v>
      </c>
      <c r="P38" s="14">
        <v>0</v>
      </c>
      <c r="Q38" s="14">
        <f t="shared" si="3"/>
        <v>8</v>
      </c>
      <c r="R38" s="14">
        <v>15</v>
      </c>
      <c r="S38" s="14">
        <f t="shared" si="4"/>
        <v>8</v>
      </c>
      <c r="T38" s="14">
        <v>15</v>
      </c>
      <c r="U38" s="22">
        <v>0</v>
      </c>
      <c r="V38" s="14">
        <v>0</v>
      </c>
      <c r="W38" s="14">
        <v>0</v>
      </c>
      <c r="X38" s="14">
        <v>0</v>
      </c>
      <c r="Y38" s="22">
        <v>0</v>
      </c>
      <c r="Z38" s="22">
        <v>0</v>
      </c>
      <c r="AA38" s="22">
        <v>0</v>
      </c>
      <c r="AB38" s="22">
        <v>0</v>
      </c>
      <c r="AC38" s="22">
        <v>0</v>
      </c>
      <c r="AD38" s="22">
        <v>0</v>
      </c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</row>
    <row r="39" spans="3:224" ht="20.100000000000001" customHeight="1">
      <c r="C39" s="11">
        <v>14010005</v>
      </c>
      <c r="D39" s="11" t="s">
        <v>82</v>
      </c>
      <c r="E39" s="14">
        <v>1140003</v>
      </c>
      <c r="F39" s="14">
        <v>0</v>
      </c>
      <c r="G39" s="14">
        <v>1</v>
      </c>
      <c r="H39" s="14">
        <v>20</v>
      </c>
      <c r="I39" s="22">
        <v>0.2</v>
      </c>
      <c r="J39" s="23">
        <v>5</v>
      </c>
      <c r="K39" s="14">
        <v>0</v>
      </c>
      <c r="L39" s="14">
        <v>0</v>
      </c>
      <c r="M39" s="14">
        <f t="shared" si="2"/>
        <v>7</v>
      </c>
      <c r="N39" s="14">
        <v>14</v>
      </c>
      <c r="O39" s="14">
        <v>0</v>
      </c>
      <c r="P39" s="14">
        <v>0</v>
      </c>
      <c r="Q39" s="14">
        <f t="shared" si="3"/>
        <v>3</v>
      </c>
      <c r="R39" s="14">
        <v>5</v>
      </c>
      <c r="S39" s="14">
        <f t="shared" si="4"/>
        <v>3</v>
      </c>
      <c r="T39" s="14">
        <v>5</v>
      </c>
      <c r="U39" s="22">
        <v>0</v>
      </c>
      <c r="V39" s="14">
        <v>0</v>
      </c>
      <c r="W39" s="14">
        <v>0</v>
      </c>
      <c r="X39" s="14">
        <v>0</v>
      </c>
      <c r="Y39" s="22">
        <v>0</v>
      </c>
      <c r="Z39" s="22">
        <v>0</v>
      </c>
      <c r="AA39" s="22">
        <v>0</v>
      </c>
      <c r="AB39" s="22">
        <v>0</v>
      </c>
      <c r="AC39" s="22">
        <v>0</v>
      </c>
      <c r="AD39" s="22">
        <v>0</v>
      </c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</row>
    <row r="40" spans="3:224" ht="20.100000000000001" customHeight="1">
      <c r="C40" s="11">
        <v>14010006</v>
      </c>
      <c r="D40" s="11" t="s">
        <v>83</v>
      </c>
      <c r="E40" s="14">
        <v>1140003</v>
      </c>
      <c r="F40" s="14">
        <v>0</v>
      </c>
      <c r="G40" s="14">
        <v>1</v>
      </c>
      <c r="H40" s="14">
        <v>20</v>
      </c>
      <c r="I40" s="22">
        <v>0.2</v>
      </c>
      <c r="J40" s="23">
        <v>5</v>
      </c>
      <c r="K40" s="14">
        <v>0</v>
      </c>
      <c r="L40" s="14">
        <v>0</v>
      </c>
      <c r="M40" s="14">
        <f t="shared" si="2"/>
        <v>12</v>
      </c>
      <c r="N40" s="14">
        <v>24</v>
      </c>
      <c r="O40" s="14">
        <v>0</v>
      </c>
      <c r="P40" s="14">
        <v>0</v>
      </c>
      <c r="Q40" s="14">
        <f t="shared" si="3"/>
        <v>4</v>
      </c>
      <c r="R40" s="14">
        <v>8</v>
      </c>
      <c r="S40" s="14">
        <f t="shared" si="4"/>
        <v>4</v>
      </c>
      <c r="T40" s="14">
        <v>8</v>
      </c>
      <c r="U40" s="22">
        <v>0</v>
      </c>
      <c r="V40" s="14">
        <v>0</v>
      </c>
      <c r="W40" s="14">
        <v>0</v>
      </c>
      <c r="X40" s="14">
        <v>0</v>
      </c>
      <c r="Y40" s="22">
        <v>0</v>
      </c>
      <c r="Z40" s="22">
        <v>0</v>
      </c>
      <c r="AA40" s="22">
        <v>0</v>
      </c>
      <c r="AB40" s="22">
        <v>0</v>
      </c>
      <c r="AC40" s="22">
        <v>0</v>
      </c>
      <c r="AD40" s="22">
        <v>0</v>
      </c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</row>
    <row r="41" spans="3:224" ht="20.100000000000001" customHeight="1">
      <c r="C41" s="11">
        <v>14010007</v>
      </c>
      <c r="D41" s="11" t="s">
        <v>84</v>
      </c>
      <c r="E41" s="14">
        <v>1140003</v>
      </c>
      <c r="F41" s="14">
        <v>11021</v>
      </c>
      <c r="G41" s="14">
        <v>1</v>
      </c>
      <c r="H41" s="14">
        <v>20</v>
      </c>
      <c r="I41" s="22">
        <v>0.2</v>
      </c>
      <c r="J41" s="23">
        <v>5</v>
      </c>
      <c r="K41" s="14">
        <v>0</v>
      </c>
      <c r="L41" s="14">
        <v>0</v>
      </c>
      <c r="M41" s="14">
        <f t="shared" si="2"/>
        <v>14</v>
      </c>
      <c r="N41" s="14">
        <v>27</v>
      </c>
      <c r="O41" s="14">
        <v>0</v>
      </c>
      <c r="P41" s="14">
        <v>0</v>
      </c>
      <c r="Q41" s="14">
        <f t="shared" si="3"/>
        <v>5</v>
      </c>
      <c r="R41" s="14">
        <v>9</v>
      </c>
      <c r="S41" s="14">
        <f t="shared" si="4"/>
        <v>5</v>
      </c>
      <c r="T41" s="14">
        <v>9</v>
      </c>
      <c r="U41" s="22">
        <v>0</v>
      </c>
      <c r="V41" s="14">
        <v>0</v>
      </c>
      <c r="W41" s="14">
        <v>0</v>
      </c>
      <c r="X41" s="14">
        <v>0</v>
      </c>
      <c r="Y41" s="22">
        <v>0</v>
      </c>
      <c r="Z41" s="22">
        <v>0</v>
      </c>
      <c r="AA41" s="22">
        <v>0</v>
      </c>
      <c r="AB41" s="22">
        <v>0</v>
      </c>
      <c r="AC41" s="22">
        <v>0</v>
      </c>
      <c r="AD41" s="22">
        <v>0</v>
      </c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</row>
    <row r="42" spans="3:224" ht="20.100000000000001" customHeight="1">
      <c r="C42" s="11">
        <v>14010008</v>
      </c>
      <c r="D42" s="11" t="s">
        <v>85</v>
      </c>
      <c r="E42" s="14">
        <v>1140003</v>
      </c>
      <c r="F42" s="14">
        <v>11042</v>
      </c>
      <c r="G42" s="14">
        <v>1</v>
      </c>
      <c r="H42" s="14">
        <v>20</v>
      </c>
      <c r="I42" s="22">
        <v>0.2</v>
      </c>
      <c r="J42" s="23">
        <v>10</v>
      </c>
      <c r="K42" s="14">
        <v>0</v>
      </c>
      <c r="L42" s="14">
        <v>0</v>
      </c>
      <c r="M42" s="14">
        <f t="shared" si="2"/>
        <v>17</v>
      </c>
      <c r="N42" s="14">
        <v>34</v>
      </c>
      <c r="O42" s="14">
        <v>0</v>
      </c>
      <c r="P42" s="14">
        <v>0</v>
      </c>
      <c r="Q42" s="14">
        <f t="shared" si="3"/>
        <v>6</v>
      </c>
      <c r="R42" s="14">
        <v>11</v>
      </c>
      <c r="S42" s="14">
        <f t="shared" si="4"/>
        <v>6</v>
      </c>
      <c r="T42" s="14">
        <v>11</v>
      </c>
      <c r="U42" s="22">
        <v>0</v>
      </c>
      <c r="V42" s="14">
        <v>0</v>
      </c>
      <c r="W42" s="14">
        <v>0</v>
      </c>
      <c r="X42" s="14">
        <v>0</v>
      </c>
      <c r="Y42" s="22">
        <v>0</v>
      </c>
      <c r="Z42" s="22">
        <v>0</v>
      </c>
      <c r="AA42" s="22">
        <v>0</v>
      </c>
      <c r="AB42" s="22">
        <v>0</v>
      </c>
      <c r="AC42" s="22">
        <v>0</v>
      </c>
      <c r="AD42" s="22">
        <v>0</v>
      </c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</row>
    <row r="43" spans="3:224" ht="20.100000000000001" customHeight="1">
      <c r="C43" s="11">
        <v>14010009</v>
      </c>
      <c r="D43" s="11" t="s">
        <v>86</v>
      </c>
      <c r="E43" s="14">
        <v>1140003</v>
      </c>
      <c r="F43" s="14">
        <v>0</v>
      </c>
      <c r="G43" s="14">
        <v>1</v>
      </c>
      <c r="H43" s="14">
        <v>20</v>
      </c>
      <c r="I43" s="22">
        <v>0.2</v>
      </c>
      <c r="J43" s="23">
        <v>5</v>
      </c>
      <c r="K43" s="14">
        <v>0</v>
      </c>
      <c r="L43" s="14">
        <v>0</v>
      </c>
      <c r="M43" s="14">
        <f t="shared" si="2"/>
        <v>4</v>
      </c>
      <c r="N43" s="14">
        <v>8</v>
      </c>
      <c r="O43" s="14">
        <v>0</v>
      </c>
      <c r="P43" s="14">
        <v>0</v>
      </c>
      <c r="Q43" s="14">
        <f t="shared" si="3"/>
        <v>4</v>
      </c>
      <c r="R43" s="14">
        <v>8</v>
      </c>
      <c r="S43" s="14">
        <f t="shared" si="4"/>
        <v>4</v>
      </c>
      <c r="T43" s="14">
        <v>8</v>
      </c>
      <c r="U43" s="22">
        <v>0</v>
      </c>
      <c r="V43" s="14">
        <v>0</v>
      </c>
      <c r="W43" s="14">
        <v>0</v>
      </c>
      <c r="X43" s="14">
        <v>0</v>
      </c>
      <c r="Y43" s="22">
        <v>0</v>
      </c>
      <c r="Z43" s="22">
        <v>0</v>
      </c>
      <c r="AA43" s="22">
        <v>0</v>
      </c>
      <c r="AB43" s="22">
        <v>0</v>
      </c>
      <c r="AC43" s="22">
        <v>0</v>
      </c>
      <c r="AD43" s="22">
        <v>0</v>
      </c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</row>
    <row r="44" spans="3:224" ht="20.100000000000001" customHeight="1">
      <c r="C44" s="11">
        <v>14010010</v>
      </c>
      <c r="D44" s="11" t="s">
        <v>87</v>
      </c>
      <c r="E44" s="14">
        <v>1140003</v>
      </c>
      <c r="F44" s="14">
        <v>0</v>
      </c>
      <c r="G44" s="14">
        <v>1</v>
      </c>
      <c r="H44" s="14">
        <v>20</v>
      </c>
      <c r="I44" s="22">
        <v>0.2</v>
      </c>
      <c r="J44" s="23">
        <v>5</v>
      </c>
      <c r="K44" s="14">
        <v>0</v>
      </c>
      <c r="L44" s="14">
        <v>0</v>
      </c>
      <c r="M44" s="14">
        <f t="shared" si="2"/>
        <v>7</v>
      </c>
      <c r="N44" s="14">
        <v>14</v>
      </c>
      <c r="O44" s="14">
        <v>0</v>
      </c>
      <c r="P44" s="14">
        <v>0</v>
      </c>
      <c r="Q44" s="14">
        <f t="shared" si="3"/>
        <v>7</v>
      </c>
      <c r="R44" s="14">
        <v>13</v>
      </c>
      <c r="S44" s="14">
        <f t="shared" si="4"/>
        <v>7</v>
      </c>
      <c r="T44" s="14">
        <v>13</v>
      </c>
      <c r="U44" s="22">
        <v>0</v>
      </c>
      <c r="V44" s="14">
        <v>0</v>
      </c>
      <c r="W44" s="14">
        <v>0</v>
      </c>
      <c r="X44" s="14">
        <v>0</v>
      </c>
      <c r="Y44" s="22">
        <v>0</v>
      </c>
      <c r="Z44" s="22">
        <v>0</v>
      </c>
      <c r="AA44" s="22">
        <v>0</v>
      </c>
      <c r="AB44" s="22">
        <v>0</v>
      </c>
      <c r="AC44" s="22">
        <v>0</v>
      </c>
      <c r="AD44" s="22">
        <v>0</v>
      </c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</row>
    <row r="45" spans="3:224" ht="20.100000000000001" customHeight="1">
      <c r="C45" s="11">
        <v>14010011</v>
      </c>
      <c r="D45" s="11" t="s">
        <v>88</v>
      </c>
      <c r="E45" s="14">
        <v>1140003</v>
      </c>
      <c r="F45" s="14">
        <v>11031</v>
      </c>
      <c r="G45" s="14">
        <v>1</v>
      </c>
      <c r="H45" s="14">
        <v>20</v>
      </c>
      <c r="I45" s="22">
        <v>0.2</v>
      </c>
      <c r="J45" s="23">
        <v>5</v>
      </c>
      <c r="K45" s="14">
        <v>0</v>
      </c>
      <c r="L45" s="14">
        <v>0</v>
      </c>
      <c r="M45" s="14">
        <f t="shared" si="2"/>
        <v>8</v>
      </c>
      <c r="N45" s="14">
        <v>15</v>
      </c>
      <c r="O45" s="14">
        <v>0</v>
      </c>
      <c r="P45" s="14">
        <v>0</v>
      </c>
      <c r="Q45" s="14">
        <f t="shared" si="3"/>
        <v>8</v>
      </c>
      <c r="R45" s="14">
        <v>15</v>
      </c>
      <c r="S45" s="14">
        <f t="shared" si="4"/>
        <v>8</v>
      </c>
      <c r="T45" s="14">
        <v>15</v>
      </c>
      <c r="U45" s="22">
        <v>0</v>
      </c>
      <c r="V45" s="14">
        <v>0</v>
      </c>
      <c r="W45" s="14">
        <v>0</v>
      </c>
      <c r="X45" s="14">
        <v>0</v>
      </c>
      <c r="Y45" s="22">
        <v>0</v>
      </c>
      <c r="Z45" s="22">
        <v>0</v>
      </c>
      <c r="AA45" s="22">
        <v>0</v>
      </c>
      <c r="AB45" s="22">
        <v>0</v>
      </c>
      <c r="AC45" s="22">
        <v>0</v>
      </c>
      <c r="AD45" s="22">
        <v>0</v>
      </c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</row>
    <row r="46" spans="3:224" ht="20.100000000000001" customHeight="1">
      <c r="C46" s="11">
        <v>14010012</v>
      </c>
      <c r="D46" s="11" t="s">
        <v>89</v>
      </c>
      <c r="E46" s="14">
        <v>1140003</v>
      </c>
      <c r="F46" s="14">
        <v>11043</v>
      </c>
      <c r="G46" s="14">
        <v>1</v>
      </c>
      <c r="H46" s="14">
        <v>20</v>
      </c>
      <c r="I46" s="22">
        <v>0.2</v>
      </c>
      <c r="J46" s="23">
        <v>10</v>
      </c>
      <c r="K46" s="14">
        <v>0</v>
      </c>
      <c r="L46" s="14">
        <v>0</v>
      </c>
      <c r="M46" s="14">
        <f t="shared" si="2"/>
        <v>10</v>
      </c>
      <c r="N46" s="14">
        <v>19</v>
      </c>
      <c r="O46" s="14">
        <v>0</v>
      </c>
      <c r="P46" s="14">
        <v>0</v>
      </c>
      <c r="Q46" s="14">
        <f t="shared" si="3"/>
        <v>10</v>
      </c>
      <c r="R46" s="14">
        <v>19</v>
      </c>
      <c r="S46" s="14">
        <f t="shared" si="4"/>
        <v>10</v>
      </c>
      <c r="T46" s="14">
        <v>19</v>
      </c>
      <c r="U46" s="22">
        <v>0</v>
      </c>
      <c r="V46" s="14">
        <v>0</v>
      </c>
      <c r="W46" s="14">
        <v>0</v>
      </c>
      <c r="X46" s="14">
        <v>0</v>
      </c>
      <c r="Y46" s="22">
        <v>0</v>
      </c>
      <c r="Z46" s="22">
        <v>0</v>
      </c>
      <c r="AA46" s="22">
        <v>0</v>
      </c>
      <c r="AB46" s="22">
        <v>0</v>
      </c>
      <c r="AC46" s="22">
        <v>0</v>
      </c>
      <c r="AD46" s="22">
        <v>0</v>
      </c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</row>
    <row r="47" spans="3:224" ht="20.100000000000001" customHeight="1">
      <c r="C47" s="11">
        <v>14020001</v>
      </c>
      <c r="D47" s="11" t="s">
        <v>90</v>
      </c>
      <c r="E47" s="14">
        <v>1140003</v>
      </c>
      <c r="F47" s="14">
        <v>0</v>
      </c>
      <c r="G47" s="14">
        <v>1</v>
      </c>
      <c r="H47" s="14">
        <v>20</v>
      </c>
      <c r="I47" s="22">
        <v>0.2</v>
      </c>
      <c r="J47" s="23">
        <v>5</v>
      </c>
      <c r="K47" s="14">
        <v>0</v>
      </c>
      <c r="L47" s="14">
        <v>0</v>
      </c>
      <c r="M47" s="14">
        <f t="shared" si="2"/>
        <v>6</v>
      </c>
      <c r="N47" s="14">
        <v>12</v>
      </c>
      <c r="O47" s="14">
        <v>0</v>
      </c>
      <c r="P47" s="14">
        <v>0</v>
      </c>
      <c r="Q47" s="14">
        <f t="shared" si="3"/>
        <v>0</v>
      </c>
      <c r="R47" s="14">
        <v>0</v>
      </c>
      <c r="S47" s="14">
        <f t="shared" si="4"/>
        <v>10</v>
      </c>
      <c r="T47" s="14">
        <v>20</v>
      </c>
      <c r="U47" s="22">
        <v>0</v>
      </c>
      <c r="V47" s="14">
        <v>0</v>
      </c>
      <c r="W47" s="14">
        <v>0</v>
      </c>
      <c r="X47" s="14">
        <v>0</v>
      </c>
      <c r="Y47" s="22">
        <v>0</v>
      </c>
      <c r="Z47" s="22">
        <v>0</v>
      </c>
      <c r="AA47" s="22">
        <v>0</v>
      </c>
      <c r="AB47" s="22">
        <v>0</v>
      </c>
      <c r="AC47" s="22">
        <v>0</v>
      </c>
      <c r="AD47" s="22">
        <v>0</v>
      </c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</row>
    <row r="48" spans="3:224" ht="20.100000000000001" customHeight="1">
      <c r="C48" s="11">
        <v>14020002</v>
      </c>
      <c r="D48" s="11" t="s">
        <v>91</v>
      </c>
      <c r="E48" s="14">
        <v>1140003</v>
      </c>
      <c r="F48" s="14">
        <v>0</v>
      </c>
      <c r="G48" s="14">
        <v>1</v>
      </c>
      <c r="H48" s="14">
        <v>20</v>
      </c>
      <c r="I48" s="22">
        <v>0.2</v>
      </c>
      <c r="J48" s="23">
        <v>5</v>
      </c>
      <c r="K48" s="14">
        <v>0</v>
      </c>
      <c r="L48" s="14">
        <v>0</v>
      </c>
      <c r="M48" s="14">
        <f t="shared" si="2"/>
        <v>12</v>
      </c>
      <c r="N48" s="14">
        <v>24</v>
      </c>
      <c r="O48" s="14">
        <v>0</v>
      </c>
      <c r="P48" s="14">
        <v>0</v>
      </c>
      <c r="Q48" s="14">
        <f t="shared" si="3"/>
        <v>0</v>
      </c>
      <c r="R48" s="14">
        <v>0</v>
      </c>
      <c r="S48" s="14">
        <f t="shared" si="4"/>
        <v>15</v>
      </c>
      <c r="T48" s="14">
        <v>30</v>
      </c>
      <c r="U48" s="22">
        <v>0</v>
      </c>
      <c r="V48" s="14">
        <v>0</v>
      </c>
      <c r="W48" s="14">
        <v>0</v>
      </c>
      <c r="X48" s="14">
        <v>0</v>
      </c>
      <c r="Y48" s="22">
        <v>0</v>
      </c>
      <c r="Z48" s="22">
        <v>0</v>
      </c>
      <c r="AA48" s="22">
        <v>0</v>
      </c>
      <c r="AB48" s="22">
        <v>0</v>
      </c>
      <c r="AC48" s="22">
        <v>0</v>
      </c>
      <c r="AD48" s="22">
        <v>0</v>
      </c>
      <c r="GR48" s="6"/>
      <c r="GS48" s="6"/>
      <c r="GT48" s="6"/>
      <c r="GU48" s="6"/>
      <c r="GV48" s="6"/>
      <c r="GW48" s="6"/>
      <c r="GX48" s="6"/>
      <c r="GY48" s="6"/>
      <c r="GZ48" s="6"/>
      <c r="HA48" s="6"/>
      <c r="HB48" s="6"/>
      <c r="HC48" s="6"/>
      <c r="HD48" s="6"/>
      <c r="HE48" s="6"/>
      <c r="HF48" s="6"/>
      <c r="HG48" s="6"/>
      <c r="HH48" s="6"/>
      <c r="HI48" s="6"/>
      <c r="HJ48" s="6"/>
      <c r="HK48" s="6"/>
      <c r="HL48" s="6"/>
      <c r="HM48" s="6"/>
      <c r="HN48" s="6"/>
      <c r="HO48" s="6"/>
      <c r="HP48" s="6"/>
    </row>
    <row r="49" spans="3:224" ht="20.100000000000001" customHeight="1">
      <c r="C49" s="11">
        <v>14020003</v>
      </c>
      <c r="D49" s="11" t="s">
        <v>92</v>
      </c>
      <c r="E49" s="14">
        <v>1140003</v>
      </c>
      <c r="F49" s="14">
        <v>11011</v>
      </c>
      <c r="G49" s="14">
        <v>1</v>
      </c>
      <c r="H49" s="14">
        <v>20</v>
      </c>
      <c r="I49" s="22">
        <v>0.2</v>
      </c>
      <c r="J49" s="23">
        <v>5</v>
      </c>
      <c r="K49" s="14">
        <v>0</v>
      </c>
      <c r="L49" s="14">
        <v>0</v>
      </c>
      <c r="M49" s="14">
        <f t="shared" si="2"/>
        <v>14</v>
      </c>
      <c r="N49" s="14">
        <v>27</v>
      </c>
      <c r="O49" s="14">
        <v>0</v>
      </c>
      <c r="P49" s="14">
        <v>0</v>
      </c>
      <c r="Q49" s="14">
        <f t="shared" si="3"/>
        <v>0</v>
      </c>
      <c r="R49" s="14">
        <v>0</v>
      </c>
      <c r="S49" s="14">
        <f t="shared" si="4"/>
        <v>18</v>
      </c>
      <c r="T49" s="14">
        <v>35</v>
      </c>
      <c r="U49" s="22">
        <v>0</v>
      </c>
      <c r="V49" s="14">
        <v>0</v>
      </c>
      <c r="W49" s="14">
        <v>0</v>
      </c>
      <c r="X49" s="14">
        <v>0</v>
      </c>
      <c r="Y49" s="22">
        <v>0</v>
      </c>
      <c r="Z49" s="22">
        <v>0</v>
      </c>
      <c r="AA49" s="22">
        <v>0</v>
      </c>
      <c r="AB49" s="22">
        <v>0</v>
      </c>
      <c r="AC49" s="22">
        <v>0</v>
      </c>
      <c r="AD49" s="22">
        <v>0</v>
      </c>
      <c r="GR49" s="6"/>
      <c r="GS49" s="6"/>
      <c r="GT49" s="6"/>
      <c r="GU49" s="6"/>
      <c r="GV49" s="6"/>
      <c r="GW49" s="6"/>
      <c r="GX49" s="6"/>
      <c r="GY49" s="6"/>
      <c r="GZ49" s="6"/>
      <c r="HA49" s="6"/>
      <c r="HB49" s="6"/>
      <c r="HC49" s="6"/>
      <c r="HD49" s="6"/>
      <c r="HE49" s="6"/>
      <c r="HF49" s="6"/>
      <c r="HG49" s="6"/>
      <c r="HH49" s="6"/>
      <c r="HI49" s="6"/>
      <c r="HJ49" s="6"/>
      <c r="HK49" s="6"/>
      <c r="HL49" s="6"/>
      <c r="HM49" s="6"/>
      <c r="HN49" s="6"/>
      <c r="HO49" s="6"/>
      <c r="HP49" s="6"/>
    </row>
    <row r="50" spans="3:224" ht="20.100000000000001" customHeight="1">
      <c r="C50" s="11">
        <v>14020004</v>
      </c>
      <c r="D50" s="11" t="s">
        <v>93</v>
      </c>
      <c r="E50" s="14">
        <v>1140003</v>
      </c>
      <c r="F50" s="14">
        <v>11041</v>
      </c>
      <c r="G50" s="14">
        <v>1</v>
      </c>
      <c r="H50" s="14">
        <v>20</v>
      </c>
      <c r="I50" s="22">
        <v>0.2</v>
      </c>
      <c r="J50" s="23">
        <v>10</v>
      </c>
      <c r="K50" s="14">
        <v>0</v>
      </c>
      <c r="L50" s="14">
        <v>0</v>
      </c>
      <c r="M50" s="14">
        <f t="shared" si="2"/>
        <v>17</v>
      </c>
      <c r="N50" s="14">
        <v>33</v>
      </c>
      <c r="O50" s="14">
        <v>0</v>
      </c>
      <c r="P50" s="14">
        <v>0</v>
      </c>
      <c r="Q50" s="14">
        <f t="shared" si="3"/>
        <v>0</v>
      </c>
      <c r="R50" s="14">
        <v>0</v>
      </c>
      <c r="S50" s="14">
        <f t="shared" si="4"/>
        <v>23</v>
      </c>
      <c r="T50" s="14">
        <v>45</v>
      </c>
      <c r="U50" s="22">
        <v>0</v>
      </c>
      <c r="V50" s="14">
        <v>0</v>
      </c>
      <c r="W50" s="14">
        <v>0</v>
      </c>
      <c r="X50" s="14">
        <v>0</v>
      </c>
      <c r="Y50" s="22">
        <v>0</v>
      </c>
      <c r="Z50" s="22">
        <v>0</v>
      </c>
      <c r="AA50" s="22">
        <v>0</v>
      </c>
      <c r="AB50" s="22">
        <v>0</v>
      </c>
      <c r="AC50" s="22">
        <v>0</v>
      </c>
      <c r="AD50" s="22">
        <v>0</v>
      </c>
      <c r="GR50" s="6"/>
      <c r="GS50" s="6"/>
      <c r="GT50" s="6"/>
      <c r="GU50" s="6"/>
      <c r="GV50" s="6"/>
      <c r="GW50" s="6"/>
      <c r="GX50" s="6"/>
      <c r="GY50" s="6"/>
      <c r="GZ50" s="6"/>
      <c r="HA50" s="6"/>
      <c r="HB50" s="6"/>
      <c r="HC50" s="6"/>
      <c r="HD50" s="6"/>
      <c r="HE50" s="6"/>
      <c r="HF50" s="6"/>
      <c r="HG50" s="6"/>
      <c r="HH50" s="6"/>
      <c r="HI50" s="6"/>
      <c r="HJ50" s="6"/>
      <c r="HK50" s="6"/>
      <c r="HL50" s="6"/>
      <c r="HM50" s="6"/>
      <c r="HN50" s="6"/>
      <c r="HO50" s="6"/>
      <c r="HP50" s="6"/>
    </row>
    <row r="51" spans="3:224" ht="20.100000000000001" customHeight="1">
      <c r="C51" s="11">
        <v>14020005</v>
      </c>
      <c r="D51" s="11" t="s">
        <v>94</v>
      </c>
      <c r="E51" s="14">
        <v>1140003</v>
      </c>
      <c r="F51" s="14">
        <v>0</v>
      </c>
      <c r="G51" s="14">
        <v>1</v>
      </c>
      <c r="H51" s="14">
        <v>20</v>
      </c>
      <c r="I51" s="22">
        <v>0.2</v>
      </c>
      <c r="J51" s="23">
        <v>5</v>
      </c>
      <c r="K51" s="14">
        <v>0</v>
      </c>
      <c r="L51" s="14">
        <v>0</v>
      </c>
      <c r="M51" s="14">
        <f t="shared" si="2"/>
        <v>8</v>
      </c>
      <c r="N51" s="14">
        <v>16</v>
      </c>
      <c r="O51" s="14">
        <v>0</v>
      </c>
      <c r="P51" s="14">
        <v>0</v>
      </c>
      <c r="Q51" s="14">
        <f t="shared" si="3"/>
        <v>0</v>
      </c>
      <c r="R51" s="14">
        <v>0</v>
      </c>
      <c r="S51" s="14">
        <f t="shared" si="4"/>
        <v>8</v>
      </c>
      <c r="T51" s="14">
        <v>15</v>
      </c>
      <c r="U51" s="22">
        <v>0</v>
      </c>
      <c r="V51" s="14">
        <v>0</v>
      </c>
      <c r="W51" s="14">
        <v>0</v>
      </c>
      <c r="X51" s="14">
        <v>0</v>
      </c>
      <c r="Y51" s="22">
        <v>0</v>
      </c>
      <c r="Z51" s="22">
        <v>0</v>
      </c>
      <c r="AA51" s="22">
        <v>0</v>
      </c>
      <c r="AB51" s="22">
        <v>0</v>
      </c>
      <c r="AC51" s="22">
        <v>0</v>
      </c>
      <c r="AD51" s="22">
        <v>0</v>
      </c>
      <c r="GR51" s="6"/>
      <c r="GS51" s="6"/>
      <c r="GT51" s="6"/>
      <c r="GU51" s="6"/>
      <c r="GV51" s="6"/>
      <c r="GW51" s="6"/>
      <c r="GX51" s="6"/>
      <c r="GY51" s="6"/>
      <c r="GZ51" s="6"/>
      <c r="HA51" s="6"/>
      <c r="HB51" s="6"/>
      <c r="HC51" s="6"/>
      <c r="HD51" s="6"/>
      <c r="HE51" s="6"/>
      <c r="HF51" s="6"/>
      <c r="HG51" s="6"/>
      <c r="HH51" s="6"/>
      <c r="HI51" s="6"/>
      <c r="HJ51" s="6"/>
      <c r="HK51" s="6"/>
      <c r="HL51" s="6"/>
      <c r="HM51" s="6"/>
      <c r="HN51" s="6"/>
      <c r="HO51" s="6"/>
      <c r="HP51" s="6"/>
    </row>
    <row r="52" spans="3:224" ht="20.100000000000001" customHeight="1">
      <c r="C52" s="11">
        <v>14020006</v>
      </c>
      <c r="D52" s="11" t="s">
        <v>95</v>
      </c>
      <c r="E52" s="14">
        <v>1140003</v>
      </c>
      <c r="F52" s="14">
        <v>0</v>
      </c>
      <c r="G52" s="14">
        <v>1</v>
      </c>
      <c r="H52" s="14">
        <v>20</v>
      </c>
      <c r="I52" s="22">
        <v>0.2</v>
      </c>
      <c r="J52" s="23">
        <v>5</v>
      </c>
      <c r="K52" s="14">
        <v>0</v>
      </c>
      <c r="L52" s="14">
        <v>0</v>
      </c>
      <c r="M52" s="14">
        <f t="shared" si="2"/>
        <v>16</v>
      </c>
      <c r="N52" s="14">
        <v>32</v>
      </c>
      <c r="O52" s="14">
        <v>0</v>
      </c>
      <c r="P52" s="14">
        <v>0</v>
      </c>
      <c r="Q52" s="14">
        <f t="shared" si="3"/>
        <v>0</v>
      </c>
      <c r="R52" s="14">
        <v>0</v>
      </c>
      <c r="S52" s="14">
        <f t="shared" si="4"/>
        <v>12</v>
      </c>
      <c r="T52" s="14">
        <v>23</v>
      </c>
      <c r="U52" s="22">
        <v>0</v>
      </c>
      <c r="V52" s="14">
        <v>0</v>
      </c>
      <c r="W52" s="14">
        <v>0</v>
      </c>
      <c r="X52" s="14">
        <v>0</v>
      </c>
      <c r="Y52" s="22">
        <v>0</v>
      </c>
      <c r="Z52" s="22">
        <v>0</v>
      </c>
      <c r="AA52" s="22">
        <v>0</v>
      </c>
      <c r="AB52" s="22">
        <v>0</v>
      </c>
      <c r="AC52" s="22">
        <v>0</v>
      </c>
      <c r="AD52" s="22">
        <v>0</v>
      </c>
      <c r="GR52" s="6"/>
      <c r="GS52" s="6"/>
      <c r="GT52" s="6"/>
      <c r="GU52" s="6"/>
      <c r="GV52" s="6"/>
      <c r="GW52" s="6"/>
      <c r="GX52" s="6"/>
      <c r="GY52" s="6"/>
      <c r="GZ52" s="6"/>
      <c r="HA52" s="6"/>
      <c r="HB52" s="6"/>
      <c r="HC52" s="6"/>
      <c r="HD52" s="6"/>
      <c r="HE52" s="6"/>
      <c r="HF52" s="6"/>
      <c r="HG52" s="6"/>
      <c r="HH52" s="6"/>
      <c r="HI52" s="6"/>
      <c r="HJ52" s="6"/>
      <c r="HK52" s="6"/>
      <c r="HL52" s="6"/>
      <c r="HM52" s="6"/>
      <c r="HN52" s="6"/>
      <c r="HO52" s="6"/>
      <c r="HP52" s="6"/>
    </row>
    <row r="53" spans="3:224" ht="20.100000000000001" customHeight="1">
      <c r="C53" s="11">
        <v>14020007</v>
      </c>
      <c r="D53" s="11" t="s">
        <v>96</v>
      </c>
      <c r="E53" s="14">
        <v>1140003</v>
      </c>
      <c r="F53" s="14">
        <v>11021</v>
      </c>
      <c r="G53" s="14">
        <v>1</v>
      </c>
      <c r="H53" s="14">
        <v>20</v>
      </c>
      <c r="I53" s="22">
        <v>0.2</v>
      </c>
      <c r="J53" s="23">
        <v>5</v>
      </c>
      <c r="K53" s="14">
        <v>0</v>
      </c>
      <c r="L53" s="14">
        <v>0</v>
      </c>
      <c r="M53" s="14">
        <f t="shared" si="2"/>
        <v>18</v>
      </c>
      <c r="N53" s="14">
        <v>36</v>
      </c>
      <c r="O53" s="14">
        <v>0</v>
      </c>
      <c r="P53" s="14">
        <v>0</v>
      </c>
      <c r="Q53" s="14">
        <f t="shared" si="3"/>
        <v>0</v>
      </c>
      <c r="R53" s="14">
        <v>0</v>
      </c>
      <c r="S53" s="14">
        <f t="shared" si="4"/>
        <v>13</v>
      </c>
      <c r="T53" s="14">
        <v>26</v>
      </c>
      <c r="U53" s="22">
        <v>0</v>
      </c>
      <c r="V53" s="14">
        <v>0</v>
      </c>
      <c r="W53" s="14">
        <v>0</v>
      </c>
      <c r="X53" s="14">
        <v>0</v>
      </c>
      <c r="Y53" s="22">
        <v>0</v>
      </c>
      <c r="Z53" s="22">
        <v>0</v>
      </c>
      <c r="AA53" s="22">
        <v>0</v>
      </c>
      <c r="AB53" s="22">
        <v>0</v>
      </c>
      <c r="AC53" s="22">
        <v>0</v>
      </c>
      <c r="AD53" s="22">
        <v>0</v>
      </c>
      <c r="GR53" s="6"/>
      <c r="GS53" s="6"/>
      <c r="GT53" s="6"/>
      <c r="GU53" s="6"/>
      <c r="GV53" s="6"/>
      <c r="GW53" s="6"/>
      <c r="GX53" s="6"/>
      <c r="GY53" s="6"/>
      <c r="GZ53" s="6"/>
      <c r="HA53" s="6"/>
      <c r="HB53" s="6"/>
      <c r="HC53" s="6"/>
      <c r="HD53" s="6"/>
      <c r="HE53" s="6"/>
      <c r="HF53" s="6"/>
      <c r="HG53" s="6"/>
      <c r="HH53" s="6"/>
      <c r="HI53" s="6"/>
      <c r="HJ53" s="6"/>
      <c r="HK53" s="6"/>
      <c r="HL53" s="6"/>
      <c r="HM53" s="6"/>
      <c r="HN53" s="6"/>
      <c r="HO53" s="6"/>
      <c r="HP53" s="6"/>
    </row>
    <row r="54" spans="3:224" ht="20.100000000000001" customHeight="1">
      <c r="C54" s="11">
        <v>14020008</v>
      </c>
      <c r="D54" s="11" t="s">
        <v>97</v>
      </c>
      <c r="E54" s="14">
        <v>1140003</v>
      </c>
      <c r="F54" s="14">
        <v>11042</v>
      </c>
      <c r="G54" s="14">
        <v>1</v>
      </c>
      <c r="H54" s="14">
        <v>20</v>
      </c>
      <c r="I54" s="22">
        <v>0.2</v>
      </c>
      <c r="J54" s="23">
        <v>10</v>
      </c>
      <c r="K54" s="14">
        <v>0</v>
      </c>
      <c r="L54" s="14">
        <v>0</v>
      </c>
      <c r="M54" s="14">
        <f t="shared" si="2"/>
        <v>23</v>
      </c>
      <c r="N54" s="14">
        <v>45</v>
      </c>
      <c r="O54" s="14">
        <v>0</v>
      </c>
      <c r="P54" s="14">
        <v>0</v>
      </c>
      <c r="Q54" s="14">
        <f t="shared" si="3"/>
        <v>0</v>
      </c>
      <c r="R54" s="14">
        <v>0</v>
      </c>
      <c r="S54" s="14">
        <f t="shared" si="4"/>
        <v>17</v>
      </c>
      <c r="T54" s="14">
        <v>34</v>
      </c>
      <c r="U54" s="22">
        <v>0</v>
      </c>
      <c r="V54" s="14">
        <v>0</v>
      </c>
      <c r="W54" s="14">
        <v>0</v>
      </c>
      <c r="X54" s="14">
        <v>0</v>
      </c>
      <c r="Y54" s="22">
        <v>0</v>
      </c>
      <c r="Z54" s="22">
        <v>0</v>
      </c>
      <c r="AA54" s="22">
        <v>0</v>
      </c>
      <c r="AB54" s="22">
        <v>0</v>
      </c>
      <c r="AC54" s="22">
        <v>0</v>
      </c>
      <c r="AD54" s="22">
        <v>0</v>
      </c>
      <c r="GR54" s="6"/>
      <c r="GS54" s="6"/>
      <c r="GT54" s="6"/>
      <c r="GU54" s="6"/>
      <c r="GV54" s="6"/>
      <c r="GW54" s="6"/>
      <c r="GX54" s="6"/>
      <c r="GY54" s="6"/>
      <c r="GZ54" s="6"/>
      <c r="HA54" s="6"/>
      <c r="HB54" s="6"/>
      <c r="HC54" s="6"/>
      <c r="HD54" s="6"/>
      <c r="HE54" s="6"/>
      <c r="HF54" s="6"/>
      <c r="HG54" s="6"/>
      <c r="HH54" s="6"/>
      <c r="HI54" s="6"/>
      <c r="HJ54" s="6"/>
      <c r="HK54" s="6"/>
      <c r="HL54" s="6"/>
      <c r="HM54" s="6"/>
      <c r="HN54" s="6"/>
      <c r="HO54" s="6"/>
      <c r="HP54" s="6"/>
    </row>
    <row r="55" spans="3:224" ht="20.100000000000001" customHeight="1">
      <c r="C55" s="11">
        <v>14020009</v>
      </c>
      <c r="D55" s="11" t="s">
        <v>98</v>
      </c>
      <c r="E55" s="14">
        <v>1140003</v>
      </c>
      <c r="F55" s="14">
        <v>0</v>
      </c>
      <c r="G55" s="14">
        <v>1</v>
      </c>
      <c r="H55" s="14">
        <v>20</v>
      </c>
      <c r="I55" s="22">
        <v>0.2</v>
      </c>
      <c r="J55" s="23">
        <v>5</v>
      </c>
      <c r="K55" s="14">
        <v>0</v>
      </c>
      <c r="L55" s="14">
        <v>0</v>
      </c>
      <c r="M55" s="14">
        <f t="shared" si="2"/>
        <v>5</v>
      </c>
      <c r="N55" s="14">
        <v>9</v>
      </c>
      <c r="O55" s="14">
        <v>0</v>
      </c>
      <c r="P55" s="14">
        <v>0</v>
      </c>
      <c r="Q55" s="14">
        <f t="shared" si="3"/>
        <v>0</v>
      </c>
      <c r="R55" s="14">
        <v>0</v>
      </c>
      <c r="S55" s="14">
        <f t="shared" si="4"/>
        <v>13</v>
      </c>
      <c r="T55" s="14">
        <v>25</v>
      </c>
      <c r="U55" s="22">
        <v>0</v>
      </c>
      <c r="V55" s="14">
        <v>0</v>
      </c>
      <c r="W55" s="14">
        <v>0</v>
      </c>
      <c r="X55" s="14">
        <v>0</v>
      </c>
      <c r="Y55" s="22">
        <v>0</v>
      </c>
      <c r="Z55" s="22">
        <v>0</v>
      </c>
      <c r="AA55" s="22">
        <v>0</v>
      </c>
      <c r="AB55" s="22">
        <v>0</v>
      </c>
      <c r="AC55" s="22">
        <v>0</v>
      </c>
      <c r="AD55" s="22">
        <v>0</v>
      </c>
      <c r="GR55" s="6"/>
      <c r="GS55" s="6"/>
      <c r="GT55" s="6"/>
      <c r="GU55" s="6"/>
      <c r="GV55" s="6"/>
      <c r="GW55" s="6"/>
      <c r="GX55" s="6"/>
      <c r="GY55" s="6"/>
      <c r="GZ55" s="6"/>
      <c r="HA55" s="6"/>
      <c r="HB55" s="6"/>
      <c r="HC55" s="6"/>
      <c r="HD55" s="6"/>
      <c r="HE55" s="6"/>
      <c r="HF55" s="6"/>
      <c r="HG55" s="6"/>
      <c r="HH55" s="6"/>
      <c r="HI55" s="6"/>
      <c r="HJ55" s="6"/>
      <c r="HK55" s="6"/>
      <c r="HL55" s="6"/>
      <c r="HM55" s="6"/>
      <c r="HN55" s="6"/>
      <c r="HO55" s="6"/>
      <c r="HP55" s="6"/>
    </row>
    <row r="56" spans="3:224" ht="20.100000000000001" customHeight="1">
      <c r="C56" s="11">
        <v>14020010</v>
      </c>
      <c r="D56" s="11" t="s">
        <v>99</v>
      </c>
      <c r="E56" s="14">
        <v>1140003</v>
      </c>
      <c r="F56" s="14">
        <v>0</v>
      </c>
      <c r="G56" s="14">
        <v>1</v>
      </c>
      <c r="H56" s="14">
        <v>20</v>
      </c>
      <c r="I56" s="22">
        <v>0.2</v>
      </c>
      <c r="J56" s="23">
        <v>5</v>
      </c>
      <c r="K56" s="14">
        <v>0</v>
      </c>
      <c r="L56" s="14">
        <v>0</v>
      </c>
      <c r="M56" s="14">
        <f t="shared" si="2"/>
        <v>9</v>
      </c>
      <c r="N56" s="14">
        <v>18</v>
      </c>
      <c r="O56" s="14">
        <v>0</v>
      </c>
      <c r="P56" s="14">
        <v>0</v>
      </c>
      <c r="Q56" s="14">
        <f t="shared" si="3"/>
        <v>0</v>
      </c>
      <c r="R56" s="14">
        <v>0</v>
      </c>
      <c r="S56" s="14">
        <f t="shared" si="4"/>
        <v>19</v>
      </c>
      <c r="T56" s="14">
        <v>38</v>
      </c>
      <c r="U56" s="22">
        <v>0</v>
      </c>
      <c r="V56" s="14">
        <v>0</v>
      </c>
      <c r="W56" s="14">
        <v>0</v>
      </c>
      <c r="X56" s="14">
        <v>0</v>
      </c>
      <c r="Y56" s="22">
        <v>0</v>
      </c>
      <c r="Z56" s="22">
        <v>0</v>
      </c>
      <c r="AA56" s="22">
        <v>0</v>
      </c>
      <c r="AB56" s="22">
        <v>0</v>
      </c>
      <c r="AC56" s="22">
        <v>0</v>
      </c>
      <c r="AD56" s="22">
        <v>0</v>
      </c>
      <c r="GR56" s="6"/>
      <c r="GS56" s="6"/>
      <c r="GT56" s="6"/>
      <c r="GU56" s="6"/>
      <c r="GV56" s="6"/>
      <c r="GW56" s="6"/>
      <c r="GX56" s="6"/>
      <c r="GY56" s="6"/>
      <c r="GZ56" s="6"/>
      <c r="HA56" s="6"/>
      <c r="HB56" s="6"/>
      <c r="HC56" s="6"/>
      <c r="HD56" s="6"/>
      <c r="HE56" s="6"/>
      <c r="HF56" s="6"/>
      <c r="HG56" s="6"/>
      <c r="HH56" s="6"/>
      <c r="HI56" s="6"/>
      <c r="HJ56" s="6"/>
      <c r="HK56" s="6"/>
      <c r="HL56" s="6"/>
      <c r="HM56" s="6"/>
      <c r="HN56" s="6"/>
      <c r="HO56" s="6"/>
      <c r="HP56" s="6"/>
    </row>
    <row r="57" spans="3:224" ht="20.100000000000001" customHeight="1">
      <c r="C57" s="11">
        <v>14020011</v>
      </c>
      <c r="D57" s="11" t="s">
        <v>100</v>
      </c>
      <c r="E57" s="14">
        <v>1140003</v>
      </c>
      <c r="F57" s="14">
        <v>11031</v>
      </c>
      <c r="G57" s="14">
        <v>1</v>
      </c>
      <c r="H57" s="14">
        <v>20</v>
      </c>
      <c r="I57" s="22">
        <v>0.2</v>
      </c>
      <c r="J57" s="23">
        <v>5</v>
      </c>
      <c r="K57" s="14">
        <v>0</v>
      </c>
      <c r="L57" s="14">
        <v>0</v>
      </c>
      <c r="M57" s="14">
        <f t="shared" si="2"/>
        <v>10</v>
      </c>
      <c r="N57" s="14">
        <v>20</v>
      </c>
      <c r="O57" s="14">
        <v>0</v>
      </c>
      <c r="P57" s="14">
        <v>0</v>
      </c>
      <c r="Q57" s="14">
        <f t="shared" si="3"/>
        <v>0</v>
      </c>
      <c r="R57" s="14">
        <v>0</v>
      </c>
      <c r="S57" s="14">
        <f t="shared" si="4"/>
        <v>22</v>
      </c>
      <c r="T57" s="14">
        <v>44</v>
      </c>
      <c r="U57" s="22">
        <v>0</v>
      </c>
      <c r="V57" s="14">
        <v>0</v>
      </c>
      <c r="W57" s="14">
        <v>0</v>
      </c>
      <c r="X57" s="14">
        <v>0</v>
      </c>
      <c r="Y57" s="22">
        <v>0</v>
      </c>
      <c r="Z57" s="22">
        <v>0</v>
      </c>
      <c r="AA57" s="22">
        <v>0</v>
      </c>
      <c r="AB57" s="22">
        <v>0</v>
      </c>
      <c r="AC57" s="22">
        <v>0</v>
      </c>
      <c r="AD57" s="22">
        <v>0</v>
      </c>
      <c r="GR57" s="6"/>
      <c r="GS57" s="6"/>
      <c r="GT57" s="6"/>
      <c r="GU57" s="6"/>
      <c r="GV57" s="6"/>
      <c r="GW57" s="6"/>
      <c r="GX57" s="6"/>
      <c r="GY57" s="6"/>
      <c r="GZ57" s="6"/>
      <c r="HA57" s="6"/>
      <c r="HB57" s="6"/>
      <c r="HC57" s="6"/>
      <c r="HD57" s="6"/>
      <c r="HE57" s="6"/>
      <c r="HF57" s="6"/>
      <c r="HG57" s="6"/>
      <c r="HH57" s="6"/>
      <c r="HI57" s="6"/>
      <c r="HJ57" s="6"/>
      <c r="HK57" s="6"/>
      <c r="HL57" s="6"/>
      <c r="HM57" s="6"/>
      <c r="HN57" s="6"/>
      <c r="HO57" s="6"/>
      <c r="HP57" s="6"/>
    </row>
    <row r="58" spans="3:224" ht="20.100000000000001" customHeight="1">
      <c r="C58" s="11">
        <v>14020012</v>
      </c>
      <c r="D58" s="11" t="s">
        <v>101</v>
      </c>
      <c r="E58" s="14">
        <v>1140003</v>
      </c>
      <c r="F58" s="14">
        <v>11043</v>
      </c>
      <c r="G58" s="14">
        <v>1</v>
      </c>
      <c r="H58" s="14">
        <v>20</v>
      </c>
      <c r="I58" s="22">
        <v>0.2</v>
      </c>
      <c r="J58" s="23">
        <v>10</v>
      </c>
      <c r="K58" s="14">
        <v>0</v>
      </c>
      <c r="L58" s="14">
        <v>0</v>
      </c>
      <c r="M58" s="14">
        <f t="shared" si="2"/>
        <v>13</v>
      </c>
      <c r="N58" s="14">
        <v>25</v>
      </c>
      <c r="O58" s="14">
        <v>0</v>
      </c>
      <c r="P58" s="14">
        <v>0</v>
      </c>
      <c r="Q58" s="14">
        <f t="shared" si="3"/>
        <v>0</v>
      </c>
      <c r="R58" s="14">
        <v>0</v>
      </c>
      <c r="S58" s="14">
        <f t="shared" si="4"/>
        <v>28</v>
      </c>
      <c r="T58" s="14">
        <v>56</v>
      </c>
      <c r="U58" s="22">
        <v>0</v>
      </c>
      <c r="V58" s="14">
        <v>0</v>
      </c>
      <c r="W58" s="14">
        <v>0</v>
      </c>
      <c r="X58" s="14">
        <v>0</v>
      </c>
      <c r="Y58" s="22">
        <v>0</v>
      </c>
      <c r="Z58" s="22">
        <v>0</v>
      </c>
      <c r="AA58" s="22">
        <v>0</v>
      </c>
      <c r="AB58" s="22">
        <v>0</v>
      </c>
      <c r="AC58" s="22">
        <v>0</v>
      </c>
      <c r="AD58" s="22">
        <v>0</v>
      </c>
      <c r="GR58" s="6"/>
      <c r="GS58" s="6"/>
      <c r="GT58" s="6"/>
      <c r="GU58" s="6"/>
      <c r="GV58" s="6"/>
      <c r="GW58" s="6"/>
      <c r="GX58" s="6"/>
      <c r="GY58" s="6"/>
      <c r="GZ58" s="6"/>
      <c r="HA58" s="6"/>
      <c r="HB58" s="6"/>
      <c r="HC58" s="6"/>
      <c r="HD58" s="6"/>
      <c r="HE58" s="6"/>
      <c r="HF58" s="6"/>
      <c r="HG58" s="6"/>
      <c r="HH58" s="6"/>
      <c r="HI58" s="6"/>
      <c r="HJ58" s="6"/>
      <c r="HK58" s="6"/>
      <c r="HL58" s="6"/>
      <c r="HM58" s="6"/>
      <c r="HN58" s="6"/>
      <c r="HO58" s="6"/>
      <c r="HP58" s="6"/>
    </row>
    <row r="59" spans="3:224" s="4" customFormat="1" ht="20.100000000000001" customHeight="1">
      <c r="C59" s="17">
        <v>14020013</v>
      </c>
      <c r="D59" s="18" t="s">
        <v>102</v>
      </c>
      <c r="E59" s="19">
        <v>1140003</v>
      </c>
      <c r="F59" s="19">
        <v>0</v>
      </c>
      <c r="G59" s="19">
        <v>1</v>
      </c>
      <c r="H59" s="19">
        <v>20</v>
      </c>
      <c r="I59" s="26">
        <v>0.2</v>
      </c>
      <c r="J59" s="27">
        <v>10</v>
      </c>
      <c r="K59" s="19">
        <v>0</v>
      </c>
      <c r="L59" s="19">
        <v>0</v>
      </c>
      <c r="M59" s="19">
        <f t="shared" ref="M59" si="5">ROUND(N59/2,0)</f>
        <v>15</v>
      </c>
      <c r="N59" s="19">
        <v>30</v>
      </c>
      <c r="O59" s="19">
        <v>0</v>
      </c>
      <c r="P59" s="19">
        <v>0</v>
      </c>
      <c r="Q59" s="19">
        <f t="shared" ref="Q59" si="6">ROUND(R59/2,0)</f>
        <v>0</v>
      </c>
      <c r="R59" s="19">
        <v>0</v>
      </c>
      <c r="S59" s="19">
        <f t="shared" ref="S59" si="7">ROUND(T59/2,0)</f>
        <v>33</v>
      </c>
      <c r="T59" s="19">
        <v>65</v>
      </c>
      <c r="U59" s="26">
        <v>0</v>
      </c>
      <c r="V59" s="19">
        <v>0</v>
      </c>
      <c r="W59" s="19">
        <v>0</v>
      </c>
      <c r="X59" s="19">
        <v>0</v>
      </c>
      <c r="Y59" s="26">
        <v>0</v>
      </c>
      <c r="Z59" s="26">
        <v>0</v>
      </c>
      <c r="AA59" s="26">
        <v>0</v>
      </c>
      <c r="AB59" s="26">
        <v>120101</v>
      </c>
      <c r="AC59" s="26">
        <v>1</v>
      </c>
      <c r="AD59" s="26">
        <v>1</v>
      </c>
      <c r="AE59" s="34"/>
      <c r="AF59" s="34"/>
      <c r="AG59" s="34"/>
      <c r="AH59" s="34"/>
      <c r="AI59" s="34"/>
      <c r="AJ59" s="34"/>
      <c r="AK59" s="34"/>
      <c r="AL59" s="34"/>
      <c r="AM59" s="34"/>
      <c r="AN59" s="34"/>
      <c r="AO59" s="34"/>
      <c r="AP59" s="34"/>
      <c r="AQ59" s="34"/>
      <c r="AR59" s="34"/>
      <c r="AS59" s="34"/>
      <c r="AT59" s="34"/>
      <c r="AU59" s="34"/>
      <c r="AV59" s="34"/>
      <c r="AW59" s="34"/>
      <c r="AX59" s="34"/>
      <c r="AY59" s="34"/>
      <c r="AZ59" s="34"/>
      <c r="BA59" s="34"/>
      <c r="BB59" s="34"/>
      <c r="BC59" s="34"/>
      <c r="BD59" s="34"/>
      <c r="BE59" s="34"/>
      <c r="BF59" s="34"/>
      <c r="BG59" s="34"/>
      <c r="BH59" s="34"/>
      <c r="BI59" s="34"/>
      <c r="BJ59" s="34"/>
      <c r="BK59" s="34"/>
      <c r="BL59" s="34"/>
      <c r="BM59" s="34"/>
      <c r="BN59" s="34"/>
      <c r="BO59" s="34"/>
      <c r="BP59" s="34"/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  <c r="CE59" s="34"/>
      <c r="CF59" s="34"/>
      <c r="CG59" s="34"/>
      <c r="CH59" s="34"/>
      <c r="CI59" s="34"/>
      <c r="CJ59" s="34"/>
      <c r="CK59" s="34"/>
      <c r="CL59" s="34"/>
      <c r="CM59" s="34"/>
      <c r="CN59" s="34"/>
      <c r="CO59" s="34"/>
      <c r="CP59" s="34"/>
      <c r="CQ59" s="34"/>
      <c r="CR59" s="34"/>
      <c r="CS59" s="34"/>
      <c r="CT59" s="34"/>
      <c r="CU59" s="34"/>
      <c r="CV59" s="34"/>
      <c r="CW59" s="34"/>
      <c r="CX59" s="34"/>
      <c r="CY59" s="34"/>
      <c r="CZ59" s="34"/>
      <c r="DA59" s="34"/>
      <c r="DB59" s="34"/>
      <c r="DC59" s="34"/>
      <c r="DD59" s="34"/>
      <c r="DE59" s="34"/>
      <c r="DF59" s="34"/>
      <c r="DG59" s="34"/>
      <c r="DH59" s="34"/>
      <c r="DI59" s="34"/>
      <c r="DJ59" s="34"/>
      <c r="DK59" s="34"/>
      <c r="DL59" s="34"/>
      <c r="DM59" s="34"/>
      <c r="DN59" s="34"/>
      <c r="DO59" s="34"/>
      <c r="DP59" s="34"/>
      <c r="DQ59" s="34"/>
      <c r="DR59" s="34"/>
      <c r="DS59" s="34"/>
      <c r="DT59" s="34"/>
      <c r="DU59" s="34"/>
      <c r="DV59" s="34"/>
      <c r="DW59" s="34"/>
      <c r="DX59" s="34"/>
      <c r="DY59" s="34"/>
      <c r="DZ59" s="34"/>
      <c r="EA59" s="34"/>
      <c r="EB59" s="34"/>
      <c r="EC59" s="34"/>
      <c r="ED59" s="34"/>
      <c r="EE59" s="34"/>
      <c r="EF59" s="34"/>
      <c r="EG59" s="34"/>
      <c r="EH59" s="34"/>
      <c r="EI59" s="34"/>
      <c r="EJ59" s="34"/>
      <c r="EK59" s="34"/>
      <c r="EL59" s="34"/>
      <c r="EM59" s="34"/>
      <c r="EN59" s="34"/>
      <c r="EO59" s="34"/>
      <c r="EP59" s="34"/>
      <c r="EQ59" s="34"/>
      <c r="ER59" s="34"/>
      <c r="ES59" s="34"/>
      <c r="ET59" s="34"/>
      <c r="EU59" s="34"/>
      <c r="EV59" s="34"/>
      <c r="EW59" s="34"/>
      <c r="EX59" s="34"/>
      <c r="EY59" s="34"/>
      <c r="EZ59" s="34"/>
      <c r="FA59" s="34"/>
      <c r="FB59" s="34"/>
      <c r="FC59" s="34"/>
      <c r="FD59" s="34"/>
      <c r="FE59" s="34"/>
      <c r="FF59" s="34"/>
      <c r="FG59" s="34"/>
      <c r="FH59" s="34"/>
      <c r="FI59" s="34"/>
      <c r="FJ59" s="34"/>
      <c r="FK59" s="34"/>
      <c r="FL59" s="34"/>
      <c r="FM59" s="34"/>
      <c r="FN59" s="34"/>
      <c r="FO59" s="34"/>
      <c r="FP59" s="34"/>
      <c r="FQ59" s="34"/>
      <c r="FR59" s="34"/>
      <c r="FS59" s="34"/>
      <c r="FT59" s="34"/>
      <c r="FU59" s="34"/>
      <c r="FV59" s="34"/>
      <c r="FW59" s="34"/>
      <c r="FX59" s="34"/>
      <c r="FY59" s="34"/>
      <c r="FZ59" s="34"/>
      <c r="GA59" s="34"/>
      <c r="GB59" s="34"/>
      <c r="GC59" s="34"/>
      <c r="GD59" s="34"/>
      <c r="GE59" s="34"/>
      <c r="GF59" s="34"/>
      <c r="GG59" s="34"/>
      <c r="GH59" s="34"/>
      <c r="GI59" s="34"/>
      <c r="GJ59" s="34"/>
      <c r="GK59" s="34"/>
      <c r="GL59" s="34"/>
      <c r="GM59" s="34"/>
      <c r="GN59" s="34"/>
      <c r="GO59" s="34"/>
      <c r="GP59" s="34"/>
      <c r="GQ59" s="34"/>
      <c r="GR59" s="34"/>
      <c r="GS59" s="34"/>
      <c r="GT59" s="34"/>
      <c r="GU59" s="34"/>
      <c r="GV59" s="34"/>
      <c r="GW59" s="34"/>
      <c r="GX59" s="34"/>
      <c r="GY59" s="34"/>
      <c r="GZ59" s="34"/>
      <c r="HA59" s="34"/>
      <c r="HB59" s="34"/>
      <c r="HC59" s="34"/>
      <c r="HD59" s="34"/>
      <c r="HE59" s="34"/>
      <c r="HF59" s="34"/>
      <c r="HG59" s="34"/>
      <c r="HH59" s="34"/>
      <c r="HI59" s="34"/>
      <c r="HJ59" s="34"/>
      <c r="HK59" s="34"/>
      <c r="HL59" s="34"/>
      <c r="HM59" s="34"/>
      <c r="HN59" s="34"/>
      <c r="HO59" s="34"/>
      <c r="HP59" s="34"/>
    </row>
    <row r="60" spans="3:224" ht="20.100000000000001" customHeight="1">
      <c r="C60" s="11">
        <v>14030001</v>
      </c>
      <c r="D60" s="11" t="s">
        <v>103</v>
      </c>
      <c r="E60" s="14">
        <v>1140003</v>
      </c>
      <c r="F60" s="14">
        <v>0</v>
      </c>
      <c r="G60" s="14">
        <v>1</v>
      </c>
      <c r="H60" s="14">
        <v>20</v>
      </c>
      <c r="I60" s="22">
        <v>0.2</v>
      </c>
      <c r="J60" s="23">
        <v>5</v>
      </c>
      <c r="K60" s="14">
        <v>0</v>
      </c>
      <c r="L60" s="14">
        <v>150</v>
      </c>
      <c r="M60" s="14">
        <f t="shared" si="2"/>
        <v>3</v>
      </c>
      <c r="N60" s="14">
        <v>6</v>
      </c>
      <c r="O60" s="14">
        <v>0</v>
      </c>
      <c r="P60" s="14">
        <v>0</v>
      </c>
      <c r="Q60" s="14">
        <f t="shared" si="3"/>
        <v>5</v>
      </c>
      <c r="R60" s="14">
        <v>10</v>
      </c>
      <c r="S60" s="14">
        <f t="shared" si="4"/>
        <v>0</v>
      </c>
      <c r="T60" s="14">
        <v>0</v>
      </c>
      <c r="U60" s="22">
        <v>0</v>
      </c>
      <c r="V60" s="14">
        <v>0</v>
      </c>
      <c r="W60" s="14">
        <v>0</v>
      </c>
      <c r="X60" s="14">
        <v>0</v>
      </c>
      <c r="Y60" s="22">
        <v>0</v>
      </c>
      <c r="Z60" s="22">
        <v>0</v>
      </c>
      <c r="AA60" s="22">
        <v>0</v>
      </c>
      <c r="AB60" s="22">
        <v>0</v>
      </c>
      <c r="AC60" s="22">
        <v>0</v>
      </c>
      <c r="AD60" s="22">
        <v>0</v>
      </c>
      <c r="GR60" s="6"/>
      <c r="GS60" s="6"/>
      <c r="GT60" s="6"/>
      <c r="GU60" s="6"/>
      <c r="GV60" s="6"/>
      <c r="GW60" s="6"/>
      <c r="GX60" s="6"/>
      <c r="GY60" s="6"/>
      <c r="GZ60" s="6"/>
      <c r="HA60" s="6"/>
      <c r="HB60" s="6"/>
      <c r="HC60" s="6"/>
      <c r="HD60" s="6"/>
      <c r="HE60" s="6"/>
      <c r="HF60" s="6"/>
      <c r="HG60" s="6"/>
      <c r="HH60" s="6"/>
      <c r="HI60" s="6"/>
      <c r="HJ60" s="6"/>
      <c r="HK60" s="6"/>
      <c r="HL60" s="6"/>
      <c r="HM60" s="6"/>
      <c r="HN60" s="6"/>
      <c r="HO60" s="6"/>
      <c r="HP60" s="6"/>
    </row>
    <row r="61" spans="3:224" ht="20.100000000000001" customHeight="1">
      <c r="C61" s="11">
        <v>14030002</v>
      </c>
      <c r="D61" s="11" t="s">
        <v>104</v>
      </c>
      <c r="E61" s="14">
        <v>1140003</v>
      </c>
      <c r="F61" s="14">
        <v>0</v>
      </c>
      <c r="G61" s="14">
        <v>1</v>
      </c>
      <c r="H61" s="14">
        <v>20</v>
      </c>
      <c r="I61" s="22">
        <v>0.2</v>
      </c>
      <c r="J61" s="23">
        <v>5</v>
      </c>
      <c r="K61" s="14">
        <v>0</v>
      </c>
      <c r="L61" s="14">
        <v>375</v>
      </c>
      <c r="M61" s="14">
        <f t="shared" si="2"/>
        <v>5</v>
      </c>
      <c r="N61" s="14">
        <v>10</v>
      </c>
      <c r="O61" s="14">
        <v>0</v>
      </c>
      <c r="P61" s="14">
        <v>0</v>
      </c>
      <c r="Q61" s="14">
        <f t="shared" si="3"/>
        <v>8</v>
      </c>
      <c r="R61" s="14">
        <v>15</v>
      </c>
      <c r="S61" s="14">
        <f t="shared" si="4"/>
        <v>0</v>
      </c>
      <c r="T61" s="14">
        <v>0</v>
      </c>
      <c r="U61" s="22">
        <v>0</v>
      </c>
      <c r="V61" s="14">
        <v>0</v>
      </c>
      <c r="W61" s="14">
        <v>0</v>
      </c>
      <c r="X61" s="14">
        <v>0</v>
      </c>
      <c r="Y61" s="22">
        <v>0</v>
      </c>
      <c r="Z61" s="22">
        <v>0</v>
      </c>
      <c r="AA61" s="22">
        <v>0</v>
      </c>
      <c r="AB61" s="22">
        <v>0</v>
      </c>
      <c r="AC61" s="22">
        <v>0</v>
      </c>
      <c r="AD61" s="22">
        <v>0</v>
      </c>
      <c r="GR61" s="6"/>
      <c r="GS61" s="6"/>
      <c r="GT61" s="6"/>
      <c r="GU61" s="6"/>
      <c r="GV61" s="6"/>
      <c r="GW61" s="6"/>
      <c r="GX61" s="6"/>
      <c r="GY61" s="6"/>
      <c r="GZ61" s="6"/>
      <c r="HA61" s="6"/>
      <c r="HB61" s="6"/>
      <c r="HC61" s="6"/>
      <c r="HD61" s="6"/>
      <c r="HE61" s="6"/>
      <c r="HF61" s="6"/>
      <c r="HG61" s="6"/>
      <c r="HH61" s="6"/>
      <c r="HI61" s="6"/>
      <c r="HJ61" s="6"/>
      <c r="HK61" s="6"/>
      <c r="HL61" s="6"/>
      <c r="HM61" s="6"/>
      <c r="HN61" s="6"/>
      <c r="HO61" s="6"/>
      <c r="HP61" s="6"/>
    </row>
    <row r="62" spans="3:224" ht="20.100000000000001" customHeight="1">
      <c r="C62" s="11">
        <v>14030003</v>
      </c>
      <c r="D62" s="11" t="s">
        <v>105</v>
      </c>
      <c r="E62" s="14">
        <v>1140003</v>
      </c>
      <c r="F62" s="14">
        <v>11011</v>
      </c>
      <c r="G62" s="14">
        <v>1</v>
      </c>
      <c r="H62" s="14">
        <v>20</v>
      </c>
      <c r="I62" s="22">
        <v>0.2</v>
      </c>
      <c r="J62" s="23">
        <v>5</v>
      </c>
      <c r="K62" s="14">
        <v>0</v>
      </c>
      <c r="L62" s="14">
        <v>425</v>
      </c>
      <c r="M62" s="14">
        <f t="shared" si="2"/>
        <v>6</v>
      </c>
      <c r="N62" s="14">
        <v>12</v>
      </c>
      <c r="O62" s="14">
        <v>0</v>
      </c>
      <c r="P62" s="14">
        <v>0</v>
      </c>
      <c r="Q62" s="14">
        <f t="shared" si="3"/>
        <v>8</v>
      </c>
      <c r="R62" s="14">
        <v>15</v>
      </c>
      <c r="S62" s="14">
        <f t="shared" si="4"/>
        <v>0</v>
      </c>
      <c r="T62" s="14">
        <v>0</v>
      </c>
      <c r="U62" s="22">
        <v>0</v>
      </c>
      <c r="V62" s="14">
        <v>0</v>
      </c>
      <c r="W62" s="14">
        <v>0</v>
      </c>
      <c r="X62" s="14">
        <v>0</v>
      </c>
      <c r="Y62" s="22">
        <v>0</v>
      </c>
      <c r="Z62" s="22">
        <v>0</v>
      </c>
      <c r="AA62" s="22">
        <v>0</v>
      </c>
      <c r="AB62" s="22">
        <v>0</v>
      </c>
      <c r="AC62" s="22">
        <v>0</v>
      </c>
      <c r="AD62" s="22">
        <v>0</v>
      </c>
      <c r="GR62" s="6"/>
      <c r="GS62" s="6"/>
      <c r="GT62" s="6"/>
      <c r="GU62" s="6"/>
      <c r="GV62" s="6"/>
      <c r="GW62" s="6"/>
      <c r="GX62" s="6"/>
      <c r="GY62" s="6"/>
      <c r="GZ62" s="6"/>
      <c r="HA62" s="6"/>
      <c r="HB62" s="6"/>
      <c r="HC62" s="6"/>
      <c r="HD62" s="6"/>
      <c r="HE62" s="6"/>
      <c r="HF62" s="6"/>
      <c r="HG62" s="6"/>
      <c r="HH62" s="6"/>
      <c r="HI62" s="6"/>
      <c r="HJ62" s="6"/>
      <c r="HK62" s="6"/>
      <c r="HL62" s="6"/>
      <c r="HM62" s="6"/>
      <c r="HN62" s="6"/>
      <c r="HO62" s="6"/>
      <c r="HP62" s="6"/>
    </row>
    <row r="63" spans="3:224" ht="20.100000000000001" customHeight="1">
      <c r="C63" s="11">
        <v>14030004</v>
      </c>
      <c r="D63" s="11" t="s">
        <v>106</v>
      </c>
      <c r="E63" s="14">
        <v>1140003</v>
      </c>
      <c r="F63" s="14">
        <v>11041</v>
      </c>
      <c r="G63" s="14">
        <v>1</v>
      </c>
      <c r="H63" s="14">
        <v>20</v>
      </c>
      <c r="I63" s="22">
        <v>0.2</v>
      </c>
      <c r="J63" s="23">
        <v>10</v>
      </c>
      <c r="K63" s="14">
        <v>0</v>
      </c>
      <c r="L63" s="14">
        <v>525</v>
      </c>
      <c r="M63" s="14">
        <f t="shared" si="2"/>
        <v>9</v>
      </c>
      <c r="N63" s="14">
        <v>18</v>
      </c>
      <c r="O63" s="14">
        <v>0</v>
      </c>
      <c r="P63" s="14">
        <v>0</v>
      </c>
      <c r="Q63" s="14">
        <f t="shared" si="3"/>
        <v>15</v>
      </c>
      <c r="R63" s="14">
        <v>30</v>
      </c>
      <c r="S63" s="14">
        <f t="shared" si="4"/>
        <v>0</v>
      </c>
      <c r="T63" s="14">
        <v>0</v>
      </c>
      <c r="U63" s="22">
        <v>0</v>
      </c>
      <c r="V63" s="14">
        <v>0</v>
      </c>
      <c r="W63" s="14">
        <v>0</v>
      </c>
      <c r="X63" s="14">
        <v>0</v>
      </c>
      <c r="Y63" s="22">
        <v>0</v>
      </c>
      <c r="Z63" s="22">
        <v>0</v>
      </c>
      <c r="AA63" s="22">
        <v>0</v>
      </c>
      <c r="AB63" s="22">
        <v>0</v>
      </c>
      <c r="AC63" s="22">
        <v>0</v>
      </c>
      <c r="AD63" s="22">
        <v>0</v>
      </c>
      <c r="GR63" s="6"/>
      <c r="GS63" s="6"/>
      <c r="GT63" s="6"/>
      <c r="GU63" s="6"/>
      <c r="GV63" s="6"/>
      <c r="GW63" s="6"/>
      <c r="GX63" s="6"/>
      <c r="GY63" s="6"/>
      <c r="GZ63" s="6"/>
      <c r="HA63" s="6"/>
      <c r="HB63" s="6"/>
      <c r="HC63" s="6"/>
      <c r="HD63" s="6"/>
      <c r="HE63" s="6"/>
      <c r="HF63" s="6"/>
      <c r="HG63" s="6"/>
      <c r="HH63" s="6"/>
      <c r="HI63" s="6"/>
      <c r="HJ63" s="6"/>
      <c r="HK63" s="6"/>
      <c r="HL63" s="6"/>
      <c r="HM63" s="6"/>
      <c r="HN63" s="6"/>
      <c r="HO63" s="6"/>
      <c r="HP63" s="6"/>
    </row>
    <row r="64" spans="3:224" ht="20.100000000000001" customHeight="1">
      <c r="C64" s="11">
        <v>14030005</v>
      </c>
      <c r="D64" s="11" t="s">
        <v>107</v>
      </c>
      <c r="E64" s="14">
        <v>1140003</v>
      </c>
      <c r="F64" s="14">
        <v>0</v>
      </c>
      <c r="G64" s="14">
        <v>1</v>
      </c>
      <c r="H64" s="14">
        <v>20</v>
      </c>
      <c r="I64" s="22">
        <v>0.2</v>
      </c>
      <c r="J64" s="23">
        <v>5</v>
      </c>
      <c r="K64" s="14">
        <v>0</v>
      </c>
      <c r="L64" s="14">
        <v>80</v>
      </c>
      <c r="M64" s="14">
        <f t="shared" si="2"/>
        <v>4</v>
      </c>
      <c r="N64" s="14">
        <v>8</v>
      </c>
      <c r="O64" s="14">
        <v>0</v>
      </c>
      <c r="P64" s="14">
        <v>0</v>
      </c>
      <c r="Q64" s="14">
        <f t="shared" si="3"/>
        <v>4</v>
      </c>
      <c r="R64" s="14">
        <v>8</v>
      </c>
      <c r="S64" s="14">
        <f t="shared" si="4"/>
        <v>0</v>
      </c>
      <c r="T64" s="14">
        <v>0</v>
      </c>
      <c r="U64" s="22">
        <v>0</v>
      </c>
      <c r="V64" s="14">
        <v>0</v>
      </c>
      <c r="W64" s="14">
        <v>0</v>
      </c>
      <c r="X64" s="14">
        <v>0</v>
      </c>
      <c r="Y64" s="22">
        <v>0</v>
      </c>
      <c r="Z64" s="22">
        <v>0</v>
      </c>
      <c r="AA64" s="22">
        <v>0</v>
      </c>
      <c r="AB64" s="22">
        <v>0</v>
      </c>
      <c r="AC64" s="22">
        <v>0</v>
      </c>
      <c r="AD64" s="22">
        <v>0</v>
      </c>
      <c r="GR64" s="6"/>
      <c r="GS64" s="6"/>
      <c r="GT64" s="6"/>
      <c r="GU64" s="6"/>
      <c r="GV64" s="6"/>
      <c r="GW64" s="6"/>
      <c r="GX64" s="6"/>
      <c r="GY64" s="6"/>
      <c r="GZ64" s="6"/>
      <c r="HA64" s="6"/>
      <c r="HB64" s="6"/>
      <c r="HC64" s="6"/>
      <c r="HD64" s="6"/>
      <c r="HE64" s="6"/>
      <c r="HF64" s="6"/>
      <c r="HG64" s="6"/>
      <c r="HH64" s="6"/>
      <c r="HI64" s="6"/>
      <c r="HJ64" s="6"/>
      <c r="HK64" s="6"/>
      <c r="HL64" s="6"/>
      <c r="HM64" s="6"/>
      <c r="HN64" s="6"/>
      <c r="HO64" s="6"/>
      <c r="HP64" s="6"/>
    </row>
    <row r="65" spans="3:224" ht="20.100000000000001" customHeight="1">
      <c r="C65" s="11">
        <v>14030006</v>
      </c>
      <c r="D65" s="11" t="s">
        <v>108</v>
      </c>
      <c r="E65" s="14">
        <v>1140003</v>
      </c>
      <c r="F65" s="14">
        <v>0</v>
      </c>
      <c r="G65" s="14">
        <v>1</v>
      </c>
      <c r="H65" s="14">
        <v>20</v>
      </c>
      <c r="I65" s="22">
        <v>0.2</v>
      </c>
      <c r="J65" s="23">
        <v>5</v>
      </c>
      <c r="K65" s="14">
        <v>0</v>
      </c>
      <c r="L65" s="14">
        <v>190</v>
      </c>
      <c r="M65" s="14">
        <f t="shared" si="2"/>
        <v>7</v>
      </c>
      <c r="N65" s="14">
        <v>14</v>
      </c>
      <c r="O65" s="14">
        <v>0</v>
      </c>
      <c r="P65" s="14">
        <v>0</v>
      </c>
      <c r="Q65" s="14">
        <f t="shared" si="3"/>
        <v>6</v>
      </c>
      <c r="R65" s="14">
        <v>11</v>
      </c>
      <c r="S65" s="14">
        <f t="shared" si="4"/>
        <v>0</v>
      </c>
      <c r="T65" s="14">
        <v>0</v>
      </c>
      <c r="U65" s="22">
        <v>0</v>
      </c>
      <c r="V65" s="14">
        <v>0</v>
      </c>
      <c r="W65" s="14">
        <v>0</v>
      </c>
      <c r="X65" s="14">
        <v>0</v>
      </c>
      <c r="Y65" s="22">
        <v>0</v>
      </c>
      <c r="Z65" s="22">
        <v>0</v>
      </c>
      <c r="AA65" s="22">
        <v>0</v>
      </c>
      <c r="AB65" s="22">
        <v>0</v>
      </c>
      <c r="AC65" s="22">
        <v>0</v>
      </c>
      <c r="AD65" s="22">
        <v>0</v>
      </c>
      <c r="GR65" s="6"/>
      <c r="GS65" s="6"/>
      <c r="GT65" s="6"/>
      <c r="GU65" s="6"/>
      <c r="GV65" s="6"/>
      <c r="GW65" s="6"/>
      <c r="GX65" s="6"/>
      <c r="GY65" s="6"/>
      <c r="GZ65" s="6"/>
      <c r="HA65" s="6"/>
      <c r="HB65" s="6"/>
      <c r="HC65" s="6"/>
      <c r="HD65" s="6"/>
      <c r="HE65" s="6"/>
      <c r="HF65" s="6"/>
      <c r="HG65" s="6"/>
      <c r="HH65" s="6"/>
      <c r="HI65" s="6"/>
      <c r="HJ65" s="6"/>
      <c r="HK65" s="6"/>
      <c r="HL65" s="6"/>
      <c r="HM65" s="6"/>
      <c r="HN65" s="6"/>
      <c r="HO65" s="6"/>
      <c r="HP65" s="6"/>
    </row>
    <row r="66" spans="3:224" ht="20.100000000000001" customHeight="1">
      <c r="C66" s="11">
        <v>14030007</v>
      </c>
      <c r="D66" s="11" t="s">
        <v>109</v>
      </c>
      <c r="E66" s="14">
        <v>1140003</v>
      </c>
      <c r="F66" s="14">
        <v>11021</v>
      </c>
      <c r="G66" s="14">
        <v>1</v>
      </c>
      <c r="H66" s="14">
        <v>20</v>
      </c>
      <c r="I66" s="22">
        <v>0.2</v>
      </c>
      <c r="J66" s="23">
        <v>5</v>
      </c>
      <c r="K66" s="14">
        <v>0</v>
      </c>
      <c r="L66" s="14">
        <v>210</v>
      </c>
      <c r="M66" s="14">
        <f t="shared" si="2"/>
        <v>8</v>
      </c>
      <c r="N66" s="14">
        <v>16</v>
      </c>
      <c r="O66" s="14">
        <v>0</v>
      </c>
      <c r="P66" s="14">
        <v>0</v>
      </c>
      <c r="Q66" s="14">
        <f t="shared" si="3"/>
        <v>6</v>
      </c>
      <c r="R66" s="14">
        <v>11</v>
      </c>
      <c r="S66" s="14">
        <f t="shared" si="4"/>
        <v>0</v>
      </c>
      <c r="T66" s="14">
        <v>0</v>
      </c>
      <c r="U66" s="22">
        <v>0</v>
      </c>
      <c r="V66" s="14">
        <v>0</v>
      </c>
      <c r="W66" s="14">
        <v>0</v>
      </c>
      <c r="X66" s="14">
        <v>0</v>
      </c>
      <c r="Y66" s="22">
        <v>0</v>
      </c>
      <c r="Z66" s="22">
        <v>0</v>
      </c>
      <c r="AA66" s="22">
        <v>0</v>
      </c>
      <c r="AB66" s="22">
        <v>0</v>
      </c>
      <c r="AC66" s="22">
        <v>0</v>
      </c>
      <c r="AD66" s="22">
        <v>0</v>
      </c>
      <c r="GR66" s="6"/>
      <c r="GS66" s="6"/>
      <c r="GT66" s="6"/>
      <c r="GU66" s="6"/>
      <c r="GV66" s="6"/>
      <c r="GW66" s="6"/>
      <c r="GX66" s="6"/>
      <c r="GY66" s="6"/>
      <c r="GZ66" s="6"/>
      <c r="HA66" s="6"/>
      <c r="HB66" s="6"/>
      <c r="HC66" s="6"/>
      <c r="HD66" s="6"/>
      <c r="HE66" s="6"/>
      <c r="HF66" s="6"/>
      <c r="HG66" s="6"/>
      <c r="HH66" s="6"/>
      <c r="HI66" s="6"/>
      <c r="HJ66" s="6"/>
      <c r="HK66" s="6"/>
      <c r="HL66" s="6"/>
      <c r="HM66" s="6"/>
      <c r="HN66" s="6"/>
      <c r="HO66" s="6"/>
      <c r="HP66" s="6"/>
    </row>
    <row r="67" spans="3:224" ht="20.100000000000001" customHeight="1">
      <c r="C67" s="11">
        <v>14030008</v>
      </c>
      <c r="D67" s="11" t="s">
        <v>110</v>
      </c>
      <c r="E67" s="14">
        <v>1140003</v>
      </c>
      <c r="F67" s="14">
        <v>11042</v>
      </c>
      <c r="G67" s="14">
        <v>1</v>
      </c>
      <c r="H67" s="14">
        <v>20</v>
      </c>
      <c r="I67" s="22">
        <v>0.2</v>
      </c>
      <c r="J67" s="23">
        <v>10</v>
      </c>
      <c r="K67" s="14">
        <v>0</v>
      </c>
      <c r="L67" s="14">
        <v>260</v>
      </c>
      <c r="M67" s="14">
        <f t="shared" si="2"/>
        <v>12</v>
      </c>
      <c r="N67" s="14">
        <v>24</v>
      </c>
      <c r="O67" s="14">
        <v>0</v>
      </c>
      <c r="P67" s="14">
        <v>0</v>
      </c>
      <c r="Q67" s="14">
        <f t="shared" si="3"/>
        <v>12</v>
      </c>
      <c r="R67" s="14">
        <v>23</v>
      </c>
      <c r="S67" s="14">
        <f t="shared" si="4"/>
        <v>0</v>
      </c>
      <c r="T67" s="14">
        <v>0</v>
      </c>
      <c r="U67" s="22">
        <v>0</v>
      </c>
      <c r="V67" s="14">
        <v>0</v>
      </c>
      <c r="W67" s="14">
        <v>0</v>
      </c>
      <c r="X67" s="14">
        <v>0</v>
      </c>
      <c r="Y67" s="22">
        <v>0</v>
      </c>
      <c r="Z67" s="22">
        <v>0</v>
      </c>
      <c r="AA67" s="22">
        <v>0</v>
      </c>
      <c r="AB67" s="22">
        <v>0</v>
      </c>
      <c r="AC67" s="22">
        <v>0</v>
      </c>
      <c r="AD67" s="22">
        <v>0</v>
      </c>
      <c r="GR67" s="6"/>
      <c r="GS67" s="6"/>
      <c r="GT67" s="6"/>
      <c r="GU67" s="6"/>
      <c r="GV67" s="6"/>
      <c r="GW67" s="6"/>
      <c r="GX67" s="6"/>
      <c r="GY67" s="6"/>
      <c r="GZ67" s="6"/>
      <c r="HA67" s="6"/>
      <c r="HB67" s="6"/>
      <c r="HC67" s="6"/>
      <c r="HD67" s="6"/>
      <c r="HE67" s="6"/>
      <c r="HF67" s="6"/>
      <c r="HG67" s="6"/>
      <c r="HH67" s="6"/>
      <c r="HI67" s="6"/>
      <c r="HJ67" s="6"/>
      <c r="HK67" s="6"/>
      <c r="HL67" s="6"/>
      <c r="HM67" s="6"/>
      <c r="HN67" s="6"/>
      <c r="HO67" s="6"/>
      <c r="HP67" s="6"/>
    </row>
    <row r="68" spans="3:224" ht="20.100000000000001" customHeight="1">
      <c r="C68" s="11">
        <v>14030009</v>
      </c>
      <c r="D68" s="11" t="s">
        <v>111</v>
      </c>
      <c r="E68" s="14">
        <v>1140003</v>
      </c>
      <c r="F68" s="14">
        <v>0</v>
      </c>
      <c r="G68" s="14">
        <v>1</v>
      </c>
      <c r="H68" s="14">
        <v>20</v>
      </c>
      <c r="I68" s="22">
        <v>0.2</v>
      </c>
      <c r="J68" s="23">
        <v>5</v>
      </c>
      <c r="K68" s="14">
        <v>0</v>
      </c>
      <c r="L68" s="14">
        <v>230</v>
      </c>
      <c r="M68" s="14">
        <f t="shared" si="2"/>
        <v>3</v>
      </c>
      <c r="N68" s="14">
        <v>5</v>
      </c>
      <c r="O68" s="14">
        <v>0</v>
      </c>
      <c r="P68" s="14">
        <v>0</v>
      </c>
      <c r="Q68" s="14">
        <f t="shared" si="3"/>
        <v>7</v>
      </c>
      <c r="R68" s="14">
        <v>13</v>
      </c>
      <c r="S68" s="14">
        <f t="shared" si="4"/>
        <v>0</v>
      </c>
      <c r="T68" s="14">
        <v>0</v>
      </c>
      <c r="U68" s="22">
        <v>0</v>
      </c>
      <c r="V68" s="14">
        <v>0</v>
      </c>
      <c r="W68" s="14">
        <v>0</v>
      </c>
      <c r="X68" s="14">
        <v>0</v>
      </c>
      <c r="Y68" s="22">
        <v>0</v>
      </c>
      <c r="Z68" s="22">
        <v>0</v>
      </c>
      <c r="AA68" s="22">
        <v>0</v>
      </c>
      <c r="AB68" s="22">
        <v>0</v>
      </c>
      <c r="AC68" s="22">
        <v>0</v>
      </c>
      <c r="AD68" s="22">
        <v>0</v>
      </c>
      <c r="GR68" s="6"/>
      <c r="GS68" s="6"/>
      <c r="GT68" s="6"/>
      <c r="GU68" s="6"/>
      <c r="GV68" s="6"/>
      <c r="GW68" s="6"/>
      <c r="GX68" s="6"/>
      <c r="GY68" s="6"/>
      <c r="GZ68" s="6"/>
      <c r="HA68" s="6"/>
      <c r="HB68" s="6"/>
      <c r="HC68" s="6"/>
      <c r="HD68" s="6"/>
      <c r="HE68" s="6"/>
      <c r="HF68" s="6"/>
      <c r="HG68" s="6"/>
      <c r="HH68" s="6"/>
      <c r="HI68" s="6"/>
      <c r="HJ68" s="6"/>
      <c r="HK68" s="6"/>
      <c r="HL68" s="6"/>
      <c r="HM68" s="6"/>
      <c r="HN68" s="6"/>
      <c r="HO68" s="6"/>
      <c r="HP68" s="6"/>
    </row>
    <row r="69" spans="3:224" ht="20.100000000000001" customHeight="1">
      <c r="C69" s="11">
        <v>14030010</v>
      </c>
      <c r="D69" s="11" t="s">
        <v>112</v>
      </c>
      <c r="E69" s="14">
        <v>1140003</v>
      </c>
      <c r="F69" s="14">
        <v>0</v>
      </c>
      <c r="G69" s="14">
        <v>1</v>
      </c>
      <c r="H69" s="14">
        <v>20</v>
      </c>
      <c r="I69" s="22">
        <v>0.2</v>
      </c>
      <c r="J69" s="23">
        <v>5</v>
      </c>
      <c r="K69" s="14">
        <v>0</v>
      </c>
      <c r="L69" s="14">
        <v>560</v>
      </c>
      <c r="M69" s="14">
        <f t="shared" si="2"/>
        <v>4</v>
      </c>
      <c r="N69" s="14">
        <v>8</v>
      </c>
      <c r="O69" s="14">
        <v>0</v>
      </c>
      <c r="P69" s="14">
        <v>0</v>
      </c>
      <c r="Q69" s="14">
        <f t="shared" si="3"/>
        <v>10</v>
      </c>
      <c r="R69" s="14">
        <v>19</v>
      </c>
      <c r="S69" s="14">
        <f t="shared" si="4"/>
        <v>0</v>
      </c>
      <c r="T69" s="14">
        <v>0</v>
      </c>
      <c r="U69" s="22">
        <v>0</v>
      </c>
      <c r="V69" s="14">
        <v>0</v>
      </c>
      <c r="W69" s="14">
        <v>0</v>
      </c>
      <c r="X69" s="14">
        <v>0</v>
      </c>
      <c r="Y69" s="22">
        <v>0</v>
      </c>
      <c r="Z69" s="22">
        <v>0</v>
      </c>
      <c r="AA69" s="22">
        <v>0</v>
      </c>
      <c r="AB69" s="22">
        <v>0</v>
      </c>
      <c r="AC69" s="22">
        <v>0</v>
      </c>
      <c r="AD69" s="22">
        <v>0</v>
      </c>
      <c r="GR69" s="6"/>
      <c r="GS69" s="6"/>
      <c r="GT69" s="6"/>
      <c r="GU69" s="6"/>
      <c r="GV69" s="6"/>
      <c r="GW69" s="6"/>
      <c r="GX69" s="6"/>
      <c r="GY69" s="6"/>
      <c r="GZ69" s="6"/>
      <c r="HA69" s="6"/>
      <c r="HB69" s="6"/>
      <c r="HC69" s="6"/>
      <c r="HD69" s="6"/>
      <c r="HE69" s="6"/>
      <c r="HF69" s="6"/>
      <c r="HG69" s="6"/>
      <c r="HH69" s="6"/>
      <c r="HI69" s="6"/>
      <c r="HJ69" s="6"/>
      <c r="HK69" s="6"/>
      <c r="HL69" s="6"/>
      <c r="HM69" s="6"/>
      <c r="HN69" s="6"/>
      <c r="HO69" s="6"/>
      <c r="HP69" s="6"/>
    </row>
    <row r="70" spans="3:224" ht="20.100000000000001" customHeight="1">
      <c r="C70" s="11">
        <v>14030011</v>
      </c>
      <c r="D70" s="11" t="s">
        <v>113</v>
      </c>
      <c r="E70" s="14">
        <v>1140003</v>
      </c>
      <c r="F70" s="14">
        <v>11031</v>
      </c>
      <c r="G70" s="14">
        <v>1</v>
      </c>
      <c r="H70" s="14">
        <v>20</v>
      </c>
      <c r="I70" s="22">
        <v>0.2</v>
      </c>
      <c r="J70" s="23">
        <v>5</v>
      </c>
      <c r="K70" s="14">
        <v>0</v>
      </c>
      <c r="L70" s="14">
        <v>640</v>
      </c>
      <c r="M70" s="14">
        <f t="shared" si="2"/>
        <v>5</v>
      </c>
      <c r="N70" s="14">
        <v>9</v>
      </c>
      <c r="O70" s="14">
        <v>0</v>
      </c>
      <c r="P70" s="14">
        <v>0</v>
      </c>
      <c r="Q70" s="14">
        <f t="shared" si="3"/>
        <v>10</v>
      </c>
      <c r="R70" s="14">
        <v>19</v>
      </c>
      <c r="S70" s="14">
        <f t="shared" si="4"/>
        <v>0</v>
      </c>
      <c r="T70" s="14">
        <v>0</v>
      </c>
      <c r="U70" s="22">
        <v>0</v>
      </c>
      <c r="V70" s="14">
        <v>0</v>
      </c>
      <c r="W70" s="14">
        <v>0</v>
      </c>
      <c r="X70" s="14">
        <v>0</v>
      </c>
      <c r="Y70" s="22">
        <v>0</v>
      </c>
      <c r="Z70" s="22">
        <v>0</v>
      </c>
      <c r="AA70" s="22">
        <v>0</v>
      </c>
      <c r="AB70" s="22">
        <v>0</v>
      </c>
      <c r="AC70" s="22">
        <v>0</v>
      </c>
      <c r="AD70" s="22">
        <v>0</v>
      </c>
      <c r="GR70" s="6"/>
      <c r="GS70" s="6"/>
      <c r="GT70" s="6"/>
      <c r="GU70" s="6"/>
      <c r="GV70" s="6"/>
      <c r="GW70" s="6"/>
      <c r="GX70" s="6"/>
      <c r="GY70" s="6"/>
      <c r="GZ70" s="6"/>
      <c r="HA70" s="6"/>
      <c r="HB70" s="6"/>
      <c r="HC70" s="6"/>
      <c r="HD70" s="6"/>
      <c r="HE70" s="6"/>
      <c r="HF70" s="6"/>
      <c r="HG70" s="6"/>
      <c r="HH70" s="6"/>
      <c r="HI70" s="6"/>
      <c r="HJ70" s="6"/>
      <c r="HK70" s="6"/>
      <c r="HL70" s="6"/>
      <c r="HM70" s="6"/>
      <c r="HN70" s="6"/>
      <c r="HO70" s="6"/>
      <c r="HP70" s="6"/>
    </row>
    <row r="71" spans="3:224" ht="20.100000000000001" customHeight="1">
      <c r="C71" s="11">
        <v>14030012</v>
      </c>
      <c r="D71" s="11" t="s">
        <v>114</v>
      </c>
      <c r="E71" s="14">
        <v>1140003</v>
      </c>
      <c r="F71" s="14">
        <v>11043</v>
      </c>
      <c r="G71" s="14">
        <v>1</v>
      </c>
      <c r="H71" s="14">
        <v>20</v>
      </c>
      <c r="I71" s="22">
        <v>0.2</v>
      </c>
      <c r="J71" s="23">
        <v>10</v>
      </c>
      <c r="K71" s="14">
        <v>0</v>
      </c>
      <c r="L71" s="14">
        <v>790</v>
      </c>
      <c r="M71" s="14">
        <f t="shared" si="2"/>
        <v>7</v>
      </c>
      <c r="N71" s="14">
        <v>14</v>
      </c>
      <c r="O71" s="14">
        <v>0</v>
      </c>
      <c r="P71" s="14">
        <v>0</v>
      </c>
      <c r="Q71" s="14">
        <f t="shared" si="3"/>
        <v>19</v>
      </c>
      <c r="R71" s="14">
        <v>38</v>
      </c>
      <c r="S71" s="14">
        <f t="shared" si="4"/>
        <v>0</v>
      </c>
      <c r="T71" s="14">
        <v>0</v>
      </c>
      <c r="U71" s="22">
        <v>0</v>
      </c>
      <c r="V71" s="14">
        <v>0</v>
      </c>
      <c r="W71" s="14">
        <v>0</v>
      </c>
      <c r="X71" s="14">
        <v>0</v>
      </c>
      <c r="Y71" s="22">
        <v>0</v>
      </c>
      <c r="Z71" s="22">
        <v>0</v>
      </c>
      <c r="AA71" s="22">
        <v>0</v>
      </c>
      <c r="AB71" s="22">
        <v>0</v>
      </c>
      <c r="AC71" s="22">
        <v>0</v>
      </c>
      <c r="AD71" s="22">
        <v>0</v>
      </c>
      <c r="GR71" s="6"/>
      <c r="GS71" s="6"/>
      <c r="GT71" s="6"/>
      <c r="GU71" s="6"/>
      <c r="GV71" s="6"/>
      <c r="GW71" s="6"/>
      <c r="GX71" s="6"/>
      <c r="GY71" s="6"/>
      <c r="GZ71" s="6"/>
      <c r="HA71" s="6"/>
      <c r="HB71" s="6"/>
      <c r="HC71" s="6"/>
      <c r="HD71" s="6"/>
      <c r="HE71" s="6"/>
      <c r="HF71" s="6"/>
      <c r="HG71" s="6"/>
      <c r="HH71" s="6"/>
      <c r="HI71" s="6"/>
      <c r="HJ71" s="6"/>
      <c r="HK71" s="6"/>
      <c r="HL71" s="6"/>
      <c r="HM71" s="6"/>
      <c r="HN71" s="6"/>
      <c r="HO71" s="6"/>
      <c r="HP71" s="6"/>
    </row>
    <row r="72" spans="3:224" s="4" customFormat="1" ht="20.100000000000001" customHeight="1">
      <c r="C72" s="17">
        <v>14030013</v>
      </c>
      <c r="D72" s="18" t="s">
        <v>115</v>
      </c>
      <c r="E72" s="19">
        <v>1140003</v>
      </c>
      <c r="F72" s="19">
        <v>11043</v>
      </c>
      <c r="G72" s="19">
        <v>1</v>
      </c>
      <c r="H72" s="19">
        <v>20</v>
      </c>
      <c r="I72" s="26">
        <v>0.2</v>
      </c>
      <c r="J72" s="27">
        <v>10</v>
      </c>
      <c r="K72" s="19">
        <v>0</v>
      </c>
      <c r="L72" s="19">
        <v>790</v>
      </c>
      <c r="M72" s="19">
        <f t="shared" ref="M72" si="8">ROUND(N72/2,0)</f>
        <v>7</v>
      </c>
      <c r="N72" s="19">
        <v>14</v>
      </c>
      <c r="O72" s="19">
        <v>0</v>
      </c>
      <c r="P72" s="19">
        <v>0</v>
      </c>
      <c r="Q72" s="19">
        <f t="shared" ref="Q72" si="9">ROUND(R72/2,0)</f>
        <v>19</v>
      </c>
      <c r="R72" s="19">
        <v>38</v>
      </c>
      <c r="S72" s="19">
        <f t="shared" ref="S72" si="10">ROUND(T72/2,0)</f>
        <v>0</v>
      </c>
      <c r="T72" s="19">
        <v>0</v>
      </c>
      <c r="U72" s="26">
        <v>0</v>
      </c>
      <c r="V72" s="19">
        <v>0</v>
      </c>
      <c r="W72" s="19">
        <v>0</v>
      </c>
      <c r="X72" s="19">
        <v>0</v>
      </c>
      <c r="Y72" s="26">
        <v>0</v>
      </c>
      <c r="Z72" s="26">
        <v>0</v>
      </c>
      <c r="AA72" s="26">
        <v>0</v>
      </c>
      <c r="AB72" s="26">
        <v>203601</v>
      </c>
      <c r="AC72" s="26">
        <v>500</v>
      </c>
      <c r="AD72" s="26">
        <v>1</v>
      </c>
      <c r="AE72" s="34"/>
      <c r="AF72" s="34"/>
      <c r="AG72" s="34"/>
      <c r="AH72" s="34"/>
      <c r="AI72" s="34"/>
      <c r="AJ72" s="34"/>
      <c r="AK72" s="34"/>
      <c r="AL72" s="34"/>
      <c r="AM72" s="34"/>
      <c r="AN72" s="34"/>
      <c r="AO72" s="34"/>
      <c r="AP72" s="34"/>
      <c r="AQ72" s="34"/>
      <c r="AR72" s="34"/>
      <c r="AS72" s="34"/>
      <c r="AT72" s="34"/>
      <c r="AU72" s="34"/>
      <c r="AV72" s="34"/>
      <c r="AW72" s="34"/>
      <c r="AX72" s="34"/>
      <c r="AY72" s="34"/>
      <c r="AZ72" s="34"/>
      <c r="BA72" s="34"/>
      <c r="BB72" s="34"/>
      <c r="BC72" s="34"/>
      <c r="BD72" s="34"/>
      <c r="BE72" s="34"/>
      <c r="BF72" s="34"/>
      <c r="BG72" s="34"/>
      <c r="BH72" s="34"/>
      <c r="BI72" s="34"/>
      <c r="BJ72" s="34"/>
      <c r="BK72" s="34"/>
      <c r="BL72" s="34"/>
      <c r="BM72" s="34"/>
      <c r="BN72" s="34"/>
      <c r="BO72" s="34"/>
      <c r="BP72" s="34"/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  <c r="CE72" s="34"/>
      <c r="CF72" s="34"/>
      <c r="CG72" s="34"/>
      <c r="CH72" s="34"/>
      <c r="CI72" s="34"/>
      <c r="CJ72" s="34"/>
      <c r="CK72" s="34"/>
      <c r="CL72" s="34"/>
      <c r="CM72" s="34"/>
      <c r="CN72" s="34"/>
      <c r="CO72" s="34"/>
      <c r="CP72" s="34"/>
      <c r="CQ72" s="34"/>
      <c r="CR72" s="34"/>
      <c r="CS72" s="34"/>
      <c r="CT72" s="34"/>
      <c r="CU72" s="34"/>
      <c r="CV72" s="34"/>
      <c r="CW72" s="34"/>
      <c r="CX72" s="34"/>
      <c r="CY72" s="34"/>
      <c r="CZ72" s="34"/>
      <c r="DA72" s="34"/>
      <c r="DB72" s="34"/>
      <c r="DC72" s="34"/>
      <c r="DD72" s="34"/>
      <c r="DE72" s="34"/>
      <c r="DF72" s="34"/>
      <c r="DG72" s="34"/>
      <c r="DH72" s="34"/>
      <c r="DI72" s="34"/>
      <c r="DJ72" s="34"/>
      <c r="DK72" s="34"/>
      <c r="DL72" s="34"/>
      <c r="DM72" s="34"/>
      <c r="DN72" s="34"/>
      <c r="DO72" s="34"/>
      <c r="DP72" s="34"/>
      <c r="DQ72" s="34"/>
      <c r="DR72" s="34"/>
      <c r="DS72" s="34"/>
      <c r="DT72" s="34"/>
      <c r="DU72" s="34"/>
      <c r="DV72" s="34"/>
      <c r="DW72" s="34"/>
      <c r="DX72" s="34"/>
      <c r="DY72" s="34"/>
      <c r="DZ72" s="34"/>
      <c r="EA72" s="34"/>
      <c r="EB72" s="34"/>
      <c r="EC72" s="34"/>
      <c r="ED72" s="34"/>
      <c r="EE72" s="34"/>
      <c r="EF72" s="34"/>
      <c r="EG72" s="34"/>
      <c r="EH72" s="34"/>
      <c r="EI72" s="34"/>
      <c r="EJ72" s="34"/>
      <c r="EK72" s="34"/>
      <c r="EL72" s="34"/>
      <c r="EM72" s="34"/>
      <c r="EN72" s="34"/>
      <c r="EO72" s="34"/>
      <c r="EP72" s="34"/>
      <c r="EQ72" s="34"/>
      <c r="ER72" s="34"/>
      <c r="ES72" s="34"/>
      <c r="ET72" s="34"/>
      <c r="EU72" s="34"/>
      <c r="EV72" s="34"/>
      <c r="EW72" s="34"/>
      <c r="EX72" s="34"/>
      <c r="EY72" s="34"/>
      <c r="EZ72" s="34"/>
      <c r="FA72" s="34"/>
      <c r="FB72" s="34"/>
      <c r="FC72" s="34"/>
      <c r="FD72" s="34"/>
      <c r="FE72" s="34"/>
      <c r="FF72" s="34"/>
      <c r="FG72" s="34"/>
      <c r="FH72" s="34"/>
      <c r="FI72" s="34"/>
      <c r="FJ72" s="34"/>
      <c r="FK72" s="34"/>
      <c r="FL72" s="34"/>
      <c r="FM72" s="34"/>
      <c r="FN72" s="34"/>
      <c r="FO72" s="34"/>
      <c r="FP72" s="34"/>
      <c r="FQ72" s="34"/>
      <c r="FR72" s="34"/>
      <c r="FS72" s="34"/>
      <c r="FT72" s="34"/>
      <c r="FU72" s="34"/>
      <c r="FV72" s="34"/>
      <c r="FW72" s="34"/>
      <c r="FX72" s="34"/>
      <c r="FY72" s="34"/>
      <c r="FZ72" s="34"/>
      <c r="GA72" s="34"/>
      <c r="GB72" s="34"/>
      <c r="GC72" s="34"/>
      <c r="GD72" s="34"/>
      <c r="GE72" s="34"/>
      <c r="GF72" s="34"/>
      <c r="GG72" s="34"/>
      <c r="GH72" s="34"/>
      <c r="GI72" s="34"/>
      <c r="GJ72" s="34"/>
      <c r="GK72" s="34"/>
      <c r="GL72" s="34"/>
      <c r="GM72" s="34"/>
      <c r="GN72" s="34"/>
      <c r="GO72" s="34"/>
      <c r="GP72" s="34"/>
      <c r="GQ72" s="34"/>
      <c r="GR72" s="34"/>
      <c r="GS72" s="34"/>
      <c r="GT72" s="34"/>
      <c r="GU72" s="34"/>
      <c r="GV72" s="34"/>
      <c r="GW72" s="34"/>
      <c r="GX72" s="34"/>
      <c r="GY72" s="34"/>
      <c r="GZ72" s="34"/>
      <c r="HA72" s="34"/>
      <c r="HB72" s="34"/>
      <c r="HC72" s="34"/>
      <c r="HD72" s="34"/>
      <c r="HE72" s="34"/>
      <c r="HF72" s="34"/>
      <c r="HG72" s="34"/>
      <c r="HH72" s="34"/>
      <c r="HI72" s="34"/>
      <c r="HJ72" s="34"/>
      <c r="HK72" s="34"/>
      <c r="HL72" s="34"/>
      <c r="HM72" s="34"/>
      <c r="HN72" s="34"/>
      <c r="HO72" s="34"/>
      <c r="HP72" s="34"/>
    </row>
    <row r="73" spans="3:224" ht="20.100000000000001" customHeight="1">
      <c r="C73" s="11">
        <v>14040001</v>
      </c>
      <c r="D73" s="11" t="s">
        <v>116</v>
      </c>
      <c r="E73" s="14">
        <v>1140003</v>
      </c>
      <c r="F73" s="14">
        <v>0</v>
      </c>
      <c r="G73" s="14">
        <v>1</v>
      </c>
      <c r="H73" s="14">
        <v>20</v>
      </c>
      <c r="I73" s="22">
        <v>0.2</v>
      </c>
      <c r="J73" s="23">
        <v>5</v>
      </c>
      <c r="K73" s="14">
        <v>0</v>
      </c>
      <c r="L73" s="14">
        <v>0</v>
      </c>
      <c r="M73" s="14">
        <f t="shared" si="2"/>
        <v>6</v>
      </c>
      <c r="N73" s="14">
        <v>12</v>
      </c>
      <c r="O73" s="14">
        <v>0</v>
      </c>
      <c r="P73" s="14">
        <v>0</v>
      </c>
      <c r="Q73" s="14">
        <f t="shared" si="3"/>
        <v>0</v>
      </c>
      <c r="R73" s="14">
        <v>0</v>
      </c>
      <c r="S73" s="14">
        <f t="shared" si="4"/>
        <v>6</v>
      </c>
      <c r="T73" s="14">
        <v>12</v>
      </c>
      <c r="U73" s="22">
        <v>0</v>
      </c>
      <c r="V73" s="14">
        <v>0</v>
      </c>
      <c r="W73" s="14">
        <v>0</v>
      </c>
      <c r="X73" s="14">
        <v>0</v>
      </c>
      <c r="Y73" s="22">
        <v>0</v>
      </c>
      <c r="Z73" s="22">
        <v>0</v>
      </c>
      <c r="AA73" s="22">
        <v>0</v>
      </c>
      <c r="AB73" s="22">
        <v>0</v>
      </c>
      <c r="AC73" s="22">
        <v>0</v>
      </c>
      <c r="AD73" s="22">
        <v>0</v>
      </c>
      <c r="GR73" s="6"/>
      <c r="GS73" s="6"/>
      <c r="GT73" s="6"/>
      <c r="GU73" s="6"/>
      <c r="GV73" s="6"/>
      <c r="GW73" s="6"/>
      <c r="GX73" s="6"/>
      <c r="GY73" s="6"/>
      <c r="GZ73" s="6"/>
      <c r="HA73" s="6"/>
      <c r="HB73" s="6"/>
      <c r="HC73" s="6"/>
      <c r="HD73" s="6"/>
      <c r="HE73" s="6"/>
      <c r="HF73" s="6"/>
      <c r="HG73" s="6"/>
      <c r="HH73" s="6"/>
      <c r="HI73" s="6"/>
      <c r="HJ73" s="6"/>
      <c r="HK73" s="6"/>
      <c r="HL73" s="6"/>
      <c r="HM73" s="6"/>
      <c r="HN73" s="6"/>
      <c r="HO73" s="6"/>
      <c r="HP73" s="6"/>
    </row>
    <row r="74" spans="3:224" ht="20.100000000000001" customHeight="1">
      <c r="C74" s="11">
        <v>14040002</v>
      </c>
      <c r="D74" s="11" t="s">
        <v>117</v>
      </c>
      <c r="E74" s="14">
        <v>1140003</v>
      </c>
      <c r="F74" s="14">
        <v>0</v>
      </c>
      <c r="G74" s="14">
        <v>1</v>
      </c>
      <c r="H74" s="14">
        <v>20</v>
      </c>
      <c r="I74" s="22">
        <v>0.2</v>
      </c>
      <c r="J74" s="23">
        <v>5</v>
      </c>
      <c r="K74" s="14">
        <v>0</v>
      </c>
      <c r="L74" s="14">
        <v>0</v>
      </c>
      <c r="M74" s="14">
        <f t="shared" si="2"/>
        <v>10</v>
      </c>
      <c r="N74" s="14">
        <v>20</v>
      </c>
      <c r="O74" s="14">
        <v>0</v>
      </c>
      <c r="P74" s="14">
        <v>0</v>
      </c>
      <c r="Q74" s="14">
        <f t="shared" si="3"/>
        <v>0</v>
      </c>
      <c r="R74" s="14">
        <v>0</v>
      </c>
      <c r="S74" s="14">
        <f t="shared" si="4"/>
        <v>10</v>
      </c>
      <c r="T74" s="14">
        <v>20</v>
      </c>
      <c r="U74" s="22">
        <v>0</v>
      </c>
      <c r="V74" s="14">
        <v>0</v>
      </c>
      <c r="W74" s="14">
        <v>0</v>
      </c>
      <c r="X74" s="14">
        <v>0</v>
      </c>
      <c r="Y74" s="22">
        <v>0</v>
      </c>
      <c r="Z74" s="22">
        <v>0</v>
      </c>
      <c r="AA74" s="22">
        <v>0</v>
      </c>
      <c r="AB74" s="22">
        <v>0</v>
      </c>
      <c r="AC74" s="22">
        <v>0</v>
      </c>
      <c r="AD74" s="22">
        <v>0</v>
      </c>
      <c r="GR74" s="6"/>
      <c r="GS74" s="6"/>
      <c r="GT74" s="6"/>
      <c r="GU74" s="6"/>
      <c r="GV74" s="6"/>
      <c r="GW74" s="6"/>
      <c r="GX74" s="6"/>
      <c r="GY74" s="6"/>
      <c r="GZ74" s="6"/>
      <c r="HA74" s="6"/>
      <c r="HB74" s="6"/>
      <c r="HC74" s="6"/>
      <c r="HD74" s="6"/>
      <c r="HE74" s="6"/>
      <c r="HF74" s="6"/>
      <c r="HG74" s="6"/>
      <c r="HH74" s="6"/>
      <c r="HI74" s="6"/>
      <c r="HJ74" s="6"/>
      <c r="HK74" s="6"/>
      <c r="HL74" s="6"/>
      <c r="HM74" s="6"/>
      <c r="HN74" s="6"/>
      <c r="HO74" s="6"/>
      <c r="HP74" s="6"/>
    </row>
    <row r="75" spans="3:224" ht="20.100000000000001" customHeight="1">
      <c r="C75" s="11">
        <v>14040003</v>
      </c>
      <c r="D75" s="11" t="s">
        <v>118</v>
      </c>
      <c r="E75" s="14">
        <v>1140003</v>
      </c>
      <c r="F75" s="14">
        <v>11011</v>
      </c>
      <c r="G75" s="14">
        <v>1</v>
      </c>
      <c r="H75" s="14">
        <v>20</v>
      </c>
      <c r="I75" s="22">
        <v>0.2</v>
      </c>
      <c r="J75" s="23">
        <v>5</v>
      </c>
      <c r="K75" s="14">
        <v>0</v>
      </c>
      <c r="L75" s="14">
        <v>0</v>
      </c>
      <c r="M75" s="14">
        <f t="shared" si="2"/>
        <v>11</v>
      </c>
      <c r="N75" s="14">
        <v>22</v>
      </c>
      <c r="O75" s="14">
        <v>0</v>
      </c>
      <c r="P75" s="14">
        <v>0</v>
      </c>
      <c r="Q75" s="14">
        <f t="shared" si="3"/>
        <v>0</v>
      </c>
      <c r="R75" s="14">
        <v>0</v>
      </c>
      <c r="S75" s="14">
        <f t="shared" si="4"/>
        <v>12</v>
      </c>
      <c r="T75" s="14">
        <v>23</v>
      </c>
      <c r="U75" s="22">
        <v>0</v>
      </c>
      <c r="V75" s="14">
        <v>0</v>
      </c>
      <c r="W75" s="14">
        <v>0</v>
      </c>
      <c r="X75" s="14">
        <v>0</v>
      </c>
      <c r="Y75" s="22">
        <v>0</v>
      </c>
      <c r="Z75" s="22">
        <v>0</v>
      </c>
      <c r="AA75" s="22">
        <v>0</v>
      </c>
      <c r="AB75" s="22">
        <v>0</v>
      </c>
      <c r="AC75" s="22">
        <v>0</v>
      </c>
      <c r="AD75" s="22">
        <v>0</v>
      </c>
      <c r="GR75" s="6"/>
      <c r="GS75" s="6"/>
      <c r="GT75" s="6"/>
      <c r="GU75" s="6"/>
      <c r="GV75" s="6"/>
      <c r="GW75" s="6"/>
      <c r="GX75" s="6"/>
      <c r="GY75" s="6"/>
      <c r="GZ75" s="6"/>
      <c r="HA75" s="6"/>
      <c r="HB75" s="6"/>
      <c r="HC75" s="6"/>
      <c r="HD75" s="6"/>
      <c r="HE75" s="6"/>
      <c r="HF75" s="6"/>
      <c r="HG75" s="6"/>
      <c r="HH75" s="6"/>
      <c r="HI75" s="6"/>
      <c r="HJ75" s="6"/>
      <c r="HK75" s="6"/>
      <c r="HL75" s="6"/>
      <c r="HM75" s="6"/>
      <c r="HN75" s="6"/>
      <c r="HO75" s="6"/>
      <c r="HP75" s="6"/>
    </row>
    <row r="76" spans="3:224" ht="20.100000000000001" customHeight="1">
      <c r="C76" s="11">
        <v>14040004</v>
      </c>
      <c r="D76" s="11" t="s">
        <v>119</v>
      </c>
      <c r="E76" s="14">
        <v>1140003</v>
      </c>
      <c r="F76" s="14">
        <v>11041</v>
      </c>
      <c r="G76" s="14">
        <v>1</v>
      </c>
      <c r="H76" s="14">
        <v>20</v>
      </c>
      <c r="I76" s="22">
        <v>0.2</v>
      </c>
      <c r="J76" s="23">
        <v>10</v>
      </c>
      <c r="K76" s="14">
        <v>0</v>
      </c>
      <c r="L76" s="14">
        <v>0</v>
      </c>
      <c r="M76" s="14">
        <f t="shared" si="2"/>
        <v>14</v>
      </c>
      <c r="N76" s="14">
        <v>28</v>
      </c>
      <c r="O76" s="14">
        <v>0</v>
      </c>
      <c r="P76" s="14">
        <v>0</v>
      </c>
      <c r="Q76" s="14">
        <f t="shared" si="3"/>
        <v>0</v>
      </c>
      <c r="R76" s="14">
        <v>0</v>
      </c>
      <c r="S76" s="14">
        <f t="shared" si="4"/>
        <v>15</v>
      </c>
      <c r="T76" s="14">
        <v>30</v>
      </c>
      <c r="U76" s="22">
        <v>0</v>
      </c>
      <c r="V76" s="14">
        <v>0</v>
      </c>
      <c r="W76" s="14">
        <v>0</v>
      </c>
      <c r="X76" s="14">
        <v>0</v>
      </c>
      <c r="Y76" s="22">
        <v>0</v>
      </c>
      <c r="Z76" s="22">
        <v>0</v>
      </c>
      <c r="AA76" s="22">
        <v>0</v>
      </c>
      <c r="AB76" s="22">
        <v>0</v>
      </c>
      <c r="AC76" s="22">
        <v>0</v>
      </c>
      <c r="AD76" s="22">
        <v>0</v>
      </c>
      <c r="GR76" s="6"/>
      <c r="GS76" s="6"/>
      <c r="GT76" s="6"/>
      <c r="GU76" s="6"/>
      <c r="GV76" s="6"/>
      <c r="GW76" s="6"/>
      <c r="GX76" s="6"/>
      <c r="GY76" s="6"/>
      <c r="GZ76" s="6"/>
      <c r="HA76" s="6"/>
      <c r="HB76" s="6"/>
      <c r="HC76" s="6"/>
      <c r="HD76" s="6"/>
      <c r="HE76" s="6"/>
      <c r="HF76" s="6"/>
      <c r="HG76" s="6"/>
      <c r="HH76" s="6"/>
      <c r="HI76" s="6"/>
      <c r="HJ76" s="6"/>
      <c r="HK76" s="6"/>
      <c r="HL76" s="6"/>
      <c r="HM76" s="6"/>
      <c r="HN76" s="6"/>
      <c r="HO76" s="6"/>
      <c r="HP76" s="6"/>
    </row>
    <row r="77" spans="3:224" ht="20.100000000000001" customHeight="1">
      <c r="C77" s="11">
        <v>14040005</v>
      </c>
      <c r="D77" s="11" t="s">
        <v>120</v>
      </c>
      <c r="E77" s="14">
        <v>1140003</v>
      </c>
      <c r="F77" s="14">
        <v>0</v>
      </c>
      <c r="G77" s="14">
        <v>1</v>
      </c>
      <c r="H77" s="14">
        <v>20</v>
      </c>
      <c r="I77" s="22">
        <v>0.2</v>
      </c>
      <c r="J77" s="23">
        <v>5</v>
      </c>
      <c r="K77" s="14">
        <v>0</v>
      </c>
      <c r="L77" s="14">
        <v>0</v>
      </c>
      <c r="M77" s="14">
        <f t="shared" si="2"/>
        <v>8</v>
      </c>
      <c r="N77" s="14">
        <v>16</v>
      </c>
      <c r="O77" s="14">
        <v>0</v>
      </c>
      <c r="P77" s="14">
        <v>0</v>
      </c>
      <c r="Q77" s="14">
        <f t="shared" si="3"/>
        <v>0</v>
      </c>
      <c r="R77" s="14">
        <v>0</v>
      </c>
      <c r="S77" s="14">
        <f t="shared" si="4"/>
        <v>5</v>
      </c>
      <c r="T77" s="14">
        <v>9</v>
      </c>
      <c r="U77" s="22">
        <v>0</v>
      </c>
      <c r="V77" s="14">
        <v>0</v>
      </c>
      <c r="W77" s="14">
        <v>0</v>
      </c>
      <c r="X77" s="14">
        <v>0</v>
      </c>
      <c r="Y77" s="22">
        <v>0</v>
      </c>
      <c r="Z77" s="22">
        <v>0</v>
      </c>
      <c r="AA77" s="22">
        <v>0</v>
      </c>
      <c r="AB77" s="22">
        <v>0</v>
      </c>
      <c r="AC77" s="22">
        <v>0</v>
      </c>
      <c r="AD77" s="22">
        <v>0</v>
      </c>
      <c r="GR77" s="6"/>
      <c r="GS77" s="6"/>
      <c r="GT77" s="6"/>
      <c r="GU77" s="6"/>
      <c r="GV77" s="6"/>
      <c r="GW77" s="6"/>
      <c r="GX77" s="6"/>
      <c r="GY77" s="6"/>
      <c r="GZ77" s="6"/>
      <c r="HA77" s="6"/>
      <c r="HB77" s="6"/>
      <c r="HC77" s="6"/>
      <c r="HD77" s="6"/>
      <c r="HE77" s="6"/>
      <c r="HF77" s="6"/>
      <c r="HG77" s="6"/>
      <c r="HH77" s="6"/>
      <c r="HI77" s="6"/>
      <c r="HJ77" s="6"/>
      <c r="HK77" s="6"/>
      <c r="HL77" s="6"/>
      <c r="HM77" s="6"/>
      <c r="HN77" s="6"/>
      <c r="HO77" s="6"/>
      <c r="HP77" s="6"/>
    </row>
    <row r="78" spans="3:224" ht="20.100000000000001" customHeight="1">
      <c r="C78" s="11">
        <v>14040006</v>
      </c>
      <c r="D78" s="11" t="s">
        <v>121</v>
      </c>
      <c r="E78" s="14">
        <v>1140003</v>
      </c>
      <c r="F78" s="14">
        <v>0</v>
      </c>
      <c r="G78" s="14">
        <v>1</v>
      </c>
      <c r="H78" s="14">
        <v>20</v>
      </c>
      <c r="I78" s="22">
        <v>0.2</v>
      </c>
      <c r="J78" s="23">
        <v>5</v>
      </c>
      <c r="K78" s="14">
        <v>0</v>
      </c>
      <c r="L78" s="14">
        <v>0</v>
      </c>
      <c r="M78" s="14">
        <f t="shared" si="2"/>
        <v>14</v>
      </c>
      <c r="N78" s="14">
        <v>27</v>
      </c>
      <c r="O78" s="14">
        <v>0</v>
      </c>
      <c r="P78" s="14">
        <v>0</v>
      </c>
      <c r="Q78" s="14">
        <f t="shared" si="3"/>
        <v>0</v>
      </c>
      <c r="R78" s="14">
        <v>0</v>
      </c>
      <c r="S78" s="14">
        <f t="shared" si="4"/>
        <v>8</v>
      </c>
      <c r="T78" s="14">
        <v>15</v>
      </c>
      <c r="U78" s="22">
        <v>0</v>
      </c>
      <c r="V78" s="14">
        <v>0</v>
      </c>
      <c r="W78" s="14">
        <v>0</v>
      </c>
      <c r="X78" s="14">
        <v>0</v>
      </c>
      <c r="Y78" s="22">
        <v>0</v>
      </c>
      <c r="Z78" s="22">
        <v>0</v>
      </c>
      <c r="AA78" s="22">
        <v>0</v>
      </c>
      <c r="AB78" s="22">
        <v>0</v>
      </c>
      <c r="AC78" s="22">
        <v>0</v>
      </c>
      <c r="AD78" s="22">
        <v>0</v>
      </c>
      <c r="GR78" s="6"/>
      <c r="GS78" s="6"/>
      <c r="GT78" s="6"/>
      <c r="GU78" s="6"/>
      <c r="GV78" s="6"/>
      <c r="GW78" s="6"/>
      <c r="GX78" s="6"/>
      <c r="GY78" s="6"/>
      <c r="GZ78" s="6"/>
      <c r="HA78" s="6"/>
      <c r="HB78" s="6"/>
      <c r="HC78" s="6"/>
      <c r="HD78" s="6"/>
      <c r="HE78" s="6"/>
      <c r="HF78" s="6"/>
      <c r="HG78" s="6"/>
      <c r="HH78" s="6"/>
      <c r="HI78" s="6"/>
      <c r="HJ78" s="6"/>
      <c r="HK78" s="6"/>
      <c r="HL78" s="6"/>
      <c r="HM78" s="6"/>
      <c r="HN78" s="6"/>
      <c r="HO78" s="6"/>
      <c r="HP78" s="6"/>
    </row>
    <row r="79" spans="3:224" ht="20.100000000000001" customHeight="1">
      <c r="C79" s="11">
        <v>14040007</v>
      </c>
      <c r="D79" s="11" t="s">
        <v>122</v>
      </c>
      <c r="E79" s="14">
        <v>1140003</v>
      </c>
      <c r="F79" s="14">
        <v>11021</v>
      </c>
      <c r="G79" s="14">
        <v>1</v>
      </c>
      <c r="H79" s="14">
        <v>20</v>
      </c>
      <c r="I79" s="22">
        <v>0.2</v>
      </c>
      <c r="J79" s="23">
        <v>5</v>
      </c>
      <c r="K79" s="14">
        <v>0</v>
      </c>
      <c r="L79" s="14">
        <v>0</v>
      </c>
      <c r="M79" s="14">
        <f t="shared" si="2"/>
        <v>15</v>
      </c>
      <c r="N79" s="14">
        <v>30</v>
      </c>
      <c r="O79" s="14">
        <v>0</v>
      </c>
      <c r="P79" s="14">
        <v>0</v>
      </c>
      <c r="Q79" s="14">
        <f t="shared" si="3"/>
        <v>0</v>
      </c>
      <c r="R79" s="14">
        <v>0</v>
      </c>
      <c r="S79" s="14">
        <f t="shared" si="4"/>
        <v>9</v>
      </c>
      <c r="T79" s="14">
        <v>17</v>
      </c>
      <c r="U79" s="22">
        <v>0</v>
      </c>
      <c r="V79" s="14">
        <v>0</v>
      </c>
      <c r="W79" s="14">
        <v>0</v>
      </c>
      <c r="X79" s="14">
        <v>0</v>
      </c>
      <c r="Y79" s="22">
        <v>0</v>
      </c>
      <c r="Z79" s="22">
        <v>0</v>
      </c>
      <c r="AA79" s="22">
        <v>0</v>
      </c>
      <c r="AB79" s="22">
        <v>0</v>
      </c>
      <c r="AC79" s="22">
        <v>0</v>
      </c>
      <c r="AD79" s="22">
        <v>0</v>
      </c>
      <c r="GR79" s="6"/>
      <c r="GS79" s="6"/>
      <c r="GT79" s="6"/>
      <c r="GU79" s="6"/>
      <c r="GV79" s="6"/>
      <c r="GW79" s="6"/>
      <c r="GX79" s="6"/>
      <c r="GY79" s="6"/>
      <c r="GZ79" s="6"/>
      <c r="HA79" s="6"/>
      <c r="HB79" s="6"/>
      <c r="HC79" s="6"/>
      <c r="HD79" s="6"/>
      <c r="HE79" s="6"/>
      <c r="HF79" s="6"/>
      <c r="HG79" s="6"/>
      <c r="HH79" s="6"/>
      <c r="HI79" s="6"/>
      <c r="HJ79" s="6"/>
      <c r="HK79" s="6"/>
      <c r="HL79" s="6"/>
      <c r="HM79" s="6"/>
      <c r="HN79" s="6"/>
      <c r="HO79" s="6"/>
      <c r="HP79" s="6"/>
    </row>
    <row r="80" spans="3:224" ht="20.100000000000001" customHeight="1">
      <c r="C80" s="11">
        <v>14040008</v>
      </c>
      <c r="D80" s="11" t="s">
        <v>123</v>
      </c>
      <c r="E80" s="14">
        <v>1140003</v>
      </c>
      <c r="F80" s="14">
        <v>11042</v>
      </c>
      <c r="G80" s="14">
        <v>1</v>
      </c>
      <c r="H80" s="14">
        <v>20</v>
      </c>
      <c r="I80" s="22">
        <v>0.2</v>
      </c>
      <c r="J80" s="23">
        <v>10</v>
      </c>
      <c r="K80" s="14">
        <v>0</v>
      </c>
      <c r="L80" s="14">
        <v>0</v>
      </c>
      <c r="M80" s="14">
        <f t="shared" si="2"/>
        <v>19</v>
      </c>
      <c r="N80" s="14">
        <v>38</v>
      </c>
      <c r="O80" s="14">
        <v>0</v>
      </c>
      <c r="P80" s="14">
        <v>0</v>
      </c>
      <c r="Q80" s="14">
        <f t="shared" si="3"/>
        <v>0</v>
      </c>
      <c r="R80" s="14">
        <v>0</v>
      </c>
      <c r="S80" s="14">
        <f t="shared" si="4"/>
        <v>12</v>
      </c>
      <c r="T80" s="14">
        <v>23</v>
      </c>
      <c r="U80" s="22">
        <v>0</v>
      </c>
      <c r="V80" s="14">
        <v>0</v>
      </c>
      <c r="W80" s="14">
        <v>0</v>
      </c>
      <c r="X80" s="14">
        <v>0</v>
      </c>
      <c r="Y80" s="22">
        <v>0</v>
      </c>
      <c r="Z80" s="22">
        <v>0</v>
      </c>
      <c r="AA80" s="22">
        <v>0</v>
      </c>
      <c r="AB80" s="22">
        <v>0</v>
      </c>
      <c r="AC80" s="22">
        <v>0</v>
      </c>
      <c r="AD80" s="22">
        <v>0</v>
      </c>
      <c r="GR80" s="6"/>
      <c r="GS80" s="6"/>
      <c r="GT80" s="6"/>
      <c r="GU80" s="6"/>
      <c r="GV80" s="6"/>
      <c r="GW80" s="6"/>
      <c r="GX80" s="6"/>
      <c r="GY80" s="6"/>
      <c r="GZ80" s="6"/>
      <c r="HA80" s="6"/>
      <c r="HB80" s="6"/>
      <c r="HC80" s="6"/>
      <c r="HD80" s="6"/>
      <c r="HE80" s="6"/>
      <c r="HF80" s="6"/>
      <c r="HG80" s="6"/>
      <c r="HH80" s="6"/>
      <c r="HI80" s="6"/>
      <c r="HJ80" s="6"/>
      <c r="HK80" s="6"/>
      <c r="HL80" s="6"/>
      <c r="HM80" s="6"/>
      <c r="HN80" s="6"/>
      <c r="HO80" s="6"/>
      <c r="HP80" s="6"/>
    </row>
    <row r="81" spans="3:224" ht="20.100000000000001" customHeight="1">
      <c r="C81" s="11">
        <v>14040009</v>
      </c>
      <c r="D81" s="11" t="s">
        <v>124</v>
      </c>
      <c r="E81" s="14">
        <v>1140003</v>
      </c>
      <c r="F81" s="14">
        <v>0</v>
      </c>
      <c r="G81" s="14">
        <v>1</v>
      </c>
      <c r="H81" s="14">
        <v>20</v>
      </c>
      <c r="I81" s="22">
        <v>0.2</v>
      </c>
      <c r="J81" s="23">
        <v>5</v>
      </c>
      <c r="K81" s="14">
        <v>0</v>
      </c>
      <c r="L81" s="14">
        <v>0</v>
      </c>
      <c r="M81" s="14">
        <f t="shared" si="2"/>
        <v>5</v>
      </c>
      <c r="N81" s="14">
        <v>9</v>
      </c>
      <c r="O81" s="14">
        <v>0</v>
      </c>
      <c r="P81" s="14">
        <v>0</v>
      </c>
      <c r="Q81" s="14">
        <f t="shared" si="3"/>
        <v>0</v>
      </c>
      <c r="R81" s="14">
        <v>0</v>
      </c>
      <c r="S81" s="14">
        <f t="shared" si="4"/>
        <v>8</v>
      </c>
      <c r="T81" s="14">
        <v>15</v>
      </c>
      <c r="U81" s="22">
        <v>0</v>
      </c>
      <c r="V81" s="14">
        <v>0</v>
      </c>
      <c r="W81" s="14">
        <v>0</v>
      </c>
      <c r="X81" s="14">
        <v>0</v>
      </c>
      <c r="Y81" s="22">
        <v>0</v>
      </c>
      <c r="Z81" s="22">
        <v>0</v>
      </c>
      <c r="AA81" s="22">
        <v>0</v>
      </c>
      <c r="AB81" s="22">
        <v>0</v>
      </c>
      <c r="AC81" s="22">
        <v>0</v>
      </c>
      <c r="AD81" s="22">
        <v>0</v>
      </c>
      <c r="GR81" s="6"/>
      <c r="GS81" s="6"/>
      <c r="GT81" s="6"/>
      <c r="GU81" s="6"/>
      <c r="GV81" s="6"/>
      <c r="GW81" s="6"/>
      <c r="GX81" s="6"/>
      <c r="GY81" s="6"/>
      <c r="GZ81" s="6"/>
      <c r="HA81" s="6"/>
      <c r="HB81" s="6"/>
      <c r="HC81" s="6"/>
      <c r="HD81" s="6"/>
      <c r="HE81" s="6"/>
      <c r="HF81" s="6"/>
      <c r="HG81" s="6"/>
      <c r="HH81" s="6"/>
      <c r="HI81" s="6"/>
      <c r="HJ81" s="6"/>
      <c r="HK81" s="6"/>
      <c r="HL81" s="6"/>
      <c r="HM81" s="6"/>
      <c r="HN81" s="6"/>
      <c r="HO81" s="6"/>
      <c r="HP81" s="6"/>
    </row>
    <row r="82" spans="3:224" ht="20.100000000000001" customHeight="1">
      <c r="C82" s="11">
        <v>14040010</v>
      </c>
      <c r="D82" s="11" t="s">
        <v>125</v>
      </c>
      <c r="E82" s="14">
        <v>1140003</v>
      </c>
      <c r="F82" s="14">
        <v>0</v>
      </c>
      <c r="G82" s="14">
        <v>1</v>
      </c>
      <c r="H82" s="14">
        <v>20</v>
      </c>
      <c r="I82" s="22">
        <v>0.2</v>
      </c>
      <c r="J82" s="23">
        <v>5</v>
      </c>
      <c r="K82" s="14">
        <v>0</v>
      </c>
      <c r="L82" s="14">
        <v>0</v>
      </c>
      <c r="M82" s="14">
        <f t="shared" si="2"/>
        <v>8</v>
      </c>
      <c r="N82" s="14">
        <v>15</v>
      </c>
      <c r="O82" s="14">
        <v>0</v>
      </c>
      <c r="P82" s="14">
        <v>0</v>
      </c>
      <c r="Q82" s="14">
        <f t="shared" si="3"/>
        <v>0</v>
      </c>
      <c r="R82" s="14">
        <v>0</v>
      </c>
      <c r="S82" s="14">
        <f t="shared" si="4"/>
        <v>13</v>
      </c>
      <c r="T82" s="14">
        <v>25</v>
      </c>
      <c r="U82" s="22">
        <v>0</v>
      </c>
      <c r="V82" s="14">
        <v>0</v>
      </c>
      <c r="W82" s="14">
        <v>0</v>
      </c>
      <c r="X82" s="14">
        <v>0</v>
      </c>
      <c r="Y82" s="22">
        <v>0</v>
      </c>
      <c r="Z82" s="22">
        <v>0</v>
      </c>
      <c r="AA82" s="22">
        <v>0</v>
      </c>
      <c r="AB82" s="22">
        <v>0</v>
      </c>
      <c r="AC82" s="22">
        <v>0</v>
      </c>
      <c r="AD82" s="22">
        <v>0</v>
      </c>
      <c r="GR82" s="6"/>
      <c r="GS82" s="6"/>
      <c r="GT82" s="6"/>
      <c r="GU82" s="6"/>
      <c r="GV82" s="6"/>
      <c r="GW82" s="6"/>
      <c r="GX82" s="6"/>
      <c r="GY82" s="6"/>
      <c r="GZ82" s="6"/>
      <c r="HA82" s="6"/>
      <c r="HB82" s="6"/>
      <c r="HC82" s="6"/>
      <c r="HD82" s="6"/>
      <c r="HE82" s="6"/>
      <c r="HF82" s="6"/>
      <c r="HG82" s="6"/>
      <c r="HH82" s="6"/>
      <c r="HI82" s="6"/>
      <c r="HJ82" s="6"/>
      <c r="HK82" s="6"/>
      <c r="HL82" s="6"/>
      <c r="HM82" s="6"/>
      <c r="HN82" s="6"/>
      <c r="HO82" s="6"/>
      <c r="HP82" s="6"/>
    </row>
    <row r="83" spans="3:224" ht="20.100000000000001" customHeight="1">
      <c r="C83" s="11">
        <v>14040011</v>
      </c>
      <c r="D83" s="11" t="s">
        <v>126</v>
      </c>
      <c r="E83" s="14">
        <v>1140003</v>
      </c>
      <c r="F83" s="14">
        <v>11031</v>
      </c>
      <c r="G83" s="14">
        <v>1</v>
      </c>
      <c r="H83" s="14">
        <v>20</v>
      </c>
      <c r="I83" s="22">
        <v>0.2</v>
      </c>
      <c r="J83" s="23">
        <v>5</v>
      </c>
      <c r="K83" s="14">
        <v>0</v>
      </c>
      <c r="L83" s="14">
        <v>0</v>
      </c>
      <c r="M83" s="14">
        <f t="shared" si="2"/>
        <v>9</v>
      </c>
      <c r="N83" s="14">
        <v>17</v>
      </c>
      <c r="O83" s="14">
        <v>0</v>
      </c>
      <c r="P83" s="14">
        <v>0</v>
      </c>
      <c r="Q83" s="14">
        <f t="shared" si="3"/>
        <v>0</v>
      </c>
      <c r="R83" s="14">
        <v>0</v>
      </c>
      <c r="S83" s="14">
        <f t="shared" si="4"/>
        <v>15</v>
      </c>
      <c r="T83" s="14">
        <v>29</v>
      </c>
      <c r="U83" s="22">
        <v>0</v>
      </c>
      <c r="V83" s="14">
        <v>0</v>
      </c>
      <c r="W83" s="14">
        <v>0</v>
      </c>
      <c r="X83" s="14">
        <v>0</v>
      </c>
      <c r="Y83" s="22">
        <v>0</v>
      </c>
      <c r="Z83" s="22">
        <v>0</v>
      </c>
      <c r="AA83" s="22">
        <v>0</v>
      </c>
      <c r="AB83" s="22">
        <v>0</v>
      </c>
      <c r="AC83" s="22">
        <v>0</v>
      </c>
      <c r="AD83" s="22">
        <v>0</v>
      </c>
      <c r="GR83" s="6"/>
      <c r="GS83" s="6"/>
      <c r="GT83" s="6"/>
      <c r="GU83" s="6"/>
      <c r="GV83" s="6"/>
      <c r="GW83" s="6"/>
      <c r="GX83" s="6"/>
      <c r="GY83" s="6"/>
      <c r="GZ83" s="6"/>
      <c r="HA83" s="6"/>
      <c r="HB83" s="6"/>
      <c r="HC83" s="6"/>
      <c r="HD83" s="6"/>
      <c r="HE83" s="6"/>
      <c r="HF83" s="6"/>
      <c r="HG83" s="6"/>
      <c r="HH83" s="6"/>
      <c r="HI83" s="6"/>
      <c r="HJ83" s="6"/>
      <c r="HK83" s="6"/>
      <c r="HL83" s="6"/>
      <c r="HM83" s="6"/>
      <c r="HN83" s="6"/>
      <c r="HO83" s="6"/>
      <c r="HP83" s="6"/>
    </row>
    <row r="84" spans="3:224" ht="20.100000000000001" customHeight="1">
      <c r="C84" s="11">
        <v>14040012</v>
      </c>
      <c r="D84" s="11" t="s">
        <v>127</v>
      </c>
      <c r="E84" s="14">
        <v>1140003</v>
      </c>
      <c r="F84" s="14">
        <v>11043</v>
      </c>
      <c r="G84" s="14">
        <v>1</v>
      </c>
      <c r="H84" s="14">
        <v>20</v>
      </c>
      <c r="I84" s="22">
        <v>0.2</v>
      </c>
      <c r="J84" s="23">
        <v>10</v>
      </c>
      <c r="K84" s="14">
        <v>0</v>
      </c>
      <c r="L84" s="14">
        <v>0</v>
      </c>
      <c r="M84" s="14">
        <f t="shared" si="2"/>
        <v>11</v>
      </c>
      <c r="N84" s="14">
        <v>21</v>
      </c>
      <c r="O84" s="14">
        <v>0</v>
      </c>
      <c r="P84" s="14">
        <v>0</v>
      </c>
      <c r="Q84" s="14">
        <f t="shared" si="3"/>
        <v>0</v>
      </c>
      <c r="R84" s="14">
        <v>0</v>
      </c>
      <c r="S84" s="14">
        <f t="shared" si="4"/>
        <v>19</v>
      </c>
      <c r="T84" s="14">
        <v>38</v>
      </c>
      <c r="U84" s="22">
        <v>0</v>
      </c>
      <c r="V84" s="14">
        <v>0</v>
      </c>
      <c r="W84" s="14">
        <v>0</v>
      </c>
      <c r="X84" s="14">
        <v>0</v>
      </c>
      <c r="Y84" s="22">
        <v>0</v>
      </c>
      <c r="Z84" s="22">
        <v>0</v>
      </c>
      <c r="AA84" s="22">
        <v>0</v>
      </c>
      <c r="AB84" s="22">
        <v>0</v>
      </c>
      <c r="AC84" s="22">
        <v>0</v>
      </c>
      <c r="AD84" s="22">
        <v>0</v>
      </c>
      <c r="GR84" s="6"/>
      <c r="GS84" s="6"/>
      <c r="GT84" s="6"/>
      <c r="GU84" s="6"/>
      <c r="GV84" s="6"/>
      <c r="GW84" s="6"/>
      <c r="GX84" s="6"/>
      <c r="GY84" s="6"/>
      <c r="GZ84" s="6"/>
      <c r="HA84" s="6"/>
      <c r="HB84" s="6"/>
      <c r="HC84" s="6"/>
      <c r="HD84" s="6"/>
      <c r="HE84" s="6"/>
      <c r="HF84" s="6"/>
      <c r="HG84" s="6"/>
      <c r="HH84" s="6"/>
      <c r="HI84" s="6"/>
      <c r="HJ84" s="6"/>
      <c r="HK84" s="6"/>
      <c r="HL84" s="6"/>
      <c r="HM84" s="6"/>
      <c r="HN84" s="6"/>
      <c r="HO84" s="6"/>
      <c r="HP84" s="6"/>
    </row>
    <row r="85" spans="3:224" s="5" customFormat="1" ht="20.100000000000001" customHeight="1">
      <c r="C85" s="35">
        <v>14050001</v>
      </c>
      <c r="D85" s="35" t="s">
        <v>128</v>
      </c>
      <c r="E85" s="36">
        <v>1140003</v>
      </c>
      <c r="F85" s="36">
        <v>0</v>
      </c>
      <c r="G85" s="36">
        <v>1</v>
      </c>
      <c r="H85" s="36">
        <v>20</v>
      </c>
      <c r="I85" s="39">
        <v>0.2</v>
      </c>
      <c r="J85" s="40">
        <v>5</v>
      </c>
      <c r="K85" s="36">
        <v>0</v>
      </c>
      <c r="L85" s="36">
        <v>550</v>
      </c>
      <c r="M85" s="36">
        <f t="shared" si="2"/>
        <v>8</v>
      </c>
      <c r="N85" s="36">
        <v>15</v>
      </c>
      <c r="O85" s="36">
        <v>0</v>
      </c>
      <c r="P85" s="36">
        <v>0</v>
      </c>
      <c r="Q85" s="36">
        <f t="shared" si="3"/>
        <v>3</v>
      </c>
      <c r="R85" s="36">
        <v>5</v>
      </c>
      <c r="S85" s="36">
        <f t="shared" si="4"/>
        <v>3</v>
      </c>
      <c r="T85" s="36">
        <v>5</v>
      </c>
      <c r="U85" s="39">
        <v>0</v>
      </c>
      <c r="V85" s="36">
        <v>0</v>
      </c>
      <c r="W85" s="36">
        <v>0</v>
      </c>
      <c r="X85" s="36">
        <v>0</v>
      </c>
      <c r="Y85" s="39">
        <v>0</v>
      </c>
      <c r="Z85" s="39">
        <v>0</v>
      </c>
      <c r="AA85" s="39">
        <v>0</v>
      </c>
      <c r="AB85" s="39">
        <v>0</v>
      </c>
      <c r="AC85" s="39">
        <v>0</v>
      </c>
      <c r="AD85" s="39">
        <v>0</v>
      </c>
      <c r="AE85" s="41"/>
      <c r="AF85" s="41"/>
      <c r="AG85" s="41"/>
      <c r="AH85" s="41"/>
      <c r="AI85" s="41"/>
      <c r="AJ85" s="41"/>
      <c r="AK85" s="41"/>
      <c r="AL85" s="41"/>
      <c r="AM85" s="41"/>
      <c r="AN85" s="41"/>
      <c r="AO85" s="41"/>
      <c r="AP85" s="41"/>
      <c r="AQ85" s="41"/>
      <c r="AR85" s="41"/>
      <c r="AS85" s="41"/>
      <c r="AT85" s="41"/>
      <c r="AU85" s="41"/>
      <c r="AV85" s="41"/>
      <c r="AW85" s="41"/>
      <c r="AX85" s="41"/>
      <c r="AY85" s="41"/>
      <c r="AZ85" s="41"/>
      <c r="BA85" s="41"/>
      <c r="BB85" s="41"/>
      <c r="BC85" s="41"/>
      <c r="BD85" s="41"/>
      <c r="BE85" s="41"/>
      <c r="BF85" s="41"/>
      <c r="BG85" s="41"/>
      <c r="BH85" s="41"/>
      <c r="BI85" s="41"/>
      <c r="BJ85" s="41"/>
      <c r="BK85" s="41"/>
      <c r="BL85" s="41"/>
      <c r="BM85" s="41"/>
      <c r="BN85" s="41"/>
      <c r="BO85" s="41"/>
      <c r="BP85" s="41"/>
      <c r="BQ85" s="41"/>
      <c r="BR85" s="41"/>
      <c r="BS85" s="41"/>
      <c r="BT85" s="41"/>
      <c r="BU85" s="41"/>
      <c r="BV85" s="41"/>
      <c r="BW85" s="41"/>
      <c r="BX85" s="41"/>
      <c r="BY85" s="41"/>
      <c r="BZ85" s="41"/>
      <c r="CA85" s="41"/>
      <c r="CB85" s="41"/>
      <c r="CC85" s="41"/>
      <c r="CD85" s="41"/>
      <c r="CE85" s="41"/>
      <c r="CF85" s="41"/>
      <c r="CG85" s="41"/>
      <c r="CH85" s="41"/>
      <c r="CI85" s="41"/>
      <c r="CJ85" s="41"/>
      <c r="CK85" s="41"/>
      <c r="CL85" s="41"/>
      <c r="CM85" s="41"/>
      <c r="CN85" s="41"/>
      <c r="CO85" s="41"/>
      <c r="CP85" s="41"/>
      <c r="CQ85" s="41"/>
      <c r="CR85" s="41"/>
      <c r="CS85" s="41"/>
      <c r="CT85" s="41"/>
      <c r="CU85" s="41"/>
      <c r="CV85" s="41"/>
      <c r="CW85" s="41"/>
      <c r="CX85" s="41"/>
      <c r="CY85" s="41"/>
      <c r="CZ85" s="41"/>
      <c r="DA85" s="41"/>
      <c r="DB85" s="41"/>
      <c r="DC85" s="41"/>
      <c r="DD85" s="41"/>
      <c r="DE85" s="41"/>
      <c r="DF85" s="41"/>
      <c r="DG85" s="41"/>
      <c r="DH85" s="41"/>
      <c r="DI85" s="41"/>
      <c r="DJ85" s="41"/>
      <c r="DK85" s="41"/>
      <c r="DL85" s="41"/>
      <c r="DM85" s="41"/>
      <c r="DN85" s="41"/>
      <c r="DO85" s="41"/>
      <c r="DP85" s="41"/>
      <c r="DQ85" s="41"/>
      <c r="DR85" s="41"/>
      <c r="DS85" s="41"/>
      <c r="DT85" s="41"/>
      <c r="DU85" s="41"/>
      <c r="DV85" s="41"/>
      <c r="DW85" s="41"/>
      <c r="DX85" s="41"/>
      <c r="DY85" s="41"/>
      <c r="DZ85" s="41"/>
      <c r="EA85" s="41"/>
      <c r="EB85" s="41"/>
      <c r="EC85" s="41"/>
      <c r="ED85" s="41"/>
      <c r="EE85" s="41"/>
      <c r="EF85" s="41"/>
      <c r="EG85" s="41"/>
      <c r="EH85" s="41"/>
      <c r="EI85" s="41"/>
      <c r="EJ85" s="41"/>
      <c r="EK85" s="41"/>
      <c r="EL85" s="41"/>
      <c r="EM85" s="41"/>
      <c r="EN85" s="41"/>
      <c r="EO85" s="41"/>
      <c r="EP85" s="41"/>
      <c r="EQ85" s="41"/>
      <c r="ER85" s="41"/>
      <c r="ES85" s="41"/>
      <c r="ET85" s="41"/>
      <c r="EU85" s="41"/>
      <c r="EV85" s="41"/>
      <c r="EW85" s="41"/>
      <c r="EX85" s="41"/>
      <c r="EY85" s="41"/>
      <c r="EZ85" s="41"/>
      <c r="FA85" s="41"/>
      <c r="FB85" s="41"/>
      <c r="FC85" s="41"/>
      <c r="FD85" s="41"/>
      <c r="FE85" s="41"/>
      <c r="FF85" s="41"/>
      <c r="FG85" s="41"/>
      <c r="FH85" s="41"/>
      <c r="FI85" s="41"/>
      <c r="FJ85" s="41"/>
      <c r="FK85" s="41"/>
      <c r="FL85" s="41"/>
      <c r="FM85" s="41"/>
      <c r="FN85" s="41"/>
      <c r="FO85" s="41"/>
      <c r="FP85" s="41"/>
      <c r="FQ85" s="41"/>
      <c r="FR85" s="41"/>
      <c r="FS85" s="41"/>
      <c r="FT85" s="41"/>
      <c r="FU85" s="41"/>
      <c r="FV85" s="41"/>
      <c r="FW85" s="41"/>
      <c r="FX85" s="41"/>
      <c r="FY85" s="41"/>
      <c r="FZ85" s="41"/>
      <c r="GA85" s="41"/>
      <c r="GB85" s="41"/>
      <c r="GC85" s="41"/>
      <c r="GD85" s="41"/>
      <c r="GE85" s="41"/>
      <c r="GF85" s="41"/>
      <c r="GG85" s="41"/>
      <c r="GH85" s="41"/>
      <c r="GI85" s="41"/>
      <c r="GJ85" s="41"/>
      <c r="GK85" s="41"/>
      <c r="GL85" s="41"/>
      <c r="GM85" s="41"/>
      <c r="GN85" s="41"/>
      <c r="GO85" s="41"/>
      <c r="GP85" s="41"/>
      <c r="GQ85" s="41"/>
      <c r="GR85" s="41"/>
      <c r="GS85" s="41"/>
      <c r="GT85" s="41"/>
      <c r="GU85" s="41"/>
      <c r="GV85" s="41"/>
      <c r="GW85" s="41"/>
      <c r="GX85" s="41"/>
      <c r="GY85" s="41"/>
      <c r="GZ85" s="41"/>
      <c r="HA85" s="41"/>
      <c r="HB85" s="41"/>
      <c r="HC85" s="41"/>
      <c r="HD85" s="41"/>
      <c r="HE85" s="41"/>
      <c r="HF85" s="41"/>
      <c r="HG85" s="41"/>
      <c r="HH85" s="41"/>
      <c r="HI85" s="41"/>
      <c r="HJ85" s="41"/>
      <c r="HK85" s="41"/>
      <c r="HL85" s="41"/>
      <c r="HM85" s="41"/>
      <c r="HN85" s="41"/>
      <c r="HO85" s="41"/>
      <c r="HP85" s="41"/>
    </row>
    <row r="86" spans="3:224" s="5" customFormat="1" ht="20.100000000000001" customHeight="1">
      <c r="C86" s="35">
        <v>14050002</v>
      </c>
      <c r="D86" s="35" t="s">
        <v>129</v>
      </c>
      <c r="E86" s="36">
        <v>1140003</v>
      </c>
      <c r="F86" s="36">
        <v>0</v>
      </c>
      <c r="G86" s="36">
        <v>1</v>
      </c>
      <c r="H86" s="36">
        <v>20</v>
      </c>
      <c r="I86" s="39">
        <v>0.2</v>
      </c>
      <c r="J86" s="40">
        <v>5</v>
      </c>
      <c r="K86" s="36">
        <v>0</v>
      </c>
      <c r="L86" s="36">
        <v>920</v>
      </c>
      <c r="M86" s="36">
        <f t="shared" si="2"/>
        <v>14</v>
      </c>
      <c r="N86" s="36">
        <v>28</v>
      </c>
      <c r="O86" s="36">
        <v>0</v>
      </c>
      <c r="P86" s="36">
        <v>0</v>
      </c>
      <c r="Q86" s="36">
        <f t="shared" si="3"/>
        <v>4</v>
      </c>
      <c r="R86" s="36">
        <v>8</v>
      </c>
      <c r="S86" s="36">
        <f t="shared" si="4"/>
        <v>4</v>
      </c>
      <c r="T86" s="36">
        <v>8</v>
      </c>
      <c r="U86" s="39">
        <v>0</v>
      </c>
      <c r="V86" s="36">
        <v>0</v>
      </c>
      <c r="W86" s="36">
        <v>0</v>
      </c>
      <c r="X86" s="36">
        <v>0</v>
      </c>
      <c r="Y86" s="39">
        <v>0</v>
      </c>
      <c r="Z86" s="39">
        <v>0</v>
      </c>
      <c r="AA86" s="39">
        <v>0</v>
      </c>
      <c r="AB86" s="39">
        <v>0</v>
      </c>
      <c r="AC86" s="39">
        <v>0</v>
      </c>
      <c r="AD86" s="39">
        <v>0</v>
      </c>
      <c r="AE86" s="41"/>
      <c r="AF86" s="41"/>
      <c r="AG86" s="41"/>
      <c r="AH86" s="41"/>
      <c r="AI86" s="41"/>
      <c r="AJ86" s="41"/>
      <c r="AK86" s="41"/>
      <c r="AL86" s="41"/>
      <c r="AM86" s="41"/>
      <c r="AN86" s="41"/>
      <c r="AO86" s="41"/>
      <c r="AP86" s="41"/>
      <c r="AQ86" s="41"/>
      <c r="AR86" s="41"/>
      <c r="AS86" s="41"/>
      <c r="AT86" s="41"/>
      <c r="AU86" s="41"/>
      <c r="AV86" s="41"/>
      <c r="AW86" s="41"/>
      <c r="AX86" s="41"/>
      <c r="AY86" s="41"/>
      <c r="AZ86" s="41"/>
      <c r="BA86" s="41"/>
      <c r="BB86" s="41"/>
      <c r="BC86" s="41"/>
      <c r="BD86" s="41"/>
      <c r="BE86" s="41"/>
      <c r="BF86" s="41"/>
      <c r="BG86" s="41"/>
      <c r="BH86" s="41"/>
      <c r="BI86" s="41"/>
      <c r="BJ86" s="41"/>
      <c r="BK86" s="41"/>
      <c r="BL86" s="41"/>
      <c r="BM86" s="41"/>
      <c r="BN86" s="41"/>
      <c r="BO86" s="41"/>
      <c r="BP86" s="41"/>
      <c r="BQ86" s="41"/>
      <c r="BR86" s="41"/>
      <c r="BS86" s="41"/>
      <c r="BT86" s="41"/>
      <c r="BU86" s="41"/>
      <c r="BV86" s="41"/>
      <c r="BW86" s="41"/>
      <c r="BX86" s="41"/>
      <c r="BY86" s="41"/>
      <c r="BZ86" s="41"/>
      <c r="CA86" s="41"/>
      <c r="CB86" s="41"/>
      <c r="CC86" s="41"/>
      <c r="CD86" s="41"/>
      <c r="CE86" s="41"/>
      <c r="CF86" s="41"/>
      <c r="CG86" s="41"/>
      <c r="CH86" s="41"/>
      <c r="CI86" s="41"/>
      <c r="CJ86" s="41"/>
      <c r="CK86" s="41"/>
      <c r="CL86" s="41"/>
      <c r="CM86" s="41"/>
      <c r="CN86" s="41"/>
      <c r="CO86" s="41"/>
      <c r="CP86" s="41"/>
      <c r="CQ86" s="41"/>
      <c r="CR86" s="41"/>
      <c r="CS86" s="41"/>
      <c r="CT86" s="41"/>
      <c r="CU86" s="41"/>
      <c r="CV86" s="41"/>
      <c r="CW86" s="41"/>
      <c r="CX86" s="41"/>
      <c r="CY86" s="41"/>
      <c r="CZ86" s="41"/>
      <c r="DA86" s="41"/>
      <c r="DB86" s="41"/>
      <c r="DC86" s="41"/>
      <c r="DD86" s="41"/>
      <c r="DE86" s="41"/>
      <c r="DF86" s="41"/>
      <c r="DG86" s="41"/>
      <c r="DH86" s="41"/>
      <c r="DI86" s="41"/>
      <c r="DJ86" s="41"/>
      <c r="DK86" s="41"/>
      <c r="DL86" s="41"/>
      <c r="DM86" s="41"/>
      <c r="DN86" s="41"/>
      <c r="DO86" s="41"/>
      <c r="DP86" s="41"/>
      <c r="DQ86" s="41"/>
      <c r="DR86" s="41"/>
      <c r="DS86" s="41"/>
      <c r="DT86" s="41"/>
      <c r="DU86" s="41"/>
      <c r="DV86" s="41"/>
      <c r="DW86" s="41"/>
      <c r="DX86" s="41"/>
      <c r="DY86" s="41"/>
      <c r="DZ86" s="41"/>
      <c r="EA86" s="41"/>
      <c r="EB86" s="41"/>
      <c r="EC86" s="41"/>
      <c r="ED86" s="41"/>
      <c r="EE86" s="41"/>
      <c r="EF86" s="41"/>
      <c r="EG86" s="41"/>
      <c r="EH86" s="41"/>
      <c r="EI86" s="41"/>
      <c r="EJ86" s="41"/>
      <c r="EK86" s="41"/>
      <c r="EL86" s="41"/>
      <c r="EM86" s="41"/>
      <c r="EN86" s="41"/>
      <c r="EO86" s="41"/>
      <c r="EP86" s="41"/>
      <c r="EQ86" s="41"/>
      <c r="ER86" s="41"/>
      <c r="ES86" s="41"/>
      <c r="ET86" s="41"/>
      <c r="EU86" s="41"/>
      <c r="EV86" s="41"/>
      <c r="EW86" s="41"/>
      <c r="EX86" s="41"/>
      <c r="EY86" s="41"/>
      <c r="EZ86" s="41"/>
      <c r="FA86" s="41"/>
      <c r="FB86" s="41"/>
      <c r="FC86" s="41"/>
      <c r="FD86" s="41"/>
      <c r="FE86" s="41"/>
      <c r="FF86" s="41"/>
      <c r="FG86" s="41"/>
      <c r="FH86" s="41"/>
      <c r="FI86" s="41"/>
      <c r="FJ86" s="41"/>
      <c r="FK86" s="41"/>
      <c r="FL86" s="41"/>
      <c r="FM86" s="41"/>
      <c r="FN86" s="41"/>
      <c r="FO86" s="41"/>
      <c r="FP86" s="41"/>
      <c r="FQ86" s="41"/>
      <c r="FR86" s="41"/>
      <c r="FS86" s="41"/>
      <c r="FT86" s="41"/>
      <c r="FU86" s="41"/>
      <c r="FV86" s="41"/>
      <c r="FW86" s="41"/>
      <c r="FX86" s="41"/>
      <c r="FY86" s="41"/>
      <c r="FZ86" s="41"/>
      <c r="GA86" s="41"/>
      <c r="GB86" s="41"/>
      <c r="GC86" s="41"/>
      <c r="GD86" s="41"/>
      <c r="GE86" s="41"/>
      <c r="GF86" s="41"/>
      <c r="GG86" s="41"/>
      <c r="GH86" s="41"/>
      <c r="GI86" s="41"/>
      <c r="GJ86" s="41"/>
      <c r="GK86" s="41"/>
      <c r="GL86" s="41"/>
      <c r="GM86" s="41"/>
      <c r="GN86" s="41"/>
      <c r="GO86" s="41"/>
      <c r="GP86" s="41"/>
      <c r="GQ86" s="41"/>
      <c r="GR86" s="41"/>
      <c r="GS86" s="41"/>
      <c r="GT86" s="41"/>
      <c r="GU86" s="41"/>
      <c r="GV86" s="41"/>
      <c r="GW86" s="41"/>
      <c r="GX86" s="41"/>
      <c r="GY86" s="41"/>
      <c r="GZ86" s="41"/>
      <c r="HA86" s="41"/>
      <c r="HB86" s="41"/>
      <c r="HC86" s="41"/>
      <c r="HD86" s="41"/>
      <c r="HE86" s="41"/>
      <c r="HF86" s="41"/>
      <c r="HG86" s="41"/>
      <c r="HH86" s="41"/>
      <c r="HI86" s="41"/>
      <c r="HJ86" s="41"/>
      <c r="HK86" s="41"/>
      <c r="HL86" s="41"/>
      <c r="HM86" s="41"/>
      <c r="HN86" s="41"/>
      <c r="HO86" s="41"/>
      <c r="HP86" s="41"/>
    </row>
    <row r="87" spans="3:224" s="5" customFormat="1" ht="20.100000000000001" customHeight="1">
      <c r="C87" s="35">
        <v>14050003</v>
      </c>
      <c r="D87" s="35" t="s">
        <v>130</v>
      </c>
      <c r="E87" s="36">
        <v>1140003</v>
      </c>
      <c r="F87" s="36">
        <v>11012</v>
      </c>
      <c r="G87" s="36">
        <v>1</v>
      </c>
      <c r="H87" s="36">
        <v>20</v>
      </c>
      <c r="I87" s="39">
        <v>0.2</v>
      </c>
      <c r="J87" s="40">
        <v>5</v>
      </c>
      <c r="K87" s="36">
        <v>0</v>
      </c>
      <c r="L87" s="36">
        <v>1050</v>
      </c>
      <c r="M87" s="36">
        <f t="shared" si="2"/>
        <v>16</v>
      </c>
      <c r="N87" s="36">
        <v>32</v>
      </c>
      <c r="O87" s="36">
        <v>0</v>
      </c>
      <c r="P87" s="36">
        <v>0</v>
      </c>
      <c r="Q87" s="36">
        <f t="shared" si="3"/>
        <v>5</v>
      </c>
      <c r="R87" s="36">
        <v>10</v>
      </c>
      <c r="S87" s="36">
        <f t="shared" si="4"/>
        <v>5</v>
      </c>
      <c r="T87" s="36">
        <v>10</v>
      </c>
      <c r="U87" s="39">
        <v>0</v>
      </c>
      <c r="V87" s="36">
        <v>0</v>
      </c>
      <c r="W87" s="36">
        <v>0</v>
      </c>
      <c r="X87" s="36">
        <v>0</v>
      </c>
      <c r="Y87" s="39">
        <v>0</v>
      </c>
      <c r="Z87" s="39">
        <v>0</v>
      </c>
      <c r="AA87" s="39">
        <v>0</v>
      </c>
      <c r="AB87" s="39">
        <v>0</v>
      </c>
      <c r="AC87" s="39">
        <v>0</v>
      </c>
      <c r="AD87" s="39">
        <v>0</v>
      </c>
      <c r="AE87" s="41"/>
      <c r="AF87" s="41"/>
      <c r="AG87" s="41"/>
      <c r="AH87" s="41"/>
      <c r="AI87" s="41"/>
      <c r="AJ87" s="41"/>
      <c r="AK87" s="41"/>
      <c r="AL87" s="41"/>
      <c r="AM87" s="41"/>
      <c r="AN87" s="41"/>
      <c r="AO87" s="41"/>
      <c r="AP87" s="41"/>
      <c r="AQ87" s="41"/>
      <c r="AR87" s="41"/>
      <c r="AS87" s="41"/>
      <c r="AT87" s="41"/>
      <c r="AU87" s="41"/>
      <c r="AV87" s="41"/>
      <c r="AW87" s="41"/>
      <c r="AX87" s="41"/>
      <c r="AY87" s="41"/>
      <c r="AZ87" s="41"/>
      <c r="BA87" s="41"/>
      <c r="BB87" s="41"/>
      <c r="BC87" s="41"/>
      <c r="BD87" s="41"/>
      <c r="BE87" s="41"/>
      <c r="BF87" s="41"/>
      <c r="BG87" s="41"/>
      <c r="BH87" s="41"/>
      <c r="BI87" s="41"/>
      <c r="BJ87" s="41"/>
      <c r="BK87" s="41"/>
      <c r="BL87" s="41"/>
      <c r="BM87" s="41"/>
      <c r="BN87" s="41"/>
      <c r="BO87" s="41"/>
      <c r="BP87" s="41"/>
      <c r="BQ87" s="41"/>
      <c r="BR87" s="41"/>
      <c r="BS87" s="41"/>
      <c r="BT87" s="41"/>
      <c r="BU87" s="41"/>
      <c r="BV87" s="41"/>
      <c r="BW87" s="41"/>
      <c r="BX87" s="41"/>
      <c r="BY87" s="41"/>
      <c r="BZ87" s="41"/>
      <c r="CA87" s="41"/>
      <c r="CB87" s="41"/>
      <c r="CC87" s="41"/>
      <c r="CD87" s="41"/>
      <c r="CE87" s="41"/>
      <c r="CF87" s="41"/>
      <c r="CG87" s="41"/>
      <c r="CH87" s="41"/>
      <c r="CI87" s="41"/>
      <c r="CJ87" s="41"/>
      <c r="CK87" s="41"/>
      <c r="CL87" s="41"/>
      <c r="CM87" s="41"/>
      <c r="CN87" s="41"/>
      <c r="CO87" s="41"/>
      <c r="CP87" s="41"/>
      <c r="CQ87" s="41"/>
      <c r="CR87" s="41"/>
      <c r="CS87" s="41"/>
      <c r="CT87" s="41"/>
      <c r="CU87" s="41"/>
      <c r="CV87" s="41"/>
      <c r="CW87" s="41"/>
      <c r="CX87" s="41"/>
      <c r="CY87" s="41"/>
      <c r="CZ87" s="41"/>
      <c r="DA87" s="41"/>
      <c r="DB87" s="41"/>
      <c r="DC87" s="41"/>
      <c r="DD87" s="41"/>
      <c r="DE87" s="41"/>
      <c r="DF87" s="41"/>
      <c r="DG87" s="41"/>
      <c r="DH87" s="41"/>
      <c r="DI87" s="41"/>
      <c r="DJ87" s="41"/>
      <c r="DK87" s="41"/>
      <c r="DL87" s="41"/>
      <c r="DM87" s="41"/>
      <c r="DN87" s="41"/>
      <c r="DO87" s="41"/>
      <c r="DP87" s="41"/>
      <c r="DQ87" s="41"/>
      <c r="DR87" s="41"/>
      <c r="DS87" s="41"/>
      <c r="DT87" s="41"/>
      <c r="DU87" s="41"/>
      <c r="DV87" s="41"/>
      <c r="DW87" s="41"/>
      <c r="DX87" s="41"/>
      <c r="DY87" s="41"/>
      <c r="DZ87" s="41"/>
      <c r="EA87" s="41"/>
      <c r="EB87" s="41"/>
      <c r="EC87" s="41"/>
      <c r="ED87" s="41"/>
      <c r="EE87" s="41"/>
      <c r="EF87" s="41"/>
      <c r="EG87" s="41"/>
      <c r="EH87" s="41"/>
      <c r="EI87" s="41"/>
      <c r="EJ87" s="41"/>
      <c r="EK87" s="41"/>
      <c r="EL87" s="41"/>
      <c r="EM87" s="41"/>
      <c r="EN87" s="41"/>
      <c r="EO87" s="41"/>
      <c r="EP87" s="41"/>
      <c r="EQ87" s="41"/>
      <c r="ER87" s="41"/>
      <c r="ES87" s="41"/>
      <c r="ET87" s="41"/>
      <c r="EU87" s="41"/>
      <c r="EV87" s="41"/>
      <c r="EW87" s="41"/>
      <c r="EX87" s="41"/>
      <c r="EY87" s="41"/>
      <c r="EZ87" s="41"/>
      <c r="FA87" s="41"/>
      <c r="FB87" s="41"/>
      <c r="FC87" s="41"/>
      <c r="FD87" s="41"/>
      <c r="FE87" s="41"/>
      <c r="FF87" s="41"/>
      <c r="FG87" s="41"/>
      <c r="FH87" s="41"/>
      <c r="FI87" s="41"/>
      <c r="FJ87" s="41"/>
      <c r="FK87" s="41"/>
      <c r="FL87" s="41"/>
      <c r="FM87" s="41"/>
      <c r="FN87" s="41"/>
      <c r="FO87" s="41"/>
      <c r="FP87" s="41"/>
      <c r="FQ87" s="41"/>
      <c r="FR87" s="41"/>
      <c r="FS87" s="41"/>
      <c r="FT87" s="41"/>
      <c r="FU87" s="41"/>
      <c r="FV87" s="41"/>
      <c r="FW87" s="41"/>
      <c r="FX87" s="41"/>
      <c r="FY87" s="41"/>
      <c r="FZ87" s="41"/>
      <c r="GA87" s="41"/>
      <c r="GB87" s="41"/>
      <c r="GC87" s="41"/>
      <c r="GD87" s="41"/>
      <c r="GE87" s="41"/>
      <c r="GF87" s="41"/>
      <c r="GG87" s="41"/>
      <c r="GH87" s="41"/>
      <c r="GI87" s="41"/>
      <c r="GJ87" s="41"/>
      <c r="GK87" s="41"/>
      <c r="GL87" s="41"/>
      <c r="GM87" s="41"/>
      <c r="GN87" s="41"/>
      <c r="GO87" s="41"/>
      <c r="GP87" s="41"/>
      <c r="GQ87" s="41"/>
      <c r="GR87" s="41"/>
      <c r="GS87" s="41"/>
      <c r="GT87" s="41"/>
      <c r="GU87" s="41"/>
      <c r="GV87" s="41"/>
      <c r="GW87" s="41"/>
      <c r="GX87" s="41"/>
      <c r="GY87" s="41"/>
      <c r="GZ87" s="41"/>
      <c r="HA87" s="41"/>
      <c r="HB87" s="41"/>
      <c r="HC87" s="41"/>
      <c r="HD87" s="41"/>
      <c r="HE87" s="41"/>
      <c r="HF87" s="41"/>
      <c r="HG87" s="41"/>
      <c r="HH87" s="41"/>
      <c r="HI87" s="41"/>
      <c r="HJ87" s="41"/>
      <c r="HK87" s="41"/>
      <c r="HL87" s="41"/>
      <c r="HM87" s="41"/>
      <c r="HN87" s="41"/>
      <c r="HO87" s="41"/>
      <c r="HP87" s="41"/>
    </row>
    <row r="88" spans="3:224" s="5" customFormat="1" ht="20.100000000000001" customHeight="1">
      <c r="C88" s="35">
        <v>14050004</v>
      </c>
      <c r="D88" s="35" t="s">
        <v>131</v>
      </c>
      <c r="E88" s="36">
        <v>1140003</v>
      </c>
      <c r="F88" s="36">
        <v>11041</v>
      </c>
      <c r="G88" s="36">
        <v>1</v>
      </c>
      <c r="H88" s="36">
        <v>20</v>
      </c>
      <c r="I88" s="39">
        <v>0.2</v>
      </c>
      <c r="J88" s="40">
        <v>10</v>
      </c>
      <c r="K88" s="36">
        <v>0</v>
      </c>
      <c r="L88" s="36">
        <v>1315</v>
      </c>
      <c r="M88" s="36">
        <f t="shared" si="2"/>
        <v>19</v>
      </c>
      <c r="N88" s="36">
        <v>38</v>
      </c>
      <c r="O88" s="36">
        <v>0</v>
      </c>
      <c r="P88" s="36">
        <v>0</v>
      </c>
      <c r="Q88" s="36">
        <f t="shared" si="3"/>
        <v>8</v>
      </c>
      <c r="R88" s="36">
        <v>15</v>
      </c>
      <c r="S88" s="36">
        <f t="shared" si="4"/>
        <v>8</v>
      </c>
      <c r="T88" s="36">
        <v>15</v>
      </c>
      <c r="U88" s="39">
        <v>0</v>
      </c>
      <c r="V88" s="36">
        <v>0</v>
      </c>
      <c r="W88" s="36">
        <v>0</v>
      </c>
      <c r="X88" s="36">
        <v>0</v>
      </c>
      <c r="Y88" s="39">
        <v>0</v>
      </c>
      <c r="Z88" s="39">
        <v>0</v>
      </c>
      <c r="AA88" s="39">
        <v>0</v>
      </c>
      <c r="AB88" s="39">
        <v>0</v>
      </c>
      <c r="AC88" s="39">
        <v>0</v>
      </c>
      <c r="AD88" s="39">
        <v>0</v>
      </c>
      <c r="AE88" s="41"/>
      <c r="AF88" s="41"/>
      <c r="AG88" s="41"/>
      <c r="AH88" s="41"/>
      <c r="AI88" s="41"/>
      <c r="AJ88" s="41"/>
      <c r="AK88" s="41"/>
      <c r="AL88" s="41"/>
      <c r="AM88" s="41"/>
      <c r="AN88" s="41"/>
      <c r="AO88" s="41"/>
      <c r="AP88" s="41"/>
      <c r="AQ88" s="41"/>
      <c r="AR88" s="41"/>
      <c r="AS88" s="41"/>
      <c r="AT88" s="41"/>
      <c r="AU88" s="41"/>
      <c r="AV88" s="41"/>
      <c r="AW88" s="41"/>
      <c r="AX88" s="41"/>
      <c r="AY88" s="41"/>
      <c r="AZ88" s="41"/>
      <c r="BA88" s="41"/>
      <c r="BB88" s="41"/>
      <c r="BC88" s="41"/>
      <c r="BD88" s="41"/>
      <c r="BE88" s="41"/>
      <c r="BF88" s="41"/>
      <c r="BG88" s="41"/>
      <c r="BH88" s="41"/>
      <c r="BI88" s="41"/>
      <c r="BJ88" s="41"/>
      <c r="BK88" s="41"/>
      <c r="BL88" s="41"/>
      <c r="BM88" s="41"/>
      <c r="BN88" s="41"/>
      <c r="BO88" s="41"/>
      <c r="BP88" s="41"/>
      <c r="BQ88" s="41"/>
      <c r="BR88" s="41"/>
      <c r="BS88" s="41"/>
      <c r="BT88" s="41"/>
      <c r="BU88" s="41"/>
      <c r="BV88" s="41"/>
      <c r="BW88" s="41"/>
      <c r="BX88" s="41"/>
      <c r="BY88" s="41"/>
      <c r="BZ88" s="41"/>
      <c r="CA88" s="41"/>
      <c r="CB88" s="41"/>
      <c r="CC88" s="41"/>
      <c r="CD88" s="41"/>
      <c r="CE88" s="41"/>
      <c r="CF88" s="41"/>
      <c r="CG88" s="41"/>
      <c r="CH88" s="41"/>
      <c r="CI88" s="41"/>
      <c r="CJ88" s="41"/>
      <c r="CK88" s="41"/>
      <c r="CL88" s="41"/>
      <c r="CM88" s="41"/>
      <c r="CN88" s="41"/>
      <c r="CO88" s="41"/>
      <c r="CP88" s="41"/>
      <c r="CQ88" s="41"/>
      <c r="CR88" s="41"/>
      <c r="CS88" s="41"/>
      <c r="CT88" s="41"/>
      <c r="CU88" s="41"/>
      <c r="CV88" s="41"/>
      <c r="CW88" s="41"/>
      <c r="CX88" s="41"/>
      <c r="CY88" s="41"/>
      <c r="CZ88" s="41"/>
      <c r="DA88" s="41"/>
      <c r="DB88" s="41"/>
      <c r="DC88" s="41"/>
      <c r="DD88" s="41"/>
      <c r="DE88" s="41"/>
      <c r="DF88" s="41"/>
      <c r="DG88" s="41"/>
      <c r="DH88" s="41"/>
      <c r="DI88" s="41"/>
      <c r="DJ88" s="41"/>
      <c r="DK88" s="41"/>
      <c r="DL88" s="41"/>
      <c r="DM88" s="41"/>
      <c r="DN88" s="41"/>
      <c r="DO88" s="41"/>
      <c r="DP88" s="41"/>
      <c r="DQ88" s="41"/>
      <c r="DR88" s="41"/>
      <c r="DS88" s="41"/>
      <c r="DT88" s="41"/>
      <c r="DU88" s="41"/>
      <c r="DV88" s="41"/>
      <c r="DW88" s="41"/>
      <c r="DX88" s="41"/>
      <c r="DY88" s="41"/>
      <c r="DZ88" s="41"/>
      <c r="EA88" s="41"/>
      <c r="EB88" s="41"/>
      <c r="EC88" s="41"/>
      <c r="ED88" s="41"/>
      <c r="EE88" s="41"/>
      <c r="EF88" s="41"/>
      <c r="EG88" s="41"/>
      <c r="EH88" s="41"/>
      <c r="EI88" s="41"/>
      <c r="EJ88" s="41"/>
      <c r="EK88" s="41"/>
      <c r="EL88" s="41"/>
      <c r="EM88" s="41"/>
      <c r="EN88" s="41"/>
      <c r="EO88" s="41"/>
      <c r="EP88" s="41"/>
      <c r="EQ88" s="41"/>
      <c r="ER88" s="41"/>
      <c r="ES88" s="41"/>
      <c r="ET88" s="41"/>
      <c r="EU88" s="41"/>
      <c r="EV88" s="41"/>
      <c r="EW88" s="41"/>
      <c r="EX88" s="41"/>
      <c r="EY88" s="41"/>
      <c r="EZ88" s="41"/>
      <c r="FA88" s="41"/>
      <c r="FB88" s="41"/>
      <c r="FC88" s="41"/>
      <c r="FD88" s="41"/>
      <c r="FE88" s="41"/>
      <c r="FF88" s="41"/>
      <c r="FG88" s="41"/>
      <c r="FH88" s="41"/>
      <c r="FI88" s="41"/>
      <c r="FJ88" s="41"/>
      <c r="FK88" s="41"/>
      <c r="FL88" s="41"/>
      <c r="FM88" s="41"/>
      <c r="FN88" s="41"/>
      <c r="FO88" s="41"/>
      <c r="FP88" s="41"/>
      <c r="FQ88" s="41"/>
      <c r="FR88" s="41"/>
      <c r="FS88" s="41"/>
      <c r="FT88" s="41"/>
      <c r="FU88" s="41"/>
      <c r="FV88" s="41"/>
      <c r="FW88" s="41"/>
      <c r="FX88" s="41"/>
      <c r="FY88" s="41"/>
      <c r="FZ88" s="41"/>
      <c r="GA88" s="41"/>
      <c r="GB88" s="41"/>
      <c r="GC88" s="41"/>
      <c r="GD88" s="41"/>
      <c r="GE88" s="41"/>
      <c r="GF88" s="41"/>
      <c r="GG88" s="41"/>
      <c r="GH88" s="41"/>
      <c r="GI88" s="41"/>
      <c r="GJ88" s="41"/>
      <c r="GK88" s="41"/>
      <c r="GL88" s="41"/>
      <c r="GM88" s="41"/>
      <c r="GN88" s="41"/>
      <c r="GO88" s="41"/>
      <c r="GP88" s="41"/>
      <c r="GQ88" s="41"/>
      <c r="GR88" s="41"/>
      <c r="GS88" s="41"/>
      <c r="GT88" s="41"/>
      <c r="GU88" s="41"/>
      <c r="GV88" s="41"/>
      <c r="GW88" s="41"/>
      <c r="GX88" s="41"/>
      <c r="GY88" s="41"/>
      <c r="GZ88" s="41"/>
      <c r="HA88" s="41"/>
      <c r="HB88" s="41"/>
      <c r="HC88" s="41"/>
      <c r="HD88" s="41"/>
      <c r="HE88" s="41"/>
      <c r="HF88" s="41"/>
      <c r="HG88" s="41"/>
      <c r="HH88" s="41"/>
      <c r="HI88" s="41"/>
      <c r="HJ88" s="41"/>
      <c r="HK88" s="41"/>
      <c r="HL88" s="41"/>
      <c r="HM88" s="41"/>
      <c r="HN88" s="41"/>
      <c r="HO88" s="41"/>
      <c r="HP88" s="41"/>
    </row>
    <row r="89" spans="3:224" s="5" customFormat="1" ht="20.100000000000001" customHeight="1">
      <c r="C89" s="35">
        <v>14050005</v>
      </c>
      <c r="D89" s="35" t="s">
        <v>132</v>
      </c>
      <c r="E89" s="36">
        <v>1140003</v>
      </c>
      <c r="F89" s="36">
        <v>0</v>
      </c>
      <c r="G89" s="36">
        <v>1</v>
      </c>
      <c r="H89" s="36">
        <v>20</v>
      </c>
      <c r="I89" s="39">
        <v>0.2</v>
      </c>
      <c r="J89" s="40">
        <v>5</v>
      </c>
      <c r="K89" s="36">
        <v>0</v>
      </c>
      <c r="L89" s="36">
        <v>280</v>
      </c>
      <c r="M89" s="36">
        <f t="shared" si="2"/>
        <v>10</v>
      </c>
      <c r="N89" s="36">
        <v>20</v>
      </c>
      <c r="O89" s="36">
        <v>0</v>
      </c>
      <c r="P89" s="36">
        <v>0</v>
      </c>
      <c r="Q89" s="36">
        <f t="shared" si="3"/>
        <v>2</v>
      </c>
      <c r="R89" s="36">
        <v>4</v>
      </c>
      <c r="S89" s="36">
        <f t="shared" si="4"/>
        <v>2</v>
      </c>
      <c r="T89" s="36">
        <v>4</v>
      </c>
      <c r="U89" s="39">
        <v>0</v>
      </c>
      <c r="V89" s="36">
        <v>0</v>
      </c>
      <c r="W89" s="36">
        <v>0</v>
      </c>
      <c r="X89" s="36">
        <v>0</v>
      </c>
      <c r="Y89" s="39">
        <v>0</v>
      </c>
      <c r="Z89" s="39">
        <v>0</v>
      </c>
      <c r="AA89" s="39">
        <v>0</v>
      </c>
      <c r="AB89" s="39">
        <v>0</v>
      </c>
      <c r="AC89" s="39">
        <v>0</v>
      </c>
      <c r="AD89" s="39">
        <v>0</v>
      </c>
      <c r="AE89" s="41"/>
      <c r="AF89" s="41"/>
      <c r="AG89" s="41"/>
      <c r="AH89" s="41"/>
      <c r="AI89" s="41"/>
      <c r="AJ89" s="41"/>
      <c r="AK89" s="41"/>
      <c r="AL89" s="41"/>
      <c r="AM89" s="41"/>
      <c r="AN89" s="41"/>
      <c r="AO89" s="41"/>
      <c r="AP89" s="41"/>
      <c r="AQ89" s="41"/>
      <c r="AR89" s="41"/>
      <c r="AS89" s="41"/>
      <c r="AT89" s="41"/>
      <c r="AU89" s="41"/>
      <c r="AV89" s="41"/>
      <c r="AW89" s="41"/>
      <c r="AX89" s="41"/>
      <c r="AY89" s="41"/>
      <c r="AZ89" s="41"/>
      <c r="BA89" s="41"/>
      <c r="BB89" s="41"/>
      <c r="BC89" s="41"/>
      <c r="BD89" s="41"/>
      <c r="BE89" s="41"/>
      <c r="BF89" s="41"/>
      <c r="BG89" s="41"/>
      <c r="BH89" s="41"/>
      <c r="BI89" s="41"/>
      <c r="BJ89" s="41"/>
      <c r="BK89" s="41"/>
      <c r="BL89" s="41"/>
      <c r="BM89" s="41"/>
      <c r="BN89" s="41"/>
      <c r="BO89" s="41"/>
      <c r="BP89" s="41"/>
      <c r="BQ89" s="41"/>
      <c r="BR89" s="41"/>
      <c r="BS89" s="41"/>
      <c r="BT89" s="41"/>
      <c r="BU89" s="41"/>
      <c r="BV89" s="41"/>
      <c r="BW89" s="41"/>
      <c r="BX89" s="41"/>
      <c r="BY89" s="41"/>
      <c r="BZ89" s="41"/>
      <c r="CA89" s="41"/>
      <c r="CB89" s="41"/>
      <c r="CC89" s="41"/>
      <c r="CD89" s="41"/>
      <c r="CE89" s="41"/>
      <c r="CF89" s="41"/>
      <c r="CG89" s="41"/>
      <c r="CH89" s="41"/>
      <c r="CI89" s="41"/>
      <c r="CJ89" s="41"/>
      <c r="CK89" s="41"/>
      <c r="CL89" s="41"/>
      <c r="CM89" s="41"/>
      <c r="CN89" s="41"/>
      <c r="CO89" s="41"/>
      <c r="CP89" s="41"/>
      <c r="CQ89" s="41"/>
      <c r="CR89" s="41"/>
      <c r="CS89" s="41"/>
      <c r="CT89" s="41"/>
      <c r="CU89" s="41"/>
      <c r="CV89" s="41"/>
      <c r="CW89" s="41"/>
      <c r="CX89" s="41"/>
      <c r="CY89" s="41"/>
      <c r="CZ89" s="41"/>
      <c r="DA89" s="41"/>
      <c r="DB89" s="41"/>
      <c r="DC89" s="41"/>
      <c r="DD89" s="41"/>
      <c r="DE89" s="41"/>
      <c r="DF89" s="41"/>
      <c r="DG89" s="41"/>
      <c r="DH89" s="41"/>
      <c r="DI89" s="41"/>
      <c r="DJ89" s="41"/>
      <c r="DK89" s="41"/>
      <c r="DL89" s="41"/>
      <c r="DM89" s="41"/>
      <c r="DN89" s="41"/>
      <c r="DO89" s="41"/>
      <c r="DP89" s="41"/>
      <c r="DQ89" s="41"/>
      <c r="DR89" s="41"/>
      <c r="DS89" s="41"/>
      <c r="DT89" s="41"/>
      <c r="DU89" s="41"/>
      <c r="DV89" s="41"/>
      <c r="DW89" s="41"/>
      <c r="DX89" s="41"/>
      <c r="DY89" s="41"/>
      <c r="DZ89" s="41"/>
      <c r="EA89" s="41"/>
      <c r="EB89" s="41"/>
      <c r="EC89" s="41"/>
      <c r="ED89" s="41"/>
      <c r="EE89" s="41"/>
      <c r="EF89" s="41"/>
      <c r="EG89" s="41"/>
      <c r="EH89" s="41"/>
      <c r="EI89" s="41"/>
      <c r="EJ89" s="41"/>
      <c r="EK89" s="41"/>
      <c r="EL89" s="41"/>
      <c r="EM89" s="41"/>
      <c r="EN89" s="41"/>
      <c r="EO89" s="41"/>
      <c r="EP89" s="41"/>
      <c r="EQ89" s="41"/>
      <c r="ER89" s="41"/>
      <c r="ES89" s="41"/>
      <c r="ET89" s="41"/>
      <c r="EU89" s="41"/>
      <c r="EV89" s="41"/>
      <c r="EW89" s="41"/>
      <c r="EX89" s="41"/>
      <c r="EY89" s="41"/>
      <c r="EZ89" s="41"/>
      <c r="FA89" s="41"/>
      <c r="FB89" s="41"/>
      <c r="FC89" s="41"/>
      <c r="FD89" s="41"/>
      <c r="FE89" s="41"/>
      <c r="FF89" s="41"/>
      <c r="FG89" s="41"/>
      <c r="FH89" s="41"/>
      <c r="FI89" s="41"/>
      <c r="FJ89" s="41"/>
      <c r="FK89" s="41"/>
      <c r="FL89" s="41"/>
      <c r="FM89" s="41"/>
      <c r="FN89" s="41"/>
      <c r="FO89" s="41"/>
      <c r="FP89" s="41"/>
      <c r="FQ89" s="41"/>
      <c r="FR89" s="41"/>
      <c r="FS89" s="41"/>
      <c r="FT89" s="41"/>
      <c r="FU89" s="41"/>
      <c r="FV89" s="41"/>
      <c r="FW89" s="41"/>
      <c r="FX89" s="41"/>
      <c r="FY89" s="41"/>
      <c r="FZ89" s="41"/>
      <c r="GA89" s="41"/>
      <c r="GB89" s="41"/>
      <c r="GC89" s="41"/>
      <c r="GD89" s="41"/>
      <c r="GE89" s="41"/>
      <c r="GF89" s="41"/>
      <c r="GG89" s="41"/>
      <c r="GH89" s="41"/>
      <c r="GI89" s="41"/>
      <c r="GJ89" s="41"/>
      <c r="GK89" s="41"/>
      <c r="GL89" s="41"/>
      <c r="GM89" s="41"/>
      <c r="GN89" s="41"/>
      <c r="GO89" s="41"/>
      <c r="GP89" s="41"/>
      <c r="GQ89" s="41"/>
      <c r="GR89" s="41"/>
      <c r="GS89" s="41"/>
      <c r="GT89" s="41"/>
      <c r="GU89" s="41"/>
      <c r="GV89" s="41"/>
      <c r="GW89" s="41"/>
      <c r="GX89" s="41"/>
      <c r="GY89" s="41"/>
      <c r="GZ89" s="41"/>
      <c r="HA89" s="41"/>
      <c r="HB89" s="41"/>
      <c r="HC89" s="41"/>
      <c r="HD89" s="41"/>
      <c r="HE89" s="41"/>
      <c r="HF89" s="41"/>
      <c r="HG89" s="41"/>
      <c r="HH89" s="41"/>
      <c r="HI89" s="41"/>
      <c r="HJ89" s="41"/>
      <c r="HK89" s="41"/>
      <c r="HL89" s="41"/>
      <c r="HM89" s="41"/>
      <c r="HN89" s="41"/>
      <c r="HO89" s="41"/>
      <c r="HP89" s="41"/>
    </row>
    <row r="90" spans="3:224" s="5" customFormat="1" ht="20.100000000000001" customHeight="1">
      <c r="C90" s="35">
        <v>14050006</v>
      </c>
      <c r="D90" s="35" t="s">
        <v>133</v>
      </c>
      <c r="E90" s="36">
        <v>1140003</v>
      </c>
      <c r="F90" s="36">
        <v>0</v>
      </c>
      <c r="G90" s="36">
        <v>1</v>
      </c>
      <c r="H90" s="36">
        <v>20</v>
      </c>
      <c r="I90" s="39">
        <v>0.2</v>
      </c>
      <c r="J90" s="40">
        <v>5</v>
      </c>
      <c r="K90" s="36">
        <v>0</v>
      </c>
      <c r="L90" s="36">
        <v>460</v>
      </c>
      <c r="M90" s="36">
        <f t="shared" si="2"/>
        <v>19</v>
      </c>
      <c r="N90" s="36">
        <v>38</v>
      </c>
      <c r="O90" s="36">
        <v>0</v>
      </c>
      <c r="P90" s="36">
        <v>0</v>
      </c>
      <c r="Q90" s="36">
        <f t="shared" si="3"/>
        <v>3</v>
      </c>
      <c r="R90" s="36">
        <v>6</v>
      </c>
      <c r="S90" s="36">
        <f t="shared" si="4"/>
        <v>3</v>
      </c>
      <c r="T90" s="36">
        <v>6</v>
      </c>
      <c r="U90" s="39">
        <v>0</v>
      </c>
      <c r="V90" s="36">
        <v>0</v>
      </c>
      <c r="W90" s="36">
        <v>0</v>
      </c>
      <c r="X90" s="36">
        <v>0</v>
      </c>
      <c r="Y90" s="39">
        <v>0</v>
      </c>
      <c r="Z90" s="39">
        <v>0</v>
      </c>
      <c r="AA90" s="39">
        <v>0</v>
      </c>
      <c r="AB90" s="39">
        <v>0</v>
      </c>
      <c r="AC90" s="39">
        <v>0</v>
      </c>
      <c r="AD90" s="39">
        <v>0</v>
      </c>
      <c r="AE90" s="41"/>
      <c r="AF90" s="41"/>
      <c r="AG90" s="41"/>
      <c r="AH90" s="41"/>
      <c r="AI90" s="41"/>
      <c r="AJ90" s="41"/>
      <c r="AK90" s="41"/>
      <c r="AL90" s="41"/>
      <c r="AM90" s="41"/>
      <c r="AN90" s="41"/>
      <c r="AO90" s="41"/>
      <c r="AP90" s="41"/>
      <c r="AQ90" s="41"/>
      <c r="AR90" s="41"/>
      <c r="AS90" s="41"/>
      <c r="AT90" s="41"/>
      <c r="AU90" s="41"/>
      <c r="AV90" s="41"/>
      <c r="AW90" s="41"/>
      <c r="AX90" s="41"/>
      <c r="AY90" s="41"/>
      <c r="AZ90" s="41"/>
      <c r="BA90" s="41"/>
      <c r="BB90" s="41"/>
      <c r="BC90" s="41"/>
      <c r="BD90" s="41"/>
      <c r="BE90" s="41"/>
      <c r="BF90" s="41"/>
      <c r="BG90" s="41"/>
      <c r="BH90" s="41"/>
      <c r="BI90" s="41"/>
      <c r="BJ90" s="41"/>
      <c r="BK90" s="41"/>
      <c r="BL90" s="41"/>
      <c r="BM90" s="41"/>
      <c r="BN90" s="41"/>
      <c r="BO90" s="41"/>
      <c r="BP90" s="41"/>
      <c r="BQ90" s="41"/>
      <c r="BR90" s="41"/>
      <c r="BS90" s="41"/>
      <c r="BT90" s="41"/>
      <c r="BU90" s="41"/>
      <c r="BV90" s="41"/>
      <c r="BW90" s="41"/>
      <c r="BX90" s="41"/>
      <c r="BY90" s="41"/>
      <c r="BZ90" s="41"/>
      <c r="CA90" s="41"/>
      <c r="CB90" s="41"/>
      <c r="CC90" s="41"/>
      <c r="CD90" s="41"/>
      <c r="CE90" s="41"/>
      <c r="CF90" s="41"/>
      <c r="CG90" s="41"/>
      <c r="CH90" s="41"/>
      <c r="CI90" s="41"/>
      <c r="CJ90" s="41"/>
      <c r="CK90" s="41"/>
      <c r="CL90" s="41"/>
      <c r="CM90" s="41"/>
      <c r="CN90" s="41"/>
      <c r="CO90" s="41"/>
      <c r="CP90" s="41"/>
      <c r="CQ90" s="41"/>
      <c r="CR90" s="41"/>
      <c r="CS90" s="41"/>
      <c r="CT90" s="41"/>
      <c r="CU90" s="41"/>
      <c r="CV90" s="41"/>
      <c r="CW90" s="41"/>
      <c r="CX90" s="41"/>
      <c r="CY90" s="41"/>
      <c r="CZ90" s="41"/>
      <c r="DA90" s="41"/>
      <c r="DB90" s="41"/>
      <c r="DC90" s="41"/>
      <c r="DD90" s="41"/>
      <c r="DE90" s="41"/>
      <c r="DF90" s="41"/>
      <c r="DG90" s="41"/>
      <c r="DH90" s="41"/>
      <c r="DI90" s="41"/>
      <c r="DJ90" s="41"/>
      <c r="DK90" s="41"/>
      <c r="DL90" s="41"/>
      <c r="DM90" s="41"/>
      <c r="DN90" s="41"/>
      <c r="DO90" s="41"/>
      <c r="DP90" s="41"/>
      <c r="DQ90" s="41"/>
      <c r="DR90" s="41"/>
      <c r="DS90" s="41"/>
      <c r="DT90" s="41"/>
      <c r="DU90" s="41"/>
      <c r="DV90" s="41"/>
      <c r="DW90" s="41"/>
      <c r="DX90" s="41"/>
      <c r="DY90" s="41"/>
      <c r="DZ90" s="41"/>
      <c r="EA90" s="41"/>
      <c r="EB90" s="41"/>
      <c r="EC90" s="41"/>
      <c r="ED90" s="41"/>
      <c r="EE90" s="41"/>
      <c r="EF90" s="41"/>
      <c r="EG90" s="41"/>
      <c r="EH90" s="41"/>
      <c r="EI90" s="41"/>
      <c r="EJ90" s="41"/>
      <c r="EK90" s="41"/>
      <c r="EL90" s="41"/>
      <c r="EM90" s="41"/>
      <c r="EN90" s="41"/>
      <c r="EO90" s="41"/>
      <c r="EP90" s="41"/>
      <c r="EQ90" s="41"/>
      <c r="ER90" s="41"/>
      <c r="ES90" s="41"/>
      <c r="ET90" s="41"/>
      <c r="EU90" s="41"/>
      <c r="EV90" s="41"/>
      <c r="EW90" s="41"/>
      <c r="EX90" s="41"/>
      <c r="EY90" s="41"/>
      <c r="EZ90" s="41"/>
      <c r="FA90" s="41"/>
      <c r="FB90" s="41"/>
      <c r="FC90" s="41"/>
      <c r="FD90" s="41"/>
      <c r="FE90" s="41"/>
      <c r="FF90" s="41"/>
      <c r="FG90" s="41"/>
      <c r="FH90" s="41"/>
      <c r="FI90" s="41"/>
      <c r="FJ90" s="41"/>
      <c r="FK90" s="41"/>
      <c r="FL90" s="41"/>
      <c r="FM90" s="41"/>
      <c r="FN90" s="41"/>
      <c r="FO90" s="41"/>
      <c r="FP90" s="41"/>
      <c r="FQ90" s="41"/>
      <c r="FR90" s="41"/>
      <c r="FS90" s="41"/>
      <c r="FT90" s="41"/>
      <c r="FU90" s="41"/>
      <c r="FV90" s="41"/>
      <c r="FW90" s="41"/>
      <c r="FX90" s="41"/>
      <c r="FY90" s="41"/>
      <c r="FZ90" s="41"/>
      <c r="GA90" s="41"/>
      <c r="GB90" s="41"/>
      <c r="GC90" s="41"/>
      <c r="GD90" s="41"/>
      <c r="GE90" s="41"/>
      <c r="GF90" s="41"/>
      <c r="GG90" s="41"/>
      <c r="GH90" s="41"/>
      <c r="GI90" s="41"/>
      <c r="GJ90" s="41"/>
      <c r="GK90" s="41"/>
      <c r="GL90" s="41"/>
      <c r="GM90" s="41"/>
      <c r="GN90" s="41"/>
      <c r="GO90" s="41"/>
      <c r="GP90" s="41"/>
      <c r="GQ90" s="41"/>
      <c r="GR90" s="41"/>
      <c r="GS90" s="41"/>
      <c r="GT90" s="41"/>
      <c r="GU90" s="41"/>
      <c r="GV90" s="41"/>
      <c r="GW90" s="41"/>
      <c r="GX90" s="41"/>
      <c r="GY90" s="41"/>
      <c r="GZ90" s="41"/>
      <c r="HA90" s="41"/>
      <c r="HB90" s="41"/>
      <c r="HC90" s="41"/>
      <c r="HD90" s="41"/>
      <c r="HE90" s="41"/>
      <c r="HF90" s="41"/>
      <c r="HG90" s="41"/>
      <c r="HH90" s="41"/>
      <c r="HI90" s="41"/>
      <c r="HJ90" s="41"/>
      <c r="HK90" s="41"/>
      <c r="HL90" s="41"/>
      <c r="HM90" s="41"/>
      <c r="HN90" s="41"/>
      <c r="HO90" s="41"/>
      <c r="HP90" s="41"/>
    </row>
    <row r="91" spans="3:224" s="5" customFormat="1" ht="20.100000000000001" customHeight="1">
      <c r="C91" s="35">
        <v>14050007</v>
      </c>
      <c r="D91" s="35" t="s">
        <v>134</v>
      </c>
      <c r="E91" s="36">
        <v>1140003</v>
      </c>
      <c r="F91" s="36">
        <v>11022</v>
      </c>
      <c r="G91" s="36">
        <v>1</v>
      </c>
      <c r="H91" s="36">
        <v>20</v>
      </c>
      <c r="I91" s="39">
        <v>0.2</v>
      </c>
      <c r="J91" s="40">
        <v>5</v>
      </c>
      <c r="K91" s="36">
        <v>0</v>
      </c>
      <c r="L91" s="36">
        <v>530</v>
      </c>
      <c r="M91" s="36">
        <f t="shared" si="2"/>
        <v>22</v>
      </c>
      <c r="N91" s="36">
        <v>43</v>
      </c>
      <c r="O91" s="36">
        <v>0</v>
      </c>
      <c r="P91" s="36">
        <v>0</v>
      </c>
      <c r="Q91" s="36">
        <f t="shared" si="3"/>
        <v>4</v>
      </c>
      <c r="R91" s="36">
        <v>8</v>
      </c>
      <c r="S91" s="36">
        <f t="shared" si="4"/>
        <v>4</v>
      </c>
      <c r="T91" s="36">
        <v>8</v>
      </c>
      <c r="U91" s="39">
        <v>0</v>
      </c>
      <c r="V91" s="36">
        <v>0</v>
      </c>
      <c r="W91" s="36">
        <v>0</v>
      </c>
      <c r="X91" s="36">
        <v>0</v>
      </c>
      <c r="Y91" s="39">
        <v>0</v>
      </c>
      <c r="Z91" s="39">
        <v>0</v>
      </c>
      <c r="AA91" s="39">
        <v>0</v>
      </c>
      <c r="AB91" s="39">
        <v>0</v>
      </c>
      <c r="AC91" s="39">
        <v>0</v>
      </c>
      <c r="AD91" s="39">
        <v>0</v>
      </c>
      <c r="AE91" s="41"/>
      <c r="AF91" s="41"/>
      <c r="AG91" s="41"/>
      <c r="AH91" s="41"/>
      <c r="AI91" s="41"/>
      <c r="AJ91" s="41"/>
      <c r="AK91" s="41"/>
      <c r="AL91" s="41"/>
      <c r="AM91" s="41"/>
      <c r="AN91" s="41"/>
      <c r="AO91" s="41"/>
      <c r="AP91" s="41"/>
      <c r="AQ91" s="41"/>
      <c r="AR91" s="41"/>
      <c r="AS91" s="41"/>
      <c r="AT91" s="41"/>
      <c r="AU91" s="41"/>
      <c r="AV91" s="41"/>
      <c r="AW91" s="41"/>
      <c r="AX91" s="41"/>
      <c r="AY91" s="41"/>
      <c r="AZ91" s="41"/>
      <c r="BA91" s="41"/>
      <c r="BB91" s="41"/>
      <c r="BC91" s="41"/>
      <c r="BD91" s="41"/>
      <c r="BE91" s="41"/>
      <c r="BF91" s="41"/>
      <c r="BG91" s="41"/>
      <c r="BH91" s="41"/>
      <c r="BI91" s="41"/>
      <c r="BJ91" s="41"/>
      <c r="BK91" s="41"/>
      <c r="BL91" s="41"/>
      <c r="BM91" s="41"/>
      <c r="BN91" s="41"/>
      <c r="BO91" s="41"/>
      <c r="BP91" s="41"/>
      <c r="BQ91" s="41"/>
      <c r="BR91" s="41"/>
      <c r="BS91" s="41"/>
      <c r="BT91" s="41"/>
      <c r="BU91" s="41"/>
      <c r="BV91" s="41"/>
      <c r="BW91" s="41"/>
      <c r="BX91" s="41"/>
      <c r="BY91" s="41"/>
      <c r="BZ91" s="41"/>
      <c r="CA91" s="41"/>
      <c r="CB91" s="41"/>
      <c r="CC91" s="41"/>
      <c r="CD91" s="41"/>
      <c r="CE91" s="41"/>
      <c r="CF91" s="41"/>
      <c r="CG91" s="41"/>
      <c r="CH91" s="41"/>
      <c r="CI91" s="41"/>
      <c r="CJ91" s="41"/>
      <c r="CK91" s="41"/>
      <c r="CL91" s="41"/>
      <c r="CM91" s="41"/>
      <c r="CN91" s="41"/>
      <c r="CO91" s="41"/>
      <c r="CP91" s="41"/>
      <c r="CQ91" s="41"/>
      <c r="CR91" s="41"/>
      <c r="CS91" s="41"/>
      <c r="CT91" s="41"/>
      <c r="CU91" s="41"/>
      <c r="CV91" s="41"/>
      <c r="CW91" s="41"/>
      <c r="CX91" s="41"/>
      <c r="CY91" s="41"/>
      <c r="CZ91" s="41"/>
      <c r="DA91" s="41"/>
      <c r="DB91" s="41"/>
      <c r="DC91" s="41"/>
      <c r="DD91" s="41"/>
      <c r="DE91" s="41"/>
      <c r="DF91" s="41"/>
      <c r="DG91" s="41"/>
      <c r="DH91" s="41"/>
      <c r="DI91" s="41"/>
      <c r="DJ91" s="41"/>
      <c r="DK91" s="41"/>
      <c r="DL91" s="41"/>
      <c r="DM91" s="41"/>
      <c r="DN91" s="41"/>
      <c r="DO91" s="41"/>
      <c r="DP91" s="41"/>
      <c r="DQ91" s="41"/>
      <c r="DR91" s="41"/>
      <c r="DS91" s="41"/>
      <c r="DT91" s="41"/>
      <c r="DU91" s="41"/>
      <c r="DV91" s="41"/>
      <c r="DW91" s="41"/>
      <c r="DX91" s="41"/>
      <c r="DY91" s="41"/>
      <c r="DZ91" s="41"/>
      <c r="EA91" s="41"/>
      <c r="EB91" s="41"/>
      <c r="EC91" s="41"/>
      <c r="ED91" s="41"/>
      <c r="EE91" s="41"/>
      <c r="EF91" s="41"/>
      <c r="EG91" s="41"/>
      <c r="EH91" s="41"/>
      <c r="EI91" s="41"/>
      <c r="EJ91" s="41"/>
      <c r="EK91" s="41"/>
      <c r="EL91" s="41"/>
      <c r="EM91" s="41"/>
      <c r="EN91" s="41"/>
      <c r="EO91" s="41"/>
      <c r="EP91" s="41"/>
      <c r="EQ91" s="41"/>
      <c r="ER91" s="41"/>
      <c r="ES91" s="41"/>
      <c r="ET91" s="41"/>
      <c r="EU91" s="41"/>
      <c r="EV91" s="41"/>
      <c r="EW91" s="41"/>
      <c r="EX91" s="41"/>
      <c r="EY91" s="41"/>
      <c r="EZ91" s="41"/>
      <c r="FA91" s="41"/>
      <c r="FB91" s="41"/>
      <c r="FC91" s="41"/>
      <c r="FD91" s="41"/>
      <c r="FE91" s="41"/>
      <c r="FF91" s="41"/>
      <c r="FG91" s="41"/>
      <c r="FH91" s="41"/>
      <c r="FI91" s="41"/>
      <c r="FJ91" s="41"/>
      <c r="FK91" s="41"/>
      <c r="FL91" s="41"/>
      <c r="FM91" s="41"/>
      <c r="FN91" s="41"/>
      <c r="FO91" s="41"/>
      <c r="FP91" s="41"/>
      <c r="FQ91" s="41"/>
      <c r="FR91" s="41"/>
      <c r="FS91" s="41"/>
      <c r="FT91" s="41"/>
      <c r="FU91" s="41"/>
      <c r="FV91" s="41"/>
      <c r="FW91" s="41"/>
      <c r="FX91" s="41"/>
      <c r="FY91" s="41"/>
      <c r="FZ91" s="41"/>
      <c r="GA91" s="41"/>
      <c r="GB91" s="41"/>
      <c r="GC91" s="41"/>
      <c r="GD91" s="41"/>
      <c r="GE91" s="41"/>
      <c r="GF91" s="41"/>
      <c r="GG91" s="41"/>
      <c r="GH91" s="41"/>
      <c r="GI91" s="41"/>
      <c r="GJ91" s="41"/>
      <c r="GK91" s="41"/>
      <c r="GL91" s="41"/>
      <c r="GM91" s="41"/>
      <c r="GN91" s="41"/>
      <c r="GO91" s="41"/>
      <c r="GP91" s="41"/>
      <c r="GQ91" s="41"/>
      <c r="GR91" s="41"/>
      <c r="GS91" s="41"/>
      <c r="GT91" s="41"/>
      <c r="GU91" s="41"/>
      <c r="GV91" s="41"/>
      <c r="GW91" s="41"/>
      <c r="GX91" s="41"/>
      <c r="GY91" s="41"/>
      <c r="GZ91" s="41"/>
      <c r="HA91" s="41"/>
      <c r="HB91" s="41"/>
      <c r="HC91" s="41"/>
      <c r="HD91" s="41"/>
      <c r="HE91" s="41"/>
      <c r="HF91" s="41"/>
      <c r="HG91" s="41"/>
      <c r="HH91" s="41"/>
      <c r="HI91" s="41"/>
      <c r="HJ91" s="41"/>
      <c r="HK91" s="41"/>
      <c r="HL91" s="41"/>
      <c r="HM91" s="41"/>
      <c r="HN91" s="41"/>
      <c r="HO91" s="41"/>
      <c r="HP91" s="41"/>
    </row>
    <row r="92" spans="3:224" s="5" customFormat="1" ht="20.100000000000001" customHeight="1">
      <c r="C92" s="35">
        <v>14050008</v>
      </c>
      <c r="D92" s="35" t="s">
        <v>135</v>
      </c>
      <c r="E92" s="36">
        <v>1140003</v>
      </c>
      <c r="F92" s="36">
        <v>11042</v>
      </c>
      <c r="G92" s="36">
        <v>1</v>
      </c>
      <c r="H92" s="36">
        <v>20</v>
      </c>
      <c r="I92" s="39">
        <v>0.2</v>
      </c>
      <c r="J92" s="40">
        <v>10</v>
      </c>
      <c r="K92" s="36">
        <v>0</v>
      </c>
      <c r="L92" s="36">
        <v>660</v>
      </c>
      <c r="M92" s="36">
        <f t="shared" si="2"/>
        <v>26</v>
      </c>
      <c r="N92" s="36">
        <v>51</v>
      </c>
      <c r="O92" s="36">
        <v>0</v>
      </c>
      <c r="P92" s="36">
        <v>0</v>
      </c>
      <c r="Q92" s="36">
        <f t="shared" si="3"/>
        <v>6</v>
      </c>
      <c r="R92" s="36">
        <v>11</v>
      </c>
      <c r="S92" s="36">
        <f t="shared" si="4"/>
        <v>6</v>
      </c>
      <c r="T92" s="36">
        <v>11</v>
      </c>
      <c r="U92" s="39">
        <v>0</v>
      </c>
      <c r="V92" s="36">
        <v>0</v>
      </c>
      <c r="W92" s="36">
        <v>0</v>
      </c>
      <c r="X92" s="36">
        <v>0</v>
      </c>
      <c r="Y92" s="39">
        <v>0</v>
      </c>
      <c r="Z92" s="39">
        <v>0</v>
      </c>
      <c r="AA92" s="39">
        <v>0</v>
      </c>
      <c r="AB92" s="39">
        <v>0</v>
      </c>
      <c r="AC92" s="39">
        <v>0</v>
      </c>
      <c r="AD92" s="39">
        <v>0</v>
      </c>
      <c r="AE92" s="41"/>
      <c r="AF92" s="41"/>
      <c r="AG92" s="41"/>
      <c r="AH92" s="41"/>
      <c r="AI92" s="41"/>
      <c r="AJ92" s="41"/>
      <c r="AK92" s="41"/>
      <c r="AL92" s="41"/>
      <c r="AM92" s="41"/>
      <c r="AN92" s="41"/>
      <c r="AO92" s="41"/>
      <c r="AP92" s="41"/>
      <c r="AQ92" s="41"/>
      <c r="AR92" s="41"/>
      <c r="AS92" s="41"/>
      <c r="AT92" s="41"/>
      <c r="AU92" s="41"/>
      <c r="AV92" s="41"/>
      <c r="AW92" s="41"/>
      <c r="AX92" s="41"/>
      <c r="AY92" s="41"/>
      <c r="AZ92" s="41"/>
      <c r="BA92" s="41"/>
      <c r="BB92" s="41"/>
      <c r="BC92" s="41"/>
      <c r="BD92" s="41"/>
      <c r="BE92" s="41"/>
      <c r="BF92" s="41"/>
      <c r="BG92" s="41"/>
      <c r="BH92" s="41"/>
      <c r="BI92" s="41"/>
      <c r="BJ92" s="41"/>
      <c r="BK92" s="41"/>
      <c r="BL92" s="41"/>
      <c r="BM92" s="41"/>
      <c r="BN92" s="41"/>
      <c r="BO92" s="41"/>
      <c r="BP92" s="41"/>
      <c r="BQ92" s="41"/>
      <c r="BR92" s="41"/>
      <c r="BS92" s="41"/>
      <c r="BT92" s="41"/>
      <c r="BU92" s="41"/>
      <c r="BV92" s="41"/>
      <c r="BW92" s="41"/>
      <c r="BX92" s="41"/>
      <c r="BY92" s="41"/>
      <c r="BZ92" s="41"/>
      <c r="CA92" s="41"/>
      <c r="CB92" s="41"/>
      <c r="CC92" s="41"/>
      <c r="CD92" s="41"/>
      <c r="CE92" s="41"/>
      <c r="CF92" s="41"/>
      <c r="CG92" s="41"/>
      <c r="CH92" s="41"/>
      <c r="CI92" s="41"/>
      <c r="CJ92" s="41"/>
      <c r="CK92" s="41"/>
      <c r="CL92" s="41"/>
      <c r="CM92" s="41"/>
      <c r="CN92" s="41"/>
      <c r="CO92" s="41"/>
      <c r="CP92" s="41"/>
      <c r="CQ92" s="41"/>
      <c r="CR92" s="41"/>
      <c r="CS92" s="41"/>
      <c r="CT92" s="41"/>
      <c r="CU92" s="41"/>
      <c r="CV92" s="41"/>
      <c r="CW92" s="41"/>
      <c r="CX92" s="41"/>
      <c r="CY92" s="41"/>
      <c r="CZ92" s="41"/>
      <c r="DA92" s="41"/>
      <c r="DB92" s="41"/>
      <c r="DC92" s="41"/>
      <c r="DD92" s="41"/>
      <c r="DE92" s="41"/>
      <c r="DF92" s="41"/>
      <c r="DG92" s="41"/>
      <c r="DH92" s="41"/>
      <c r="DI92" s="41"/>
      <c r="DJ92" s="41"/>
      <c r="DK92" s="41"/>
      <c r="DL92" s="41"/>
      <c r="DM92" s="41"/>
      <c r="DN92" s="41"/>
      <c r="DO92" s="41"/>
      <c r="DP92" s="41"/>
      <c r="DQ92" s="41"/>
      <c r="DR92" s="41"/>
      <c r="DS92" s="41"/>
      <c r="DT92" s="41"/>
      <c r="DU92" s="41"/>
      <c r="DV92" s="41"/>
      <c r="DW92" s="41"/>
      <c r="DX92" s="41"/>
      <c r="DY92" s="41"/>
      <c r="DZ92" s="41"/>
      <c r="EA92" s="41"/>
      <c r="EB92" s="41"/>
      <c r="EC92" s="41"/>
      <c r="ED92" s="41"/>
      <c r="EE92" s="41"/>
      <c r="EF92" s="41"/>
      <c r="EG92" s="41"/>
      <c r="EH92" s="41"/>
      <c r="EI92" s="41"/>
      <c r="EJ92" s="41"/>
      <c r="EK92" s="41"/>
      <c r="EL92" s="41"/>
      <c r="EM92" s="41"/>
      <c r="EN92" s="41"/>
      <c r="EO92" s="41"/>
      <c r="EP92" s="41"/>
      <c r="EQ92" s="41"/>
      <c r="ER92" s="41"/>
      <c r="ES92" s="41"/>
      <c r="ET92" s="41"/>
      <c r="EU92" s="41"/>
      <c r="EV92" s="41"/>
      <c r="EW92" s="41"/>
      <c r="EX92" s="41"/>
      <c r="EY92" s="41"/>
      <c r="EZ92" s="41"/>
      <c r="FA92" s="41"/>
      <c r="FB92" s="41"/>
      <c r="FC92" s="41"/>
      <c r="FD92" s="41"/>
      <c r="FE92" s="41"/>
      <c r="FF92" s="41"/>
      <c r="FG92" s="41"/>
      <c r="FH92" s="41"/>
      <c r="FI92" s="41"/>
      <c r="FJ92" s="41"/>
      <c r="FK92" s="41"/>
      <c r="FL92" s="41"/>
      <c r="FM92" s="41"/>
      <c r="FN92" s="41"/>
      <c r="FO92" s="41"/>
      <c r="FP92" s="41"/>
      <c r="FQ92" s="41"/>
      <c r="FR92" s="41"/>
      <c r="FS92" s="41"/>
      <c r="FT92" s="41"/>
      <c r="FU92" s="41"/>
      <c r="FV92" s="41"/>
      <c r="FW92" s="41"/>
      <c r="FX92" s="41"/>
      <c r="FY92" s="41"/>
      <c r="FZ92" s="41"/>
      <c r="GA92" s="41"/>
      <c r="GB92" s="41"/>
      <c r="GC92" s="41"/>
      <c r="GD92" s="41"/>
      <c r="GE92" s="41"/>
      <c r="GF92" s="41"/>
      <c r="GG92" s="41"/>
      <c r="GH92" s="41"/>
      <c r="GI92" s="41"/>
      <c r="GJ92" s="41"/>
      <c r="GK92" s="41"/>
      <c r="GL92" s="41"/>
      <c r="GM92" s="41"/>
      <c r="GN92" s="41"/>
      <c r="GO92" s="41"/>
      <c r="GP92" s="41"/>
      <c r="GQ92" s="41"/>
      <c r="GR92" s="41"/>
      <c r="GS92" s="41"/>
      <c r="GT92" s="41"/>
      <c r="GU92" s="41"/>
      <c r="GV92" s="41"/>
      <c r="GW92" s="41"/>
      <c r="GX92" s="41"/>
      <c r="GY92" s="41"/>
      <c r="GZ92" s="41"/>
      <c r="HA92" s="41"/>
      <c r="HB92" s="41"/>
      <c r="HC92" s="41"/>
      <c r="HD92" s="41"/>
      <c r="HE92" s="41"/>
      <c r="HF92" s="41"/>
      <c r="HG92" s="41"/>
      <c r="HH92" s="41"/>
      <c r="HI92" s="41"/>
      <c r="HJ92" s="41"/>
      <c r="HK92" s="41"/>
      <c r="HL92" s="41"/>
      <c r="HM92" s="41"/>
      <c r="HN92" s="41"/>
      <c r="HO92" s="41"/>
      <c r="HP92" s="41"/>
    </row>
    <row r="93" spans="3:224" s="5" customFormat="1" ht="20.100000000000001" customHeight="1">
      <c r="C93" s="35">
        <v>14050009</v>
      </c>
      <c r="D93" s="35" t="s">
        <v>136</v>
      </c>
      <c r="E93" s="36">
        <v>1140003</v>
      </c>
      <c r="F93" s="36">
        <v>0</v>
      </c>
      <c r="G93" s="36">
        <v>1</v>
      </c>
      <c r="H93" s="36">
        <v>20</v>
      </c>
      <c r="I93" s="39">
        <v>0.2</v>
      </c>
      <c r="J93" s="40">
        <v>5</v>
      </c>
      <c r="K93" s="36">
        <v>0</v>
      </c>
      <c r="L93" s="36">
        <v>830</v>
      </c>
      <c r="M93" s="36">
        <f t="shared" si="2"/>
        <v>6</v>
      </c>
      <c r="N93" s="36">
        <v>11</v>
      </c>
      <c r="O93" s="36">
        <v>0</v>
      </c>
      <c r="P93" s="36">
        <v>0</v>
      </c>
      <c r="Q93" s="36">
        <f t="shared" si="3"/>
        <v>3</v>
      </c>
      <c r="R93" s="36">
        <v>6</v>
      </c>
      <c r="S93" s="36">
        <f t="shared" si="4"/>
        <v>3</v>
      </c>
      <c r="T93" s="36">
        <v>6</v>
      </c>
      <c r="U93" s="39">
        <v>0</v>
      </c>
      <c r="V93" s="36">
        <v>0</v>
      </c>
      <c r="W93" s="36">
        <v>0</v>
      </c>
      <c r="X93" s="36">
        <v>0</v>
      </c>
      <c r="Y93" s="39">
        <v>0</v>
      </c>
      <c r="Z93" s="39">
        <v>0</v>
      </c>
      <c r="AA93" s="39">
        <v>0</v>
      </c>
      <c r="AB93" s="39">
        <v>0</v>
      </c>
      <c r="AC93" s="39">
        <v>0</v>
      </c>
      <c r="AD93" s="39">
        <v>0</v>
      </c>
      <c r="AE93" s="41"/>
      <c r="AF93" s="41"/>
      <c r="AG93" s="41"/>
      <c r="AH93" s="41"/>
      <c r="AI93" s="41"/>
      <c r="AJ93" s="41"/>
      <c r="AK93" s="41"/>
      <c r="AL93" s="41"/>
      <c r="AM93" s="41"/>
      <c r="AN93" s="41"/>
      <c r="AO93" s="41"/>
      <c r="AP93" s="41"/>
      <c r="AQ93" s="41"/>
      <c r="AR93" s="41"/>
      <c r="AS93" s="41"/>
      <c r="AT93" s="41"/>
      <c r="AU93" s="41"/>
      <c r="AV93" s="41"/>
      <c r="AW93" s="41"/>
      <c r="AX93" s="41"/>
      <c r="AY93" s="41"/>
      <c r="AZ93" s="41"/>
      <c r="BA93" s="41"/>
      <c r="BB93" s="41"/>
      <c r="BC93" s="41"/>
      <c r="BD93" s="41"/>
      <c r="BE93" s="41"/>
      <c r="BF93" s="41"/>
      <c r="BG93" s="41"/>
      <c r="BH93" s="41"/>
      <c r="BI93" s="41"/>
      <c r="BJ93" s="41"/>
      <c r="BK93" s="41"/>
      <c r="BL93" s="41"/>
      <c r="BM93" s="41"/>
      <c r="BN93" s="41"/>
      <c r="BO93" s="41"/>
      <c r="BP93" s="41"/>
      <c r="BQ93" s="41"/>
      <c r="BR93" s="41"/>
      <c r="BS93" s="41"/>
      <c r="BT93" s="41"/>
      <c r="BU93" s="41"/>
      <c r="BV93" s="41"/>
      <c r="BW93" s="41"/>
      <c r="BX93" s="41"/>
      <c r="BY93" s="41"/>
      <c r="BZ93" s="41"/>
      <c r="CA93" s="41"/>
      <c r="CB93" s="41"/>
      <c r="CC93" s="41"/>
      <c r="CD93" s="41"/>
      <c r="CE93" s="41"/>
      <c r="CF93" s="41"/>
      <c r="CG93" s="41"/>
      <c r="CH93" s="41"/>
      <c r="CI93" s="41"/>
      <c r="CJ93" s="41"/>
      <c r="CK93" s="41"/>
      <c r="CL93" s="41"/>
      <c r="CM93" s="41"/>
      <c r="CN93" s="41"/>
      <c r="CO93" s="41"/>
      <c r="CP93" s="41"/>
      <c r="CQ93" s="41"/>
      <c r="CR93" s="41"/>
      <c r="CS93" s="41"/>
      <c r="CT93" s="41"/>
      <c r="CU93" s="41"/>
      <c r="CV93" s="41"/>
      <c r="CW93" s="41"/>
      <c r="CX93" s="41"/>
      <c r="CY93" s="41"/>
      <c r="CZ93" s="41"/>
      <c r="DA93" s="41"/>
      <c r="DB93" s="41"/>
      <c r="DC93" s="41"/>
      <c r="DD93" s="41"/>
      <c r="DE93" s="41"/>
      <c r="DF93" s="41"/>
      <c r="DG93" s="41"/>
      <c r="DH93" s="41"/>
      <c r="DI93" s="41"/>
      <c r="DJ93" s="41"/>
      <c r="DK93" s="41"/>
      <c r="DL93" s="41"/>
      <c r="DM93" s="41"/>
      <c r="DN93" s="41"/>
      <c r="DO93" s="41"/>
      <c r="DP93" s="41"/>
      <c r="DQ93" s="41"/>
      <c r="DR93" s="41"/>
      <c r="DS93" s="41"/>
      <c r="DT93" s="41"/>
      <c r="DU93" s="41"/>
      <c r="DV93" s="41"/>
      <c r="DW93" s="41"/>
      <c r="DX93" s="41"/>
      <c r="DY93" s="41"/>
      <c r="DZ93" s="41"/>
      <c r="EA93" s="41"/>
      <c r="EB93" s="41"/>
      <c r="EC93" s="41"/>
      <c r="ED93" s="41"/>
      <c r="EE93" s="41"/>
      <c r="EF93" s="41"/>
      <c r="EG93" s="41"/>
      <c r="EH93" s="41"/>
      <c r="EI93" s="41"/>
      <c r="EJ93" s="41"/>
      <c r="EK93" s="41"/>
      <c r="EL93" s="41"/>
      <c r="EM93" s="41"/>
      <c r="EN93" s="41"/>
      <c r="EO93" s="41"/>
      <c r="EP93" s="41"/>
      <c r="EQ93" s="41"/>
      <c r="ER93" s="41"/>
      <c r="ES93" s="41"/>
      <c r="ET93" s="41"/>
      <c r="EU93" s="41"/>
      <c r="EV93" s="41"/>
      <c r="EW93" s="41"/>
      <c r="EX93" s="41"/>
      <c r="EY93" s="41"/>
      <c r="EZ93" s="41"/>
      <c r="FA93" s="41"/>
      <c r="FB93" s="41"/>
      <c r="FC93" s="41"/>
      <c r="FD93" s="41"/>
      <c r="FE93" s="41"/>
      <c r="FF93" s="41"/>
      <c r="FG93" s="41"/>
      <c r="FH93" s="41"/>
      <c r="FI93" s="41"/>
      <c r="FJ93" s="41"/>
      <c r="FK93" s="41"/>
      <c r="FL93" s="41"/>
      <c r="FM93" s="41"/>
      <c r="FN93" s="41"/>
      <c r="FO93" s="41"/>
      <c r="FP93" s="41"/>
      <c r="FQ93" s="41"/>
      <c r="FR93" s="41"/>
      <c r="FS93" s="41"/>
      <c r="FT93" s="41"/>
      <c r="FU93" s="41"/>
      <c r="FV93" s="41"/>
      <c r="FW93" s="41"/>
      <c r="FX93" s="41"/>
      <c r="FY93" s="41"/>
      <c r="FZ93" s="41"/>
      <c r="GA93" s="41"/>
      <c r="GB93" s="41"/>
      <c r="GC93" s="41"/>
      <c r="GD93" s="41"/>
      <c r="GE93" s="41"/>
      <c r="GF93" s="41"/>
      <c r="GG93" s="41"/>
      <c r="GH93" s="41"/>
      <c r="GI93" s="41"/>
      <c r="GJ93" s="41"/>
      <c r="GK93" s="41"/>
      <c r="GL93" s="41"/>
      <c r="GM93" s="41"/>
      <c r="GN93" s="41"/>
      <c r="GO93" s="41"/>
      <c r="GP93" s="41"/>
      <c r="GQ93" s="41"/>
      <c r="GR93" s="41"/>
      <c r="GS93" s="41"/>
      <c r="GT93" s="41"/>
      <c r="GU93" s="41"/>
      <c r="GV93" s="41"/>
      <c r="GW93" s="41"/>
      <c r="GX93" s="41"/>
      <c r="GY93" s="41"/>
      <c r="GZ93" s="41"/>
      <c r="HA93" s="41"/>
      <c r="HB93" s="41"/>
      <c r="HC93" s="41"/>
      <c r="HD93" s="41"/>
      <c r="HE93" s="41"/>
      <c r="HF93" s="41"/>
      <c r="HG93" s="41"/>
      <c r="HH93" s="41"/>
      <c r="HI93" s="41"/>
      <c r="HJ93" s="41"/>
      <c r="HK93" s="41"/>
      <c r="HL93" s="41"/>
      <c r="HM93" s="41"/>
      <c r="HN93" s="41"/>
      <c r="HO93" s="41"/>
      <c r="HP93" s="41"/>
    </row>
    <row r="94" spans="3:224" s="5" customFormat="1" ht="20.100000000000001" customHeight="1">
      <c r="C94" s="35">
        <v>14050010</v>
      </c>
      <c r="D94" s="35" t="s">
        <v>137</v>
      </c>
      <c r="E94" s="36">
        <v>1140003</v>
      </c>
      <c r="F94" s="36">
        <v>0</v>
      </c>
      <c r="G94" s="36">
        <v>1</v>
      </c>
      <c r="H94" s="36">
        <v>20</v>
      </c>
      <c r="I94" s="39">
        <v>0.2</v>
      </c>
      <c r="J94" s="40">
        <v>5</v>
      </c>
      <c r="K94" s="36">
        <v>0</v>
      </c>
      <c r="L94" s="36">
        <v>1380</v>
      </c>
      <c r="M94" s="36">
        <f t="shared" si="2"/>
        <v>11</v>
      </c>
      <c r="N94" s="36">
        <v>21</v>
      </c>
      <c r="O94" s="36">
        <v>0</v>
      </c>
      <c r="P94" s="36">
        <v>0</v>
      </c>
      <c r="Q94" s="36">
        <f t="shared" si="3"/>
        <v>5</v>
      </c>
      <c r="R94" s="36">
        <v>10</v>
      </c>
      <c r="S94" s="36">
        <f t="shared" si="4"/>
        <v>5</v>
      </c>
      <c r="T94" s="36">
        <v>10</v>
      </c>
      <c r="U94" s="39">
        <v>0</v>
      </c>
      <c r="V94" s="36">
        <v>0</v>
      </c>
      <c r="W94" s="36">
        <v>0</v>
      </c>
      <c r="X94" s="36">
        <v>0</v>
      </c>
      <c r="Y94" s="39">
        <v>0</v>
      </c>
      <c r="Z94" s="39">
        <v>0</v>
      </c>
      <c r="AA94" s="39">
        <v>0</v>
      </c>
      <c r="AB94" s="39">
        <v>0</v>
      </c>
      <c r="AC94" s="39">
        <v>0</v>
      </c>
      <c r="AD94" s="39">
        <v>0</v>
      </c>
      <c r="AE94" s="41"/>
      <c r="AF94" s="41"/>
      <c r="AG94" s="41"/>
      <c r="AH94" s="41"/>
      <c r="AI94" s="41"/>
      <c r="AJ94" s="41"/>
      <c r="AK94" s="41"/>
      <c r="AL94" s="41"/>
      <c r="AM94" s="41"/>
      <c r="AN94" s="41"/>
      <c r="AO94" s="41"/>
      <c r="AP94" s="41"/>
      <c r="AQ94" s="41"/>
      <c r="AR94" s="41"/>
      <c r="AS94" s="41"/>
      <c r="AT94" s="41"/>
      <c r="AU94" s="41"/>
      <c r="AV94" s="41"/>
      <c r="AW94" s="41"/>
      <c r="AX94" s="41"/>
      <c r="AY94" s="41"/>
      <c r="AZ94" s="41"/>
      <c r="BA94" s="41"/>
      <c r="BB94" s="41"/>
      <c r="BC94" s="41"/>
      <c r="BD94" s="41"/>
      <c r="BE94" s="41"/>
      <c r="BF94" s="41"/>
      <c r="BG94" s="41"/>
      <c r="BH94" s="41"/>
      <c r="BI94" s="41"/>
      <c r="BJ94" s="41"/>
      <c r="BK94" s="41"/>
      <c r="BL94" s="41"/>
      <c r="BM94" s="41"/>
      <c r="BN94" s="41"/>
      <c r="BO94" s="41"/>
      <c r="BP94" s="41"/>
      <c r="BQ94" s="41"/>
      <c r="BR94" s="41"/>
      <c r="BS94" s="41"/>
      <c r="BT94" s="41"/>
      <c r="BU94" s="41"/>
      <c r="BV94" s="41"/>
      <c r="BW94" s="41"/>
      <c r="BX94" s="41"/>
      <c r="BY94" s="41"/>
      <c r="BZ94" s="41"/>
      <c r="CA94" s="41"/>
      <c r="CB94" s="41"/>
      <c r="CC94" s="41"/>
      <c r="CD94" s="41"/>
      <c r="CE94" s="41"/>
      <c r="CF94" s="41"/>
      <c r="CG94" s="41"/>
      <c r="CH94" s="41"/>
      <c r="CI94" s="41"/>
      <c r="CJ94" s="41"/>
      <c r="CK94" s="41"/>
      <c r="CL94" s="41"/>
      <c r="CM94" s="41"/>
      <c r="CN94" s="41"/>
      <c r="CO94" s="41"/>
      <c r="CP94" s="41"/>
      <c r="CQ94" s="41"/>
      <c r="CR94" s="41"/>
      <c r="CS94" s="41"/>
      <c r="CT94" s="41"/>
      <c r="CU94" s="41"/>
      <c r="CV94" s="41"/>
      <c r="CW94" s="41"/>
      <c r="CX94" s="41"/>
      <c r="CY94" s="41"/>
      <c r="CZ94" s="41"/>
      <c r="DA94" s="41"/>
      <c r="DB94" s="41"/>
      <c r="DC94" s="41"/>
      <c r="DD94" s="41"/>
      <c r="DE94" s="41"/>
      <c r="DF94" s="41"/>
      <c r="DG94" s="41"/>
      <c r="DH94" s="41"/>
      <c r="DI94" s="41"/>
      <c r="DJ94" s="41"/>
      <c r="DK94" s="41"/>
      <c r="DL94" s="41"/>
      <c r="DM94" s="41"/>
      <c r="DN94" s="41"/>
      <c r="DO94" s="41"/>
      <c r="DP94" s="41"/>
      <c r="DQ94" s="41"/>
      <c r="DR94" s="41"/>
      <c r="DS94" s="41"/>
      <c r="DT94" s="41"/>
      <c r="DU94" s="41"/>
      <c r="DV94" s="41"/>
      <c r="DW94" s="41"/>
      <c r="DX94" s="41"/>
      <c r="DY94" s="41"/>
      <c r="DZ94" s="41"/>
      <c r="EA94" s="41"/>
      <c r="EB94" s="41"/>
      <c r="EC94" s="41"/>
      <c r="ED94" s="41"/>
      <c r="EE94" s="41"/>
      <c r="EF94" s="41"/>
      <c r="EG94" s="41"/>
      <c r="EH94" s="41"/>
      <c r="EI94" s="41"/>
      <c r="EJ94" s="41"/>
      <c r="EK94" s="41"/>
      <c r="EL94" s="41"/>
      <c r="EM94" s="41"/>
      <c r="EN94" s="41"/>
      <c r="EO94" s="41"/>
      <c r="EP94" s="41"/>
      <c r="EQ94" s="41"/>
      <c r="ER94" s="41"/>
      <c r="ES94" s="41"/>
      <c r="ET94" s="41"/>
      <c r="EU94" s="41"/>
      <c r="EV94" s="41"/>
      <c r="EW94" s="41"/>
      <c r="EX94" s="41"/>
      <c r="EY94" s="41"/>
      <c r="EZ94" s="41"/>
      <c r="FA94" s="41"/>
      <c r="FB94" s="41"/>
      <c r="FC94" s="41"/>
      <c r="FD94" s="41"/>
      <c r="FE94" s="41"/>
      <c r="FF94" s="41"/>
      <c r="FG94" s="41"/>
      <c r="FH94" s="41"/>
      <c r="FI94" s="41"/>
      <c r="FJ94" s="41"/>
      <c r="FK94" s="41"/>
      <c r="FL94" s="41"/>
      <c r="FM94" s="41"/>
      <c r="FN94" s="41"/>
      <c r="FO94" s="41"/>
      <c r="FP94" s="41"/>
      <c r="FQ94" s="41"/>
      <c r="FR94" s="41"/>
      <c r="FS94" s="41"/>
      <c r="FT94" s="41"/>
      <c r="FU94" s="41"/>
      <c r="FV94" s="41"/>
      <c r="FW94" s="41"/>
      <c r="FX94" s="41"/>
      <c r="FY94" s="41"/>
      <c r="FZ94" s="41"/>
      <c r="GA94" s="41"/>
      <c r="GB94" s="41"/>
      <c r="GC94" s="41"/>
      <c r="GD94" s="41"/>
      <c r="GE94" s="41"/>
      <c r="GF94" s="41"/>
      <c r="GG94" s="41"/>
      <c r="GH94" s="41"/>
      <c r="GI94" s="41"/>
      <c r="GJ94" s="41"/>
      <c r="GK94" s="41"/>
      <c r="GL94" s="41"/>
      <c r="GM94" s="41"/>
      <c r="GN94" s="41"/>
      <c r="GO94" s="41"/>
      <c r="GP94" s="41"/>
      <c r="GQ94" s="41"/>
      <c r="GR94" s="41"/>
      <c r="GS94" s="41"/>
      <c r="GT94" s="41"/>
      <c r="GU94" s="41"/>
      <c r="GV94" s="41"/>
      <c r="GW94" s="41"/>
      <c r="GX94" s="41"/>
      <c r="GY94" s="41"/>
      <c r="GZ94" s="41"/>
      <c r="HA94" s="41"/>
      <c r="HB94" s="41"/>
      <c r="HC94" s="41"/>
      <c r="HD94" s="41"/>
      <c r="HE94" s="41"/>
      <c r="HF94" s="41"/>
      <c r="HG94" s="41"/>
      <c r="HH94" s="41"/>
      <c r="HI94" s="41"/>
      <c r="HJ94" s="41"/>
      <c r="HK94" s="41"/>
      <c r="HL94" s="41"/>
      <c r="HM94" s="41"/>
      <c r="HN94" s="41"/>
      <c r="HO94" s="41"/>
      <c r="HP94" s="41"/>
    </row>
    <row r="95" spans="3:224" s="5" customFormat="1" ht="20.100000000000001" customHeight="1">
      <c r="C95" s="35">
        <v>14050011</v>
      </c>
      <c r="D95" s="35" t="s">
        <v>138</v>
      </c>
      <c r="E95" s="36">
        <v>1140003</v>
      </c>
      <c r="F95" s="36">
        <v>11032</v>
      </c>
      <c r="G95" s="36">
        <v>1</v>
      </c>
      <c r="H95" s="36">
        <v>20</v>
      </c>
      <c r="I95" s="39">
        <v>0.2</v>
      </c>
      <c r="J95" s="40">
        <v>5</v>
      </c>
      <c r="K95" s="36">
        <v>0</v>
      </c>
      <c r="L95" s="36">
        <v>1580</v>
      </c>
      <c r="M95" s="36">
        <f t="shared" si="2"/>
        <v>12</v>
      </c>
      <c r="N95" s="36">
        <v>24</v>
      </c>
      <c r="O95" s="36">
        <v>0</v>
      </c>
      <c r="P95" s="36">
        <v>0</v>
      </c>
      <c r="Q95" s="36">
        <f t="shared" si="3"/>
        <v>7</v>
      </c>
      <c r="R95" s="36">
        <v>13</v>
      </c>
      <c r="S95" s="36">
        <f t="shared" si="4"/>
        <v>7</v>
      </c>
      <c r="T95" s="36">
        <v>13</v>
      </c>
      <c r="U95" s="39">
        <v>0</v>
      </c>
      <c r="V95" s="36">
        <v>0</v>
      </c>
      <c r="W95" s="36">
        <v>0</v>
      </c>
      <c r="X95" s="36">
        <v>0</v>
      </c>
      <c r="Y95" s="39">
        <v>0</v>
      </c>
      <c r="Z95" s="39">
        <v>0</v>
      </c>
      <c r="AA95" s="39">
        <v>0</v>
      </c>
      <c r="AB95" s="39">
        <v>0</v>
      </c>
      <c r="AC95" s="39">
        <v>0</v>
      </c>
      <c r="AD95" s="39">
        <v>0</v>
      </c>
      <c r="AE95" s="41"/>
      <c r="AF95" s="41"/>
      <c r="AG95" s="41"/>
      <c r="AH95" s="41"/>
      <c r="AI95" s="41"/>
      <c r="AJ95" s="41"/>
      <c r="AK95" s="41"/>
      <c r="AL95" s="41"/>
      <c r="AM95" s="41"/>
      <c r="AN95" s="41"/>
      <c r="AO95" s="41"/>
      <c r="AP95" s="41"/>
      <c r="AQ95" s="41"/>
      <c r="AR95" s="41"/>
      <c r="AS95" s="41"/>
      <c r="AT95" s="41"/>
      <c r="AU95" s="41"/>
      <c r="AV95" s="41"/>
      <c r="AW95" s="41"/>
      <c r="AX95" s="41"/>
      <c r="AY95" s="41"/>
      <c r="AZ95" s="41"/>
      <c r="BA95" s="41"/>
      <c r="BB95" s="41"/>
      <c r="BC95" s="41"/>
      <c r="BD95" s="41"/>
      <c r="BE95" s="41"/>
      <c r="BF95" s="41"/>
      <c r="BG95" s="41"/>
      <c r="BH95" s="41"/>
      <c r="BI95" s="41"/>
      <c r="BJ95" s="41"/>
      <c r="BK95" s="41"/>
      <c r="BL95" s="41"/>
      <c r="BM95" s="41"/>
      <c r="BN95" s="41"/>
      <c r="BO95" s="41"/>
      <c r="BP95" s="41"/>
      <c r="BQ95" s="41"/>
      <c r="BR95" s="41"/>
      <c r="BS95" s="41"/>
      <c r="BT95" s="41"/>
      <c r="BU95" s="41"/>
      <c r="BV95" s="41"/>
      <c r="BW95" s="41"/>
      <c r="BX95" s="41"/>
      <c r="BY95" s="41"/>
      <c r="BZ95" s="41"/>
      <c r="CA95" s="41"/>
      <c r="CB95" s="41"/>
      <c r="CC95" s="41"/>
      <c r="CD95" s="41"/>
      <c r="CE95" s="41"/>
      <c r="CF95" s="41"/>
      <c r="CG95" s="41"/>
      <c r="CH95" s="41"/>
      <c r="CI95" s="41"/>
      <c r="CJ95" s="41"/>
      <c r="CK95" s="41"/>
      <c r="CL95" s="41"/>
      <c r="CM95" s="41"/>
      <c r="CN95" s="41"/>
      <c r="CO95" s="41"/>
      <c r="CP95" s="41"/>
      <c r="CQ95" s="41"/>
      <c r="CR95" s="41"/>
      <c r="CS95" s="41"/>
      <c r="CT95" s="41"/>
      <c r="CU95" s="41"/>
      <c r="CV95" s="41"/>
      <c r="CW95" s="41"/>
      <c r="CX95" s="41"/>
      <c r="CY95" s="41"/>
      <c r="CZ95" s="41"/>
      <c r="DA95" s="41"/>
      <c r="DB95" s="41"/>
      <c r="DC95" s="41"/>
      <c r="DD95" s="41"/>
      <c r="DE95" s="41"/>
      <c r="DF95" s="41"/>
      <c r="DG95" s="41"/>
      <c r="DH95" s="41"/>
      <c r="DI95" s="41"/>
      <c r="DJ95" s="41"/>
      <c r="DK95" s="41"/>
      <c r="DL95" s="41"/>
      <c r="DM95" s="41"/>
      <c r="DN95" s="41"/>
      <c r="DO95" s="41"/>
      <c r="DP95" s="41"/>
      <c r="DQ95" s="41"/>
      <c r="DR95" s="41"/>
      <c r="DS95" s="41"/>
      <c r="DT95" s="41"/>
      <c r="DU95" s="41"/>
      <c r="DV95" s="41"/>
      <c r="DW95" s="41"/>
      <c r="DX95" s="41"/>
      <c r="DY95" s="41"/>
      <c r="DZ95" s="41"/>
      <c r="EA95" s="41"/>
      <c r="EB95" s="41"/>
      <c r="EC95" s="41"/>
      <c r="ED95" s="41"/>
      <c r="EE95" s="41"/>
      <c r="EF95" s="41"/>
      <c r="EG95" s="41"/>
      <c r="EH95" s="41"/>
      <c r="EI95" s="41"/>
      <c r="EJ95" s="41"/>
      <c r="EK95" s="41"/>
      <c r="EL95" s="41"/>
      <c r="EM95" s="41"/>
      <c r="EN95" s="41"/>
      <c r="EO95" s="41"/>
      <c r="EP95" s="41"/>
      <c r="EQ95" s="41"/>
      <c r="ER95" s="41"/>
      <c r="ES95" s="41"/>
      <c r="ET95" s="41"/>
      <c r="EU95" s="41"/>
      <c r="EV95" s="41"/>
      <c r="EW95" s="41"/>
      <c r="EX95" s="41"/>
      <c r="EY95" s="41"/>
      <c r="EZ95" s="41"/>
      <c r="FA95" s="41"/>
      <c r="FB95" s="41"/>
      <c r="FC95" s="41"/>
      <c r="FD95" s="41"/>
      <c r="FE95" s="41"/>
      <c r="FF95" s="41"/>
      <c r="FG95" s="41"/>
      <c r="FH95" s="41"/>
      <c r="FI95" s="41"/>
      <c r="FJ95" s="41"/>
      <c r="FK95" s="41"/>
      <c r="FL95" s="41"/>
      <c r="FM95" s="41"/>
      <c r="FN95" s="41"/>
      <c r="FO95" s="41"/>
      <c r="FP95" s="41"/>
      <c r="FQ95" s="41"/>
      <c r="FR95" s="41"/>
      <c r="FS95" s="41"/>
      <c r="FT95" s="41"/>
      <c r="FU95" s="41"/>
      <c r="FV95" s="41"/>
      <c r="FW95" s="41"/>
      <c r="FX95" s="41"/>
      <c r="FY95" s="41"/>
      <c r="FZ95" s="41"/>
      <c r="GA95" s="41"/>
      <c r="GB95" s="41"/>
      <c r="GC95" s="41"/>
      <c r="GD95" s="41"/>
      <c r="GE95" s="41"/>
      <c r="GF95" s="41"/>
      <c r="GG95" s="41"/>
      <c r="GH95" s="41"/>
      <c r="GI95" s="41"/>
      <c r="GJ95" s="41"/>
      <c r="GK95" s="41"/>
      <c r="GL95" s="41"/>
      <c r="GM95" s="41"/>
      <c r="GN95" s="41"/>
      <c r="GO95" s="41"/>
      <c r="GP95" s="41"/>
      <c r="GQ95" s="41"/>
      <c r="GR95" s="41"/>
      <c r="GS95" s="41"/>
      <c r="GT95" s="41"/>
      <c r="GU95" s="41"/>
      <c r="GV95" s="41"/>
      <c r="GW95" s="41"/>
      <c r="GX95" s="41"/>
      <c r="GY95" s="41"/>
      <c r="GZ95" s="41"/>
      <c r="HA95" s="41"/>
      <c r="HB95" s="41"/>
      <c r="HC95" s="41"/>
      <c r="HD95" s="41"/>
      <c r="HE95" s="41"/>
      <c r="HF95" s="41"/>
      <c r="HG95" s="41"/>
      <c r="HH95" s="41"/>
      <c r="HI95" s="41"/>
      <c r="HJ95" s="41"/>
      <c r="HK95" s="41"/>
      <c r="HL95" s="41"/>
      <c r="HM95" s="41"/>
      <c r="HN95" s="41"/>
      <c r="HO95" s="41"/>
      <c r="HP95" s="41"/>
    </row>
    <row r="96" spans="3:224" s="5" customFormat="1" ht="20.100000000000001" customHeight="1">
      <c r="C96" s="35">
        <v>14050012</v>
      </c>
      <c r="D96" s="35" t="s">
        <v>139</v>
      </c>
      <c r="E96" s="36">
        <v>1140003</v>
      </c>
      <c r="F96" s="36">
        <v>11043</v>
      </c>
      <c r="G96" s="36">
        <v>1</v>
      </c>
      <c r="H96" s="36">
        <v>20</v>
      </c>
      <c r="I96" s="39">
        <v>0.2</v>
      </c>
      <c r="J96" s="40">
        <v>10</v>
      </c>
      <c r="K96" s="36">
        <v>0</v>
      </c>
      <c r="L96" s="36">
        <v>1970</v>
      </c>
      <c r="M96" s="36">
        <f t="shared" si="2"/>
        <v>15</v>
      </c>
      <c r="N96" s="36">
        <v>29</v>
      </c>
      <c r="O96" s="36">
        <v>0</v>
      </c>
      <c r="P96" s="36">
        <v>0</v>
      </c>
      <c r="Q96" s="36">
        <f t="shared" si="3"/>
        <v>10</v>
      </c>
      <c r="R96" s="36">
        <v>19</v>
      </c>
      <c r="S96" s="36">
        <f t="shared" si="4"/>
        <v>10</v>
      </c>
      <c r="T96" s="36">
        <v>19</v>
      </c>
      <c r="U96" s="39">
        <v>0</v>
      </c>
      <c r="V96" s="36">
        <v>0</v>
      </c>
      <c r="W96" s="36">
        <v>0</v>
      </c>
      <c r="X96" s="36">
        <v>0</v>
      </c>
      <c r="Y96" s="39">
        <v>0</v>
      </c>
      <c r="Z96" s="39">
        <v>0</v>
      </c>
      <c r="AA96" s="39">
        <v>0</v>
      </c>
      <c r="AB96" s="39">
        <v>0</v>
      </c>
      <c r="AC96" s="39">
        <v>0</v>
      </c>
      <c r="AD96" s="39">
        <v>0</v>
      </c>
      <c r="AE96" s="41"/>
      <c r="AF96" s="41"/>
      <c r="AG96" s="41"/>
      <c r="AH96" s="41"/>
      <c r="AI96" s="41"/>
      <c r="AJ96" s="41"/>
      <c r="AK96" s="41"/>
      <c r="AL96" s="41"/>
      <c r="AM96" s="41"/>
      <c r="AN96" s="41"/>
      <c r="AO96" s="41"/>
      <c r="AP96" s="41"/>
      <c r="AQ96" s="41"/>
      <c r="AR96" s="41"/>
      <c r="AS96" s="41"/>
      <c r="AT96" s="41"/>
      <c r="AU96" s="41"/>
      <c r="AV96" s="41"/>
      <c r="AW96" s="41"/>
      <c r="AX96" s="41"/>
      <c r="AY96" s="41"/>
      <c r="AZ96" s="41"/>
      <c r="BA96" s="41"/>
      <c r="BB96" s="41"/>
      <c r="BC96" s="41"/>
      <c r="BD96" s="41"/>
      <c r="BE96" s="41"/>
      <c r="BF96" s="41"/>
      <c r="BG96" s="41"/>
      <c r="BH96" s="41"/>
      <c r="BI96" s="41"/>
      <c r="BJ96" s="41"/>
      <c r="BK96" s="41"/>
      <c r="BL96" s="41"/>
      <c r="BM96" s="41"/>
      <c r="BN96" s="41"/>
      <c r="BO96" s="41"/>
      <c r="BP96" s="41"/>
      <c r="BQ96" s="41"/>
      <c r="BR96" s="41"/>
      <c r="BS96" s="41"/>
      <c r="BT96" s="41"/>
      <c r="BU96" s="41"/>
      <c r="BV96" s="41"/>
      <c r="BW96" s="41"/>
      <c r="BX96" s="41"/>
      <c r="BY96" s="41"/>
      <c r="BZ96" s="41"/>
      <c r="CA96" s="41"/>
      <c r="CB96" s="41"/>
      <c r="CC96" s="41"/>
      <c r="CD96" s="41"/>
      <c r="CE96" s="41"/>
      <c r="CF96" s="41"/>
      <c r="CG96" s="41"/>
      <c r="CH96" s="41"/>
      <c r="CI96" s="41"/>
      <c r="CJ96" s="41"/>
      <c r="CK96" s="41"/>
      <c r="CL96" s="41"/>
      <c r="CM96" s="41"/>
      <c r="CN96" s="41"/>
      <c r="CO96" s="41"/>
      <c r="CP96" s="41"/>
      <c r="CQ96" s="41"/>
      <c r="CR96" s="41"/>
      <c r="CS96" s="41"/>
      <c r="CT96" s="41"/>
      <c r="CU96" s="41"/>
      <c r="CV96" s="41"/>
      <c r="CW96" s="41"/>
      <c r="CX96" s="41"/>
      <c r="CY96" s="41"/>
      <c r="CZ96" s="41"/>
      <c r="DA96" s="41"/>
      <c r="DB96" s="41"/>
      <c r="DC96" s="41"/>
      <c r="DD96" s="41"/>
      <c r="DE96" s="41"/>
      <c r="DF96" s="41"/>
      <c r="DG96" s="41"/>
      <c r="DH96" s="41"/>
      <c r="DI96" s="41"/>
      <c r="DJ96" s="41"/>
      <c r="DK96" s="41"/>
      <c r="DL96" s="41"/>
      <c r="DM96" s="41"/>
      <c r="DN96" s="41"/>
      <c r="DO96" s="41"/>
      <c r="DP96" s="41"/>
      <c r="DQ96" s="41"/>
      <c r="DR96" s="41"/>
      <c r="DS96" s="41"/>
      <c r="DT96" s="41"/>
      <c r="DU96" s="41"/>
      <c r="DV96" s="41"/>
      <c r="DW96" s="41"/>
      <c r="DX96" s="41"/>
      <c r="DY96" s="41"/>
      <c r="DZ96" s="41"/>
      <c r="EA96" s="41"/>
      <c r="EB96" s="41"/>
      <c r="EC96" s="41"/>
      <c r="ED96" s="41"/>
      <c r="EE96" s="41"/>
      <c r="EF96" s="41"/>
      <c r="EG96" s="41"/>
      <c r="EH96" s="41"/>
      <c r="EI96" s="41"/>
      <c r="EJ96" s="41"/>
      <c r="EK96" s="41"/>
      <c r="EL96" s="41"/>
      <c r="EM96" s="41"/>
      <c r="EN96" s="41"/>
      <c r="EO96" s="41"/>
      <c r="EP96" s="41"/>
      <c r="EQ96" s="41"/>
      <c r="ER96" s="41"/>
      <c r="ES96" s="41"/>
      <c r="ET96" s="41"/>
      <c r="EU96" s="41"/>
      <c r="EV96" s="41"/>
      <c r="EW96" s="41"/>
      <c r="EX96" s="41"/>
      <c r="EY96" s="41"/>
      <c r="EZ96" s="41"/>
      <c r="FA96" s="41"/>
      <c r="FB96" s="41"/>
      <c r="FC96" s="41"/>
      <c r="FD96" s="41"/>
      <c r="FE96" s="41"/>
      <c r="FF96" s="41"/>
      <c r="FG96" s="41"/>
      <c r="FH96" s="41"/>
      <c r="FI96" s="41"/>
      <c r="FJ96" s="41"/>
      <c r="FK96" s="41"/>
      <c r="FL96" s="41"/>
      <c r="FM96" s="41"/>
      <c r="FN96" s="41"/>
      <c r="FO96" s="41"/>
      <c r="FP96" s="41"/>
      <c r="FQ96" s="41"/>
      <c r="FR96" s="41"/>
      <c r="FS96" s="41"/>
      <c r="FT96" s="41"/>
      <c r="FU96" s="41"/>
      <c r="FV96" s="41"/>
      <c r="FW96" s="41"/>
      <c r="FX96" s="41"/>
      <c r="FY96" s="41"/>
      <c r="FZ96" s="41"/>
      <c r="GA96" s="41"/>
      <c r="GB96" s="41"/>
      <c r="GC96" s="41"/>
      <c r="GD96" s="41"/>
      <c r="GE96" s="41"/>
      <c r="GF96" s="41"/>
      <c r="GG96" s="41"/>
      <c r="GH96" s="41"/>
      <c r="GI96" s="41"/>
      <c r="GJ96" s="41"/>
      <c r="GK96" s="41"/>
      <c r="GL96" s="41"/>
      <c r="GM96" s="41"/>
      <c r="GN96" s="41"/>
      <c r="GO96" s="41"/>
      <c r="GP96" s="41"/>
      <c r="GQ96" s="41"/>
      <c r="GR96" s="41"/>
      <c r="GS96" s="41"/>
      <c r="GT96" s="41"/>
      <c r="GU96" s="41"/>
      <c r="GV96" s="41"/>
      <c r="GW96" s="41"/>
      <c r="GX96" s="41"/>
      <c r="GY96" s="41"/>
      <c r="GZ96" s="41"/>
      <c r="HA96" s="41"/>
      <c r="HB96" s="41"/>
      <c r="HC96" s="41"/>
      <c r="HD96" s="41"/>
      <c r="HE96" s="41"/>
      <c r="HF96" s="41"/>
      <c r="HG96" s="41"/>
      <c r="HH96" s="41"/>
      <c r="HI96" s="41"/>
      <c r="HJ96" s="41"/>
      <c r="HK96" s="41"/>
      <c r="HL96" s="41"/>
      <c r="HM96" s="41"/>
      <c r="HN96" s="41"/>
      <c r="HO96" s="41"/>
      <c r="HP96" s="41"/>
    </row>
    <row r="97" spans="3:224" ht="20.100000000000001" customHeight="1">
      <c r="C97" s="11">
        <v>14060001</v>
      </c>
      <c r="D97" s="11" t="s">
        <v>140</v>
      </c>
      <c r="E97" s="14">
        <v>1140002</v>
      </c>
      <c r="F97" s="14">
        <v>0</v>
      </c>
      <c r="G97" s="14">
        <v>1</v>
      </c>
      <c r="H97" s="14">
        <v>20</v>
      </c>
      <c r="I97" s="22">
        <v>0.2</v>
      </c>
      <c r="J97" s="23">
        <v>5</v>
      </c>
      <c r="K97" s="14">
        <v>0</v>
      </c>
      <c r="L97" s="14">
        <v>0</v>
      </c>
      <c r="M97" s="14">
        <f t="shared" si="2"/>
        <v>13</v>
      </c>
      <c r="N97" s="14">
        <v>25</v>
      </c>
      <c r="O97" s="14">
        <v>0</v>
      </c>
      <c r="P97" s="14">
        <v>0</v>
      </c>
      <c r="Q97" s="14">
        <f t="shared" si="3"/>
        <v>4</v>
      </c>
      <c r="R97" s="14">
        <v>8</v>
      </c>
      <c r="S97" s="14">
        <f t="shared" si="4"/>
        <v>0</v>
      </c>
      <c r="T97" s="14">
        <v>0</v>
      </c>
      <c r="U97" s="22">
        <v>0</v>
      </c>
      <c r="V97" s="14">
        <v>0</v>
      </c>
      <c r="W97" s="14">
        <v>0</v>
      </c>
      <c r="X97" s="14">
        <v>0</v>
      </c>
      <c r="Y97" s="22">
        <v>0</v>
      </c>
      <c r="Z97" s="22">
        <v>0</v>
      </c>
      <c r="AA97" s="22">
        <v>0</v>
      </c>
      <c r="AB97" s="22">
        <v>0</v>
      </c>
      <c r="AC97" s="22">
        <v>0</v>
      </c>
      <c r="AD97" s="22">
        <v>0</v>
      </c>
      <c r="GR97" s="6"/>
      <c r="GS97" s="6"/>
      <c r="GT97" s="6"/>
      <c r="GU97" s="6"/>
      <c r="GV97" s="6"/>
      <c r="GW97" s="6"/>
      <c r="GX97" s="6"/>
      <c r="GY97" s="6"/>
      <c r="GZ97" s="6"/>
      <c r="HA97" s="6"/>
      <c r="HB97" s="6"/>
      <c r="HC97" s="6"/>
      <c r="HD97" s="6"/>
      <c r="HE97" s="6"/>
      <c r="HF97" s="6"/>
      <c r="HG97" s="6"/>
      <c r="HH97" s="6"/>
      <c r="HI97" s="6"/>
      <c r="HJ97" s="6"/>
      <c r="HK97" s="6"/>
      <c r="HL97" s="6"/>
      <c r="HM97" s="6"/>
      <c r="HN97" s="6"/>
      <c r="HO97" s="6"/>
      <c r="HP97" s="6"/>
    </row>
    <row r="98" spans="3:224" ht="20.100000000000001" customHeight="1">
      <c r="C98" s="11">
        <v>14060002</v>
      </c>
      <c r="D98" s="11" t="s">
        <v>141</v>
      </c>
      <c r="E98" s="14">
        <v>1140002</v>
      </c>
      <c r="F98" s="14">
        <v>0</v>
      </c>
      <c r="G98" s="14">
        <v>1</v>
      </c>
      <c r="H98" s="14">
        <v>20</v>
      </c>
      <c r="I98" s="22">
        <v>0.2</v>
      </c>
      <c r="J98" s="23">
        <v>5</v>
      </c>
      <c r="K98" s="14">
        <v>0</v>
      </c>
      <c r="L98" s="14">
        <v>0</v>
      </c>
      <c r="M98" s="14">
        <f t="shared" si="2"/>
        <v>25</v>
      </c>
      <c r="N98" s="14">
        <v>50</v>
      </c>
      <c r="O98" s="14">
        <v>0</v>
      </c>
      <c r="P98" s="14">
        <v>0</v>
      </c>
      <c r="Q98" s="14">
        <f t="shared" si="3"/>
        <v>6</v>
      </c>
      <c r="R98" s="14">
        <v>12</v>
      </c>
      <c r="S98" s="14">
        <f t="shared" si="4"/>
        <v>0</v>
      </c>
      <c r="T98" s="14">
        <v>0</v>
      </c>
      <c r="U98" s="22">
        <v>0</v>
      </c>
      <c r="V98" s="14">
        <v>0</v>
      </c>
      <c r="W98" s="14">
        <v>0</v>
      </c>
      <c r="X98" s="14">
        <v>0</v>
      </c>
      <c r="Y98" s="22">
        <v>0</v>
      </c>
      <c r="Z98" s="22">
        <v>0</v>
      </c>
      <c r="AA98" s="22">
        <v>0</v>
      </c>
      <c r="AB98" s="22">
        <v>0</v>
      </c>
      <c r="AC98" s="22">
        <v>0</v>
      </c>
      <c r="AD98" s="22">
        <v>0</v>
      </c>
      <c r="GR98" s="6"/>
      <c r="GS98" s="6"/>
      <c r="GT98" s="6"/>
      <c r="GU98" s="6"/>
      <c r="GV98" s="6"/>
      <c r="GW98" s="6"/>
      <c r="GX98" s="6"/>
      <c r="GY98" s="6"/>
      <c r="GZ98" s="6"/>
      <c r="HA98" s="6"/>
      <c r="HB98" s="6"/>
      <c r="HC98" s="6"/>
      <c r="HD98" s="6"/>
      <c r="HE98" s="6"/>
      <c r="HF98" s="6"/>
      <c r="HG98" s="6"/>
      <c r="HH98" s="6"/>
      <c r="HI98" s="6"/>
      <c r="HJ98" s="6"/>
      <c r="HK98" s="6"/>
      <c r="HL98" s="6"/>
      <c r="HM98" s="6"/>
      <c r="HN98" s="6"/>
      <c r="HO98" s="6"/>
      <c r="HP98" s="6"/>
    </row>
    <row r="99" spans="3:224" ht="20.100000000000001" customHeight="1">
      <c r="C99" s="11">
        <v>14060003</v>
      </c>
      <c r="D99" s="11" t="s">
        <v>142</v>
      </c>
      <c r="E99" s="14">
        <v>1140002</v>
      </c>
      <c r="F99" s="14">
        <v>0</v>
      </c>
      <c r="G99" s="14">
        <v>1</v>
      </c>
      <c r="H99" s="14">
        <v>20</v>
      </c>
      <c r="I99" s="22">
        <v>0.2</v>
      </c>
      <c r="J99" s="23">
        <v>5</v>
      </c>
      <c r="K99" s="14">
        <v>0</v>
      </c>
      <c r="L99" s="14">
        <v>0</v>
      </c>
      <c r="M99" s="14">
        <f t="shared" si="2"/>
        <v>30</v>
      </c>
      <c r="N99" s="14">
        <v>60</v>
      </c>
      <c r="O99" s="14">
        <v>0</v>
      </c>
      <c r="P99" s="14">
        <v>0</v>
      </c>
      <c r="Q99" s="14">
        <f t="shared" si="3"/>
        <v>8</v>
      </c>
      <c r="R99" s="14">
        <v>15</v>
      </c>
      <c r="S99" s="14">
        <f t="shared" si="4"/>
        <v>0</v>
      </c>
      <c r="T99" s="14">
        <v>0</v>
      </c>
      <c r="U99" s="22">
        <v>0</v>
      </c>
      <c r="V99" s="14">
        <v>0</v>
      </c>
      <c r="W99" s="14">
        <v>0</v>
      </c>
      <c r="X99" s="14">
        <v>0</v>
      </c>
      <c r="Y99" s="22">
        <v>0</v>
      </c>
      <c r="Z99" s="22">
        <v>0</v>
      </c>
      <c r="AA99" s="22">
        <v>0</v>
      </c>
      <c r="AB99" s="22">
        <v>0</v>
      </c>
      <c r="AC99" s="22">
        <v>0</v>
      </c>
      <c r="AD99" s="22">
        <v>0</v>
      </c>
      <c r="GR99" s="6"/>
      <c r="GS99" s="6"/>
      <c r="GT99" s="6"/>
      <c r="GU99" s="6"/>
      <c r="GV99" s="6"/>
      <c r="GW99" s="6"/>
      <c r="GX99" s="6"/>
      <c r="GY99" s="6"/>
      <c r="GZ99" s="6"/>
      <c r="HA99" s="6"/>
      <c r="HB99" s="6"/>
      <c r="HC99" s="6"/>
      <c r="HD99" s="6"/>
      <c r="HE99" s="6"/>
      <c r="HF99" s="6"/>
      <c r="HG99" s="6"/>
      <c r="HH99" s="6"/>
      <c r="HI99" s="6"/>
      <c r="HJ99" s="6"/>
      <c r="HK99" s="6"/>
      <c r="HL99" s="6"/>
      <c r="HM99" s="6"/>
      <c r="HN99" s="6"/>
      <c r="HO99" s="6"/>
      <c r="HP99" s="6"/>
    </row>
    <row r="100" spans="3:224" ht="20.100000000000001" customHeight="1">
      <c r="C100" s="11">
        <v>14060004</v>
      </c>
      <c r="D100" s="11" t="s">
        <v>143</v>
      </c>
      <c r="E100" s="14">
        <v>1140002</v>
      </c>
      <c r="F100" s="14">
        <v>0</v>
      </c>
      <c r="G100" s="14">
        <v>1</v>
      </c>
      <c r="H100" s="14">
        <v>20</v>
      </c>
      <c r="I100" s="22">
        <v>0.2</v>
      </c>
      <c r="J100" s="23">
        <v>10</v>
      </c>
      <c r="K100" s="14">
        <v>0</v>
      </c>
      <c r="L100" s="14">
        <v>0</v>
      </c>
      <c r="M100" s="14">
        <f t="shared" si="2"/>
        <v>38</v>
      </c>
      <c r="N100" s="14">
        <v>75</v>
      </c>
      <c r="O100" s="14">
        <v>0</v>
      </c>
      <c r="P100" s="14">
        <v>0</v>
      </c>
      <c r="Q100" s="14">
        <f t="shared" si="3"/>
        <v>12</v>
      </c>
      <c r="R100" s="14">
        <v>23</v>
      </c>
      <c r="S100" s="14">
        <f t="shared" si="4"/>
        <v>0</v>
      </c>
      <c r="T100" s="14">
        <v>0</v>
      </c>
      <c r="U100" s="22">
        <v>0</v>
      </c>
      <c r="V100" s="14">
        <v>0</v>
      </c>
      <c r="W100" s="14">
        <v>0</v>
      </c>
      <c r="X100" s="14">
        <v>0</v>
      </c>
      <c r="Y100" s="22">
        <v>0</v>
      </c>
      <c r="Z100" s="22">
        <v>0</v>
      </c>
      <c r="AA100" s="22">
        <v>0</v>
      </c>
      <c r="AB100" s="22">
        <v>0</v>
      </c>
      <c r="AC100" s="22">
        <v>0</v>
      </c>
      <c r="AD100" s="22">
        <v>0</v>
      </c>
      <c r="GR100" s="6"/>
      <c r="GS100" s="6"/>
      <c r="GT100" s="6"/>
      <c r="GU100" s="6"/>
      <c r="GV100" s="6"/>
      <c r="GW100" s="6"/>
      <c r="GX100" s="6"/>
      <c r="GY100" s="6"/>
      <c r="GZ100" s="6"/>
      <c r="HA100" s="6"/>
      <c r="HB100" s="6"/>
      <c r="HC100" s="6"/>
      <c r="HD100" s="6"/>
      <c r="HE100" s="6"/>
      <c r="HF100" s="6"/>
      <c r="HG100" s="6"/>
      <c r="HH100" s="6"/>
      <c r="HI100" s="6"/>
      <c r="HJ100" s="6"/>
      <c r="HK100" s="6"/>
      <c r="HL100" s="6"/>
      <c r="HM100" s="6"/>
      <c r="HN100" s="6"/>
      <c r="HO100" s="6"/>
      <c r="HP100" s="6"/>
    </row>
    <row r="101" spans="3:224" ht="20.100000000000001" customHeight="1">
      <c r="C101" s="11">
        <v>14060005</v>
      </c>
      <c r="D101" s="37" t="s">
        <v>144</v>
      </c>
      <c r="E101" s="14">
        <v>1140002</v>
      </c>
      <c r="F101" s="14">
        <v>11051</v>
      </c>
      <c r="G101" s="14">
        <v>1</v>
      </c>
      <c r="H101" s="14">
        <v>20</v>
      </c>
      <c r="I101" s="22">
        <v>0.2</v>
      </c>
      <c r="J101" s="23">
        <v>10</v>
      </c>
      <c r="K101" s="14">
        <v>0</v>
      </c>
      <c r="L101" s="14">
        <v>0</v>
      </c>
      <c r="M101" s="14">
        <v>50</v>
      </c>
      <c r="N101" s="14">
        <v>95</v>
      </c>
      <c r="O101" s="14">
        <v>0</v>
      </c>
      <c r="P101" s="14">
        <v>0</v>
      </c>
      <c r="Q101" s="14">
        <v>18</v>
      </c>
      <c r="R101" s="14">
        <v>32</v>
      </c>
      <c r="S101" s="14">
        <f t="shared" ref="S101:S102" si="11">ROUND(T101/2,0)</f>
        <v>0</v>
      </c>
      <c r="T101" s="14">
        <v>0</v>
      </c>
      <c r="U101" s="22">
        <v>0</v>
      </c>
      <c r="V101" s="14">
        <v>0</v>
      </c>
      <c r="W101" s="14">
        <v>0</v>
      </c>
      <c r="X101" s="14">
        <v>0</v>
      </c>
      <c r="Y101" s="22">
        <v>0</v>
      </c>
      <c r="Z101" s="22">
        <v>0</v>
      </c>
      <c r="AA101" s="22">
        <v>0</v>
      </c>
      <c r="AB101" s="22">
        <v>205001</v>
      </c>
      <c r="AC101" s="22">
        <v>500</v>
      </c>
      <c r="AD101" s="22">
        <v>1</v>
      </c>
      <c r="AE101" s="22"/>
      <c r="GR101" s="6"/>
      <c r="GS101" s="6"/>
      <c r="GT101" s="6"/>
      <c r="GU101" s="6"/>
      <c r="GV101" s="6"/>
      <c r="GW101" s="6"/>
      <c r="GX101" s="6"/>
      <c r="GY101" s="6"/>
      <c r="GZ101" s="6"/>
      <c r="HA101" s="6"/>
      <c r="HB101" s="6"/>
      <c r="HC101" s="6"/>
      <c r="HD101" s="6"/>
      <c r="HE101" s="6"/>
      <c r="HF101" s="6"/>
      <c r="HG101" s="6"/>
      <c r="HH101" s="6"/>
      <c r="HI101" s="6"/>
      <c r="HJ101" s="6"/>
      <c r="HK101" s="6"/>
      <c r="HL101" s="6"/>
      <c r="HM101" s="6"/>
      <c r="HN101" s="6"/>
      <c r="HO101" s="6"/>
      <c r="HP101" s="6"/>
    </row>
    <row r="102" spans="3:224" ht="20.100000000000001" customHeight="1">
      <c r="C102" s="11">
        <v>14060006</v>
      </c>
      <c r="D102" s="38" t="s">
        <v>145</v>
      </c>
      <c r="E102" s="14">
        <v>1140002</v>
      </c>
      <c r="F102" s="14">
        <v>0</v>
      </c>
      <c r="G102" s="14">
        <v>1</v>
      </c>
      <c r="H102" s="14">
        <v>20</v>
      </c>
      <c r="I102" s="22">
        <v>0.2</v>
      </c>
      <c r="J102" s="23">
        <v>10</v>
      </c>
      <c r="K102" s="14">
        <v>0</v>
      </c>
      <c r="L102" s="14">
        <v>0</v>
      </c>
      <c r="M102" s="14">
        <v>40</v>
      </c>
      <c r="N102" s="14">
        <v>60</v>
      </c>
      <c r="O102" s="14">
        <v>0</v>
      </c>
      <c r="P102" s="14">
        <v>0</v>
      </c>
      <c r="Q102" s="14">
        <f t="shared" ref="Q102" si="12">ROUND(R102/2,0)</f>
        <v>12</v>
      </c>
      <c r="R102" s="14">
        <v>23</v>
      </c>
      <c r="S102" s="14">
        <f t="shared" si="11"/>
        <v>0</v>
      </c>
      <c r="T102" s="14">
        <v>0</v>
      </c>
      <c r="U102" s="22">
        <v>0</v>
      </c>
      <c r="V102" s="14">
        <v>0</v>
      </c>
      <c r="W102" s="14">
        <v>0</v>
      </c>
      <c r="X102" s="14">
        <v>0</v>
      </c>
      <c r="Y102" s="22">
        <v>0</v>
      </c>
      <c r="Z102" s="22">
        <v>0</v>
      </c>
      <c r="AA102" s="22">
        <v>0</v>
      </c>
      <c r="AB102" s="22">
        <v>0</v>
      </c>
      <c r="AC102" s="22">
        <v>0</v>
      </c>
      <c r="AD102" s="22">
        <v>0</v>
      </c>
      <c r="GR102" s="6"/>
      <c r="GS102" s="6"/>
      <c r="GT102" s="6"/>
      <c r="GU102" s="6"/>
      <c r="GV102" s="6"/>
      <c r="GW102" s="6"/>
      <c r="GX102" s="6"/>
      <c r="GY102" s="6"/>
      <c r="GZ102" s="6"/>
      <c r="HA102" s="6"/>
      <c r="HB102" s="6"/>
      <c r="HC102" s="6"/>
      <c r="HD102" s="6"/>
      <c r="HE102" s="6"/>
      <c r="HF102" s="6"/>
      <c r="HG102" s="6"/>
      <c r="HH102" s="6"/>
      <c r="HI102" s="6"/>
      <c r="HJ102" s="6"/>
      <c r="HK102" s="6"/>
      <c r="HL102" s="6"/>
      <c r="HM102" s="6"/>
      <c r="HN102" s="6"/>
      <c r="HO102" s="6"/>
      <c r="HP102" s="6"/>
    </row>
    <row r="103" spans="3:224" ht="20.100000000000001" customHeight="1">
      <c r="C103" s="11">
        <v>14070001</v>
      </c>
      <c r="D103" s="11" t="s">
        <v>146</v>
      </c>
      <c r="E103" s="14">
        <v>1140002</v>
      </c>
      <c r="F103" s="14">
        <v>0</v>
      </c>
      <c r="G103" s="14">
        <v>1</v>
      </c>
      <c r="H103" s="14">
        <v>20</v>
      </c>
      <c r="I103" s="22">
        <v>0.2</v>
      </c>
      <c r="J103" s="23">
        <v>5</v>
      </c>
      <c r="K103" s="14">
        <v>0</v>
      </c>
      <c r="L103" s="14">
        <v>0</v>
      </c>
      <c r="M103" s="14">
        <f t="shared" si="2"/>
        <v>13</v>
      </c>
      <c r="N103" s="14">
        <v>25</v>
      </c>
      <c r="O103" s="14">
        <v>0</v>
      </c>
      <c r="P103" s="14">
        <v>0</v>
      </c>
      <c r="Q103" s="14">
        <f t="shared" si="3"/>
        <v>0</v>
      </c>
      <c r="R103" s="14">
        <v>0</v>
      </c>
      <c r="S103" s="14">
        <f t="shared" si="4"/>
        <v>4</v>
      </c>
      <c r="T103" s="14">
        <v>8</v>
      </c>
      <c r="U103" s="22">
        <v>0</v>
      </c>
      <c r="V103" s="14">
        <v>0</v>
      </c>
      <c r="W103" s="14">
        <v>0</v>
      </c>
      <c r="X103" s="14">
        <v>0</v>
      </c>
      <c r="Y103" s="22">
        <v>0</v>
      </c>
      <c r="Z103" s="22">
        <v>0</v>
      </c>
      <c r="AA103" s="22">
        <v>0</v>
      </c>
      <c r="AB103" s="22">
        <v>0</v>
      </c>
      <c r="AC103" s="22">
        <v>0</v>
      </c>
      <c r="AD103" s="22">
        <v>0</v>
      </c>
      <c r="AE103" s="22"/>
      <c r="GR103" s="6"/>
      <c r="GS103" s="6"/>
      <c r="GT103" s="6"/>
      <c r="GU103" s="6"/>
      <c r="GV103" s="6"/>
      <c r="GW103" s="6"/>
      <c r="GX103" s="6"/>
      <c r="GY103" s="6"/>
      <c r="GZ103" s="6"/>
      <c r="HA103" s="6"/>
      <c r="HB103" s="6"/>
      <c r="HC103" s="6"/>
      <c r="HD103" s="6"/>
      <c r="HE103" s="6"/>
      <c r="HF103" s="6"/>
      <c r="HG103" s="6"/>
      <c r="HH103" s="6"/>
      <c r="HI103" s="6"/>
      <c r="HJ103" s="6"/>
      <c r="HK103" s="6"/>
      <c r="HL103" s="6"/>
      <c r="HM103" s="6"/>
      <c r="HN103" s="6"/>
      <c r="HO103" s="6"/>
      <c r="HP103" s="6"/>
    </row>
    <row r="104" spans="3:224" ht="20.100000000000001" customHeight="1">
      <c r="C104" s="11">
        <v>14070002</v>
      </c>
      <c r="D104" s="11" t="s">
        <v>147</v>
      </c>
      <c r="E104" s="14">
        <v>1140002</v>
      </c>
      <c r="F104" s="14">
        <v>0</v>
      </c>
      <c r="G104" s="14">
        <v>1</v>
      </c>
      <c r="H104" s="14">
        <v>20</v>
      </c>
      <c r="I104" s="22">
        <v>0.2</v>
      </c>
      <c r="J104" s="23">
        <v>5</v>
      </c>
      <c r="K104" s="14">
        <v>0</v>
      </c>
      <c r="L104" s="14">
        <v>0</v>
      </c>
      <c r="M104" s="14">
        <f t="shared" ref="M104:M183" si="13">ROUND(N104/2,0)</f>
        <v>25</v>
      </c>
      <c r="N104" s="14">
        <v>50</v>
      </c>
      <c r="O104" s="14">
        <v>0</v>
      </c>
      <c r="P104" s="14">
        <v>0</v>
      </c>
      <c r="Q104" s="14">
        <f t="shared" ref="Q104:Q183" si="14">ROUND(R104/2,0)</f>
        <v>0</v>
      </c>
      <c r="R104" s="14">
        <v>0</v>
      </c>
      <c r="S104" s="14">
        <f t="shared" ref="S104:S183" si="15">ROUND(T104/2,0)</f>
        <v>6</v>
      </c>
      <c r="T104" s="14">
        <v>12</v>
      </c>
      <c r="U104" s="22">
        <v>0</v>
      </c>
      <c r="V104" s="14">
        <v>0</v>
      </c>
      <c r="W104" s="14">
        <v>0</v>
      </c>
      <c r="X104" s="14">
        <v>0</v>
      </c>
      <c r="Y104" s="22">
        <v>0</v>
      </c>
      <c r="Z104" s="22">
        <v>0</v>
      </c>
      <c r="AA104" s="22">
        <v>0</v>
      </c>
      <c r="AB104" s="22">
        <v>0</v>
      </c>
      <c r="AC104" s="22">
        <v>0</v>
      </c>
      <c r="AD104" s="22">
        <v>0</v>
      </c>
      <c r="AE104" s="22"/>
      <c r="GR104" s="6"/>
      <c r="GS104" s="6"/>
      <c r="GT104" s="6"/>
      <c r="GU104" s="6"/>
      <c r="GV104" s="6"/>
      <c r="GW104" s="6"/>
      <c r="GX104" s="6"/>
      <c r="GY104" s="6"/>
      <c r="GZ104" s="6"/>
      <c r="HA104" s="6"/>
      <c r="HB104" s="6"/>
      <c r="HC104" s="6"/>
      <c r="HD104" s="6"/>
      <c r="HE104" s="6"/>
      <c r="HF104" s="6"/>
      <c r="HG104" s="6"/>
      <c r="HH104" s="6"/>
      <c r="HI104" s="6"/>
      <c r="HJ104" s="6"/>
      <c r="HK104" s="6"/>
      <c r="HL104" s="6"/>
      <c r="HM104" s="6"/>
      <c r="HN104" s="6"/>
      <c r="HO104" s="6"/>
      <c r="HP104" s="6"/>
    </row>
    <row r="105" spans="3:224" ht="20.100000000000001" customHeight="1">
      <c r="C105" s="11">
        <v>14070003</v>
      </c>
      <c r="D105" s="11" t="s">
        <v>148</v>
      </c>
      <c r="E105" s="14">
        <v>1140002</v>
      </c>
      <c r="F105" s="14">
        <v>0</v>
      </c>
      <c r="G105" s="14">
        <v>1</v>
      </c>
      <c r="H105" s="14">
        <v>20</v>
      </c>
      <c r="I105" s="22">
        <v>0.2</v>
      </c>
      <c r="J105" s="23">
        <v>10</v>
      </c>
      <c r="K105" s="14">
        <v>0</v>
      </c>
      <c r="L105" s="14">
        <v>0</v>
      </c>
      <c r="M105" s="14">
        <f t="shared" si="13"/>
        <v>30</v>
      </c>
      <c r="N105" s="14">
        <v>60</v>
      </c>
      <c r="O105" s="14">
        <v>0</v>
      </c>
      <c r="P105" s="14">
        <v>0</v>
      </c>
      <c r="Q105" s="14">
        <f t="shared" si="14"/>
        <v>0</v>
      </c>
      <c r="R105" s="14">
        <v>0</v>
      </c>
      <c r="S105" s="14">
        <f t="shared" si="15"/>
        <v>8</v>
      </c>
      <c r="T105" s="14">
        <v>15</v>
      </c>
      <c r="U105" s="22">
        <v>0</v>
      </c>
      <c r="V105" s="14">
        <v>0</v>
      </c>
      <c r="W105" s="14">
        <v>0</v>
      </c>
      <c r="X105" s="14">
        <v>0</v>
      </c>
      <c r="Y105" s="22">
        <v>0</v>
      </c>
      <c r="Z105" s="22">
        <v>0</v>
      </c>
      <c r="AA105" s="22">
        <v>0</v>
      </c>
      <c r="AB105" s="22">
        <v>0</v>
      </c>
      <c r="AC105" s="22">
        <v>0</v>
      </c>
      <c r="AD105" s="22">
        <v>0</v>
      </c>
      <c r="AE105" s="22"/>
      <c r="GR105" s="6"/>
      <c r="GS105" s="6"/>
      <c r="GT105" s="6"/>
      <c r="GU105" s="6"/>
      <c r="GV105" s="6"/>
      <c r="GW105" s="6"/>
      <c r="GX105" s="6"/>
      <c r="GY105" s="6"/>
      <c r="GZ105" s="6"/>
      <c r="HA105" s="6"/>
      <c r="HB105" s="6"/>
      <c r="HC105" s="6"/>
      <c r="HD105" s="6"/>
      <c r="HE105" s="6"/>
      <c r="HF105" s="6"/>
      <c r="HG105" s="6"/>
      <c r="HH105" s="6"/>
      <c r="HI105" s="6"/>
      <c r="HJ105" s="6"/>
      <c r="HK105" s="6"/>
      <c r="HL105" s="6"/>
      <c r="HM105" s="6"/>
      <c r="HN105" s="6"/>
      <c r="HO105" s="6"/>
      <c r="HP105" s="6"/>
    </row>
    <row r="106" spans="3:224" ht="20.100000000000001" customHeight="1">
      <c r="C106" s="11">
        <v>14070004</v>
      </c>
      <c r="D106" s="11" t="s">
        <v>149</v>
      </c>
      <c r="E106" s="14">
        <v>1140002</v>
      </c>
      <c r="F106" s="14">
        <v>0</v>
      </c>
      <c r="G106" s="14">
        <v>1</v>
      </c>
      <c r="H106" s="14">
        <v>20</v>
      </c>
      <c r="I106" s="22">
        <v>0.2</v>
      </c>
      <c r="J106" s="23">
        <v>10</v>
      </c>
      <c r="K106" s="14">
        <v>0</v>
      </c>
      <c r="L106" s="14">
        <v>0</v>
      </c>
      <c r="M106" s="14">
        <f t="shared" si="13"/>
        <v>38</v>
      </c>
      <c r="N106" s="14">
        <v>75</v>
      </c>
      <c r="O106" s="14">
        <v>0</v>
      </c>
      <c r="P106" s="14">
        <v>0</v>
      </c>
      <c r="Q106" s="14">
        <f t="shared" si="14"/>
        <v>0</v>
      </c>
      <c r="R106" s="14">
        <v>0</v>
      </c>
      <c r="S106" s="14">
        <f t="shared" si="15"/>
        <v>12</v>
      </c>
      <c r="T106" s="14">
        <v>23</v>
      </c>
      <c r="U106" s="22">
        <v>0</v>
      </c>
      <c r="V106" s="14">
        <v>0</v>
      </c>
      <c r="W106" s="14">
        <v>0</v>
      </c>
      <c r="X106" s="14">
        <v>0</v>
      </c>
      <c r="Y106" s="22">
        <v>0</v>
      </c>
      <c r="Z106" s="22">
        <v>0</v>
      </c>
      <c r="AA106" s="22">
        <v>0</v>
      </c>
      <c r="AB106" s="22">
        <v>0</v>
      </c>
      <c r="AC106" s="22">
        <v>0</v>
      </c>
      <c r="AD106" s="22">
        <v>0</v>
      </c>
      <c r="AE106" s="22"/>
      <c r="GR106" s="6"/>
      <c r="GS106" s="6"/>
      <c r="GT106" s="6"/>
      <c r="GU106" s="6"/>
      <c r="GV106" s="6"/>
      <c r="GW106" s="6"/>
      <c r="GX106" s="6"/>
      <c r="GY106" s="6"/>
      <c r="GZ106" s="6"/>
      <c r="HA106" s="6"/>
      <c r="HB106" s="6"/>
      <c r="HC106" s="6"/>
      <c r="HD106" s="6"/>
      <c r="HE106" s="6"/>
      <c r="HF106" s="6"/>
      <c r="HG106" s="6"/>
      <c r="HH106" s="6"/>
      <c r="HI106" s="6"/>
      <c r="HJ106" s="6"/>
      <c r="HK106" s="6"/>
      <c r="HL106" s="6"/>
      <c r="HM106" s="6"/>
      <c r="HN106" s="6"/>
      <c r="HO106" s="6"/>
      <c r="HP106" s="6"/>
    </row>
    <row r="107" spans="3:224" ht="20.100000000000001" customHeight="1">
      <c r="C107" s="11">
        <v>14080001</v>
      </c>
      <c r="D107" s="11" t="s">
        <v>150</v>
      </c>
      <c r="E107" s="14">
        <v>1140002</v>
      </c>
      <c r="F107" s="14">
        <v>0</v>
      </c>
      <c r="G107" s="14">
        <v>1</v>
      </c>
      <c r="H107" s="14">
        <v>20</v>
      </c>
      <c r="I107" s="22">
        <v>0.2</v>
      </c>
      <c r="J107" s="23">
        <v>5</v>
      </c>
      <c r="K107" s="14">
        <v>0</v>
      </c>
      <c r="L107" s="14">
        <v>0</v>
      </c>
      <c r="M107" s="14">
        <f t="shared" si="13"/>
        <v>5</v>
      </c>
      <c r="N107" s="14">
        <v>10</v>
      </c>
      <c r="O107" s="14">
        <v>0</v>
      </c>
      <c r="P107" s="14">
        <v>0</v>
      </c>
      <c r="Q107" s="14">
        <f t="shared" si="14"/>
        <v>0</v>
      </c>
      <c r="R107" s="14">
        <v>0</v>
      </c>
      <c r="S107" s="14">
        <f t="shared" si="15"/>
        <v>0</v>
      </c>
      <c r="T107" s="14">
        <v>0</v>
      </c>
      <c r="U107" s="22">
        <v>0</v>
      </c>
      <c r="V107" s="14">
        <v>0</v>
      </c>
      <c r="W107" s="14">
        <v>0</v>
      </c>
      <c r="X107" s="14">
        <v>0</v>
      </c>
      <c r="Y107" s="22">
        <v>0</v>
      </c>
      <c r="Z107" s="22">
        <v>0</v>
      </c>
      <c r="AA107" s="22">
        <v>0</v>
      </c>
      <c r="AB107" s="22">
        <v>0</v>
      </c>
      <c r="AC107" s="22">
        <v>0</v>
      </c>
      <c r="AD107" s="22">
        <v>0</v>
      </c>
      <c r="AE107" s="22"/>
      <c r="GR107" s="6"/>
      <c r="GS107" s="6"/>
      <c r="GT107" s="6"/>
      <c r="GU107" s="6"/>
      <c r="GV107" s="6"/>
      <c r="GW107" s="6"/>
      <c r="GX107" s="6"/>
      <c r="GY107" s="6"/>
      <c r="GZ107" s="6"/>
      <c r="HA107" s="6"/>
      <c r="HB107" s="6"/>
      <c r="HC107" s="6"/>
      <c r="HD107" s="6"/>
      <c r="HE107" s="6"/>
      <c r="HF107" s="6"/>
      <c r="HG107" s="6"/>
      <c r="HH107" s="6"/>
      <c r="HI107" s="6"/>
      <c r="HJ107" s="6"/>
      <c r="HK107" s="6"/>
      <c r="HL107" s="6"/>
      <c r="HM107" s="6"/>
      <c r="HN107" s="6"/>
      <c r="HO107" s="6"/>
      <c r="HP107" s="6"/>
    </row>
    <row r="108" spans="3:224" ht="20.100000000000001" customHeight="1">
      <c r="C108" s="11">
        <v>14080002</v>
      </c>
      <c r="D108" s="11" t="s">
        <v>151</v>
      </c>
      <c r="E108" s="14">
        <v>1140002</v>
      </c>
      <c r="F108" s="14">
        <v>0</v>
      </c>
      <c r="G108" s="14">
        <v>1</v>
      </c>
      <c r="H108" s="14">
        <v>20</v>
      </c>
      <c r="I108" s="22">
        <v>0.2</v>
      </c>
      <c r="J108" s="23">
        <v>5</v>
      </c>
      <c r="K108" s="14">
        <v>0</v>
      </c>
      <c r="L108" s="14">
        <v>0</v>
      </c>
      <c r="M108" s="14">
        <f t="shared" si="13"/>
        <v>8</v>
      </c>
      <c r="N108" s="14">
        <v>15</v>
      </c>
      <c r="O108" s="14">
        <v>0</v>
      </c>
      <c r="P108" s="14">
        <v>0</v>
      </c>
      <c r="Q108" s="14">
        <f t="shared" si="14"/>
        <v>0</v>
      </c>
      <c r="R108" s="14">
        <v>0</v>
      </c>
      <c r="S108" s="14">
        <f t="shared" si="15"/>
        <v>0</v>
      </c>
      <c r="T108" s="14">
        <v>0</v>
      </c>
      <c r="U108" s="22">
        <v>0</v>
      </c>
      <c r="V108" s="14">
        <v>0</v>
      </c>
      <c r="W108" s="14">
        <v>0</v>
      </c>
      <c r="X108" s="14">
        <v>0</v>
      </c>
      <c r="Y108" s="22">
        <v>0</v>
      </c>
      <c r="Z108" s="22">
        <v>0</v>
      </c>
      <c r="AA108" s="22">
        <v>0</v>
      </c>
      <c r="AB108" s="22">
        <v>0</v>
      </c>
      <c r="AC108" s="22">
        <v>0</v>
      </c>
      <c r="AD108" s="22">
        <v>0</v>
      </c>
      <c r="AE108" s="22"/>
      <c r="GR108" s="6"/>
      <c r="GS108" s="6"/>
      <c r="GT108" s="6"/>
      <c r="GU108" s="6"/>
      <c r="GV108" s="6"/>
      <c r="GW108" s="6"/>
      <c r="GX108" s="6"/>
      <c r="GY108" s="6"/>
      <c r="GZ108" s="6"/>
      <c r="HA108" s="6"/>
      <c r="HB108" s="6"/>
      <c r="HC108" s="6"/>
      <c r="HD108" s="6"/>
      <c r="HE108" s="6"/>
      <c r="HF108" s="6"/>
      <c r="HG108" s="6"/>
      <c r="HH108" s="6"/>
      <c r="HI108" s="6"/>
      <c r="HJ108" s="6"/>
      <c r="HK108" s="6"/>
      <c r="HL108" s="6"/>
      <c r="HM108" s="6"/>
      <c r="HN108" s="6"/>
      <c r="HO108" s="6"/>
      <c r="HP108" s="6"/>
    </row>
    <row r="109" spans="3:224" ht="20.100000000000001" customHeight="1">
      <c r="C109" s="11">
        <v>14080003</v>
      </c>
      <c r="D109" s="11" t="s">
        <v>152</v>
      </c>
      <c r="E109" s="14">
        <v>1140002</v>
      </c>
      <c r="F109" s="14">
        <v>0</v>
      </c>
      <c r="G109" s="14">
        <v>1</v>
      </c>
      <c r="H109" s="14">
        <v>20</v>
      </c>
      <c r="I109" s="22">
        <v>0.2</v>
      </c>
      <c r="J109" s="23">
        <v>10</v>
      </c>
      <c r="K109" s="14">
        <v>0</v>
      </c>
      <c r="L109" s="14">
        <v>0</v>
      </c>
      <c r="M109" s="14">
        <f t="shared" si="13"/>
        <v>10</v>
      </c>
      <c r="N109" s="14">
        <v>20</v>
      </c>
      <c r="O109" s="14">
        <v>0</v>
      </c>
      <c r="P109" s="14">
        <v>0</v>
      </c>
      <c r="Q109" s="14">
        <f t="shared" si="14"/>
        <v>0</v>
      </c>
      <c r="R109" s="14">
        <v>0</v>
      </c>
      <c r="S109" s="14">
        <f t="shared" si="15"/>
        <v>0</v>
      </c>
      <c r="T109" s="14">
        <v>0</v>
      </c>
      <c r="U109" s="22">
        <v>0</v>
      </c>
      <c r="V109" s="14">
        <v>0</v>
      </c>
      <c r="W109" s="14">
        <v>0</v>
      </c>
      <c r="X109" s="14">
        <v>0</v>
      </c>
      <c r="Y109" s="22">
        <v>0</v>
      </c>
      <c r="Z109" s="22">
        <v>0</v>
      </c>
      <c r="AA109" s="22">
        <v>0</v>
      </c>
      <c r="AB109" s="22">
        <v>0</v>
      </c>
      <c r="AC109" s="22">
        <v>0</v>
      </c>
      <c r="AD109" s="22">
        <v>0</v>
      </c>
      <c r="AE109" s="22"/>
      <c r="GR109" s="6"/>
      <c r="GS109" s="6"/>
      <c r="GT109" s="6"/>
      <c r="GU109" s="6"/>
      <c r="GV109" s="6"/>
      <c r="GW109" s="6"/>
      <c r="GX109" s="6"/>
      <c r="GY109" s="6"/>
      <c r="GZ109" s="6"/>
      <c r="HA109" s="6"/>
      <c r="HB109" s="6"/>
      <c r="HC109" s="6"/>
      <c r="HD109" s="6"/>
      <c r="HE109" s="6"/>
      <c r="HF109" s="6"/>
      <c r="HG109" s="6"/>
      <c r="HH109" s="6"/>
      <c r="HI109" s="6"/>
      <c r="HJ109" s="6"/>
      <c r="HK109" s="6"/>
      <c r="HL109" s="6"/>
      <c r="HM109" s="6"/>
      <c r="HN109" s="6"/>
      <c r="HO109" s="6"/>
      <c r="HP109" s="6"/>
    </row>
    <row r="110" spans="3:224" s="4" customFormat="1" ht="20.100000000000001" customHeight="1">
      <c r="C110" s="17">
        <v>14080004</v>
      </c>
      <c r="D110" s="18" t="s">
        <v>153</v>
      </c>
      <c r="E110" s="19">
        <v>1140002</v>
      </c>
      <c r="F110" s="19">
        <v>0</v>
      </c>
      <c r="G110" s="19">
        <v>1</v>
      </c>
      <c r="H110" s="19">
        <v>20</v>
      </c>
      <c r="I110" s="26">
        <v>0.2</v>
      </c>
      <c r="J110" s="27">
        <v>10</v>
      </c>
      <c r="K110" s="19">
        <v>0</v>
      </c>
      <c r="L110" s="19">
        <v>0</v>
      </c>
      <c r="M110" s="19">
        <f t="shared" ref="M110" si="16">ROUND(N110/2,0)</f>
        <v>13</v>
      </c>
      <c r="N110" s="19">
        <v>25</v>
      </c>
      <c r="O110" s="19">
        <v>0</v>
      </c>
      <c r="P110" s="19">
        <v>0</v>
      </c>
      <c r="Q110" s="19">
        <f t="shared" ref="Q110" si="17">ROUND(R110/2,0)</f>
        <v>0</v>
      </c>
      <c r="R110" s="19">
        <v>0</v>
      </c>
      <c r="S110" s="19">
        <f t="shared" ref="S110" si="18">ROUND(T110/2,0)</f>
        <v>0</v>
      </c>
      <c r="T110" s="19">
        <v>0</v>
      </c>
      <c r="U110" s="26">
        <v>0</v>
      </c>
      <c r="V110" s="19">
        <v>0</v>
      </c>
      <c r="W110" s="19">
        <v>0</v>
      </c>
      <c r="X110" s="19">
        <v>0</v>
      </c>
      <c r="Y110" s="26">
        <v>0</v>
      </c>
      <c r="Z110" s="26">
        <v>0</v>
      </c>
      <c r="AA110" s="26">
        <v>0</v>
      </c>
      <c r="AB110" s="26">
        <v>0</v>
      </c>
      <c r="AC110" s="26">
        <v>0</v>
      </c>
      <c r="AD110" s="26">
        <v>0</v>
      </c>
      <c r="AE110" s="26"/>
      <c r="AF110" s="34"/>
      <c r="AG110" s="34"/>
      <c r="AH110" s="34"/>
      <c r="AI110" s="34"/>
      <c r="AJ110" s="34"/>
      <c r="AK110" s="34"/>
      <c r="AL110" s="34"/>
      <c r="AM110" s="34"/>
      <c r="AN110" s="34"/>
      <c r="AO110" s="34"/>
      <c r="AP110" s="34"/>
      <c r="AQ110" s="34"/>
      <c r="AR110" s="34"/>
      <c r="AS110" s="34"/>
      <c r="AT110" s="34"/>
      <c r="AU110" s="34"/>
      <c r="AV110" s="34"/>
      <c r="AW110" s="34"/>
      <c r="AX110" s="34"/>
      <c r="AY110" s="34"/>
      <c r="AZ110" s="34"/>
      <c r="BA110" s="34"/>
      <c r="BB110" s="34"/>
      <c r="BC110" s="34"/>
      <c r="BD110" s="34"/>
      <c r="BE110" s="34"/>
      <c r="BF110" s="34"/>
      <c r="BG110" s="34"/>
      <c r="BH110" s="34"/>
      <c r="BI110" s="34"/>
      <c r="BJ110" s="34"/>
      <c r="BK110" s="34"/>
      <c r="BL110" s="34"/>
      <c r="BM110" s="34"/>
      <c r="BN110" s="34"/>
      <c r="BO110" s="34"/>
      <c r="BP110" s="34"/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  <c r="CE110" s="34"/>
      <c r="CF110" s="34"/>
      <c r="CG110" s="34"/>
      <c r="CH110" s="34"/>
      <c r="CI110" s="34"/>
      <c r="CJ110" s="34"/>
      <c r="CK110" s="34"/>
      <c r="CL110" s="34"/>
      <c r="CM110" s="34"/>
      <c r="CN110" s="34"/>
      <c r="CO110" s="34"/>
      <c r="CP110" s="34"/>
      <c r="CQ110" s="34"/>
      <c r="CR110" s="34"/>
      <c r="CS110" s="34"/>
      <c r="CT110" s="34"/>
      <c r="CU110" s="34"/>
      <c r="CV110" s="34"/>
      <c r="CW110" s="34"/>
      <c r="CX110" s="34"/>
      <c r="CY110" s="34"/>
      <c r="CZ110" s="34"/>
      <c r="DA110" s="34"/>
      <c r="DB110" s="34"/>
      <c r="DC110" s="34"/>
      <c r="DD110" s="34"/>
      <c r="DE110" s="34"/>
      <c r="DF110" s="34"/>
      <c r="DG110" s="34"/>
      <c r="DH110" s="34"/>
      <c r="DI110" s="34"/>
      <c r="DJ110" s="34"/>
      <c r="DK110" s="34"/>
      <c r="DL110" s="34"/>
      <c r="DM110" s="34"/>
      <c r="DN110" s="34"/>
      <c r="DO110" s="34"/>
      <c r="DP110" s="34"/>
      <c r="DQ110" s="34"/>
      <c r="DR110" s="34"/>
      <c r="DS110" s="34"/>
      <c r="DT110" s="34"/>
      <c r="DU110" s="34"/>
      <c r="DV110" s="34"/>
      <c r="DW110" s="34"/>
      <c r="DX110" s="34"/>
      <c r="DY110" s="34"/>
      <c r="DZ110" s="34"/>
      <c r="EA110" s="34"/>
      <c r="EB110" s="34"/>
      <c r="EC110" s="34"/>
      <c r="ED110" s="34"/>
      <c r="EE110" s="34"/>
      <c r="EF110" s="34"/>
      <c r="EG110" s="34"/>
      <c r="EH110" s="34"/>
      <c r="EI110" s="34"/>
      <c r="EJ110" s="34"/>
      <c r="EK110" s="34"/>
      <c r="EL110" s="34"/>
      <c r="EM110" s="34"/>
      <c r="EN110" s="34"/>
      <c r="EO110" s="34"/>
      <c r="EP110" s="34"/>
      <c r="EQ110" s="34"/>
      <c r="ER110" s="34"/>
      <c r="ES110" s="34"/>
      <c r="ET110" s="34"/>
      <c r="EU110" s="34"/>
      <c r="EV110" s="34"/>
      <c r="EW110" s="34"/>
      <c r="EX110" s="34"/>
      <c r="EY110" s="34"/>
      <c r="EZ110" s="34"/>
      <c r="FA110" s="34"/>
      <c r="FB110" s="34"/>
      <c r="FC110" s="34"/>
      <c r="FD110" s="34"/>
      <c r="FE110" s="34"/>
      <c r="FF110" s="34"/>
      <c r="FG110" s="34"/>
      <c r="FH110" s="34"/>
      <c r="FI110" s="34"/>
      <c r="FJ110" s="34"/>
      <c r="FK110" s="34"/>
      <c r="FL110" s="34"/>
      <c r="FM110" s="34"/>
      <c r="FN110" s="34"/>
      <c r="FO110" s="34"/>
      <c r="FP110" s="34"/>
      <c r="FQ110" s="34"/>
      <c r="FR110" s="34"/>
      <c r="FS110" s="34"/>
      <c r="FT110" s="34"/>
      <c r="FU110" s="34"/>
      <c r="FV110" s="34"/>
      <c r="FW110" s="34"/>
      <c r="FX110" s="34"/>
      <c r="FY110" s="34"/>
      <c r="FZ110" s="34"/>
      <c r="GA110" s="34"/>
      <c r="GB110" s="34"/>
      <c r="GC110" s="34"/>
      <c r="GD110" s="34"/>
      <c r="GE110" s="34"/>
      <c r="GF110" s="34"/>
      <c r="GG110" s="34"/>
      <c r="GH110" s="34"/>
      <c r="GI110" s="34"/>
      <c r="GJ110" s="34"/>
      <c r="GK110" s="34"/>
      <c r="GL110" s="34"/>
      <c r="GM110" s="34"/>
      <c r="GN110" s="34"/>
      <c r="GO110" s="34"/>
      <c r="GP110" s="34"/>
      <c r="GQ110" s="34"/>
      <c r="GR110" s="34"/>
      <c r="GS110" s="34"/>
      <c r="GT110" s="34"/>
      <c r="GU110" s="34"/>
      <c r="GV110" s="34"/>
      <c r="GW110" s="34"/>
      <c r="GX110" s="34"/>
      <c r="GY110" s="34"/>
      <c r="GZ110" s="34"/>
      <c r="HA110" s="34"/>
      <c r="HB110" s="34"/>
      <c r="HC110" s="34"/>
      <c r="HD110" s="34"/>
      <c r="HE110" s="34"/>
      <c r="HF110" s="34"/>
      <c r="HG110" s="34"/>
      <c r="HH110" s="34"/>
      <c r="HI110" s="34"/>
      <c r="HJ110" s="34"/>
      <c r="HK110" s="34"/>
      <c r="HL110" s="34"/>
      <c r="HM110" s="34"/>
      <c r="HN110" s="34"/>
      <c r="HO110" s="34"/>
      <c r="HP110" s="34"/>
    </row>
    <row r="111" spans="3:224" ht="20.100000000000001" customHeight="1">
      <c r="C111" s="11">
        <v>14090001</v>
      </c>
      <c r="D111" s="11" t="s">
        <v>154</v>
      </c>
      <c r="E111" s="14">
        <v>1140001</v>
      </c>
      <c r="F111" s="14">
        <v>0</v>
      </c>
      <c r="G111" s="14">
        <v>1</v>
      </c>
      <c r="H111" s="14">
        <v>20</v>
      </c>
      <c r="I111" s="22">
        <v>0.2</v>
      </c>
      <c r="J111" s="23">
        <v>5</v>
      </c>
      <c r="K111" s="14">
        <v>0</v>
      </c>
      <c r="L111" s="14">
        <v>840</v>
      </c>
      <c r="M111" s="14">
        <f t="shared" si="13"/>
        <v>0</v>
      </c>
      <c r="N111" s="14">
        <v>0</v>
      </c>
      <c r="O111" s="14">
        <v>0</v>
      </c>
      <c r="P111" s="14">
        <v>0</v>
      </c>
      <c r="Q111" s="14">
        <f t="shared" si="14"/>
        <v>0</v>
      </c>
      <c r="R111" s="14">
        <v>0</v>
      </c>
      <c r="S111" s="14">
        <f t="shared" si="15"/>
        <v>0</v>
      </c>
      <c r="T111" s="14">
        <v>0</v>
      </c>
      <c r="U111" s="22">
        <v>0</v>
      </c>
      <c r="V111" s="14">
        <v>0</v>
      </c>
      <c r="W111" s="14">
        <v>0</v>
      </c>
      <c r="X111" s="14">
        <v>0</v>
      </c>
      <c r="Y111" s="22">
        <v>0</v>
      </c>
      <c r="Z111" s="22">
        <v>0</v>
      </c>
      <c r="AA111" s="22">
        <v>0</v>
      </c>
      <c r="AB111" s="22">
        <v>0</v>
      </c>
      <c r="AC111" s="22">
        <v>0</v>
      </c>
      <c r="AD111" s="22">
        <v>0</v>
      </c>
      <c r="AE111" s="22"/>
      <c r="GR111" s="6"/>
      <c r="GS111" s="6"/>
      <c r="GT111" s="6"/>
      <c r="GU111" s="6"/>
      <c r="GV111" s="6"/>
      <c r="GW111" s="6"/>
      <c r="GX111" s="6"/>
      <c r="GY111" s="6"/>
      <c r="GZ111" s="6"/>
      <c r="HA111" s="6"/>
      <c r="HB111" s="6"/>
      <c r="HC111" s="6"/>
      <c r="HD111" s="6"/>
      <c r="HE111" s="6"/>
      <c r="HF111" s="6"/>
      <c r="HG111" s="6"/>
      <c r="HH111" s="6"/>
      <c r="HI111" s="6"/>
      <c r="HJ111" s="6"/>
      <c r="HK111" s="6"/>
      <c r="HL111" s="6"/>
      <c r="HM111" s="6"/>
      <c r="HN111" s="6"/>
      <c r="HO111" s="6"/>
      <c r="HP111" s="6"/>
    </row>
    <row r="112" spans="3:224" ht="20.100000000000001" customHeight="1">
      <c r="C112" s="11">
        <v>14090002</v>
      </c>
      <c r="D112" s="11" t="s">
        <v>155</v>
      </c>
      <c r="E112" s="14">
        <v>1140001</v>
      </c>
      <c r="F112" s="14">
        <v>0</v>
      </c>
      <c r="G112" s="14">
        <v>1</v>
      </c>
      <c r="H112" s="14">
        <v>20</v>
      </c>
      <c r="I112" s="22">
        <v>0.2</v>
      </c>
      <c r="J112" s="23">
        <v>5</v>
      </c>
      <c r="K112" s="14">
        <v>0</v>
      </c>
      <c r="L112" s="14">
        <v>1580</v>
      </c>
      <c r="M112" s="14">
        <f t="shared" si="13"/>
        <v>0</v>
      </c>
      <c r="N112" s="14">
        <v>0</v>
      </c>
      <c r="O112" s="14">
        <v>0</v>
      </c>
      <c r="P112" s="14">
        <v>0</v>
      </c>
      <c r="Q112" s="14">
        <f t="shared" si="14"/>
        <v>0</v>
      </c>
      <c r="R112" s="14">
        <v>0</v>
      </c>
      <c r="S112" s="14">
        <f t="shared" si="15"/>
        <v>0</v>
      </c>
      <c r="T112" s="14">
        <v>0</v>
      </c>
      <c r="U112" s="22">
        <v>0</v>
      </c>
      <c r="V112" s="14">
        <v>0</v>
      </c>
      <c r="W112" s="14">
        <v>0</v>
      </c>
      <c r="X112" s="14">
        <v>0</v>
      </c>
      <c r="Y112" s="22">
        <v>0</v>
      </c>
      <c r="Z112" s="22">
        <v>0</v>
      </c>
      <c r="AA112" s="22">
        <v>0</v>
      </c>
      <c r="AB112" s="22">
        <v>0</v>
      </c>
      <c r="AC112" s="22">
        <v>0</v>
      </c>
      <c r="AD112" s="22">
        <v>0</v>
      </c>
      <c r="AE112" s="22"/>
      <c r="GR112" s="6"/>
      <c r="GS112" s="6"/>
      <c r="GT112" s="6"/>
      <c r="GU112" s="6"/>
      <c r="GV112" s="6"/>
      <c r="GW112" s="6"/>
      <c r="GX112" s="6"/>
      <c r="GY112" s="6"/>
      <c r="GZ112" s="6"/>
      <c r="HA112" s="6"/>
      <c r="HB112" s="6"/>
      <c r="HC112" s="6"/>
      <c r="HD112" s="6"/>
      <c r="HE112" s="6"/>
      <c r="HF112" s="6"/>
      <c r="HG112" s="6"/>
      <c r="HH112" s="6"/>
      <c r="HI112" s="6"/>
      <c r="HJ112" s="6"/>
      <c r="HK112" s="6"/>
      <c r="HL112" s="6"/>
      <c r="HM112" s="6"/>
      <c r="HN112" s="6"/>
      <c r="HO112" s="6"/>
      <c r="HP112" s="6"/>
    </row>
    <row r="113" spans="3:224" ht="20.100000000000001" customHeight="1">
      <c r="C113" s="11">
        <v>14090003</v>
      </c>
      <c r="D113" s="11" t="s">
        <v>156</v>
      </c>
      <c r="E113" s="14">
        <v>1140001</v>
      </c>
      <c r="F113" s="14">
        <v>0</v>
      </c>
      <c r="G113" s="14">
        <v>1</v>
      </c>
      <c r="H113" s="14">
        <v>20</v>
      </c>
      <c r="I113" s="22">
        <v>0.2</v>
      </c>
      <c r="J113" s="23">
        <v>10</v>
      </c>
      <c r="K113" s="14">
        <v>0</v>
      </c>
      <c r="L113" s="14">
        <v>2100</v>
      </c>
      <c r="M113" s="14">
        <f t="shared" si="13"/>
        <v>0</v>
      </c>
      <c r="N113" s="14">
        <v>0</v>
      </c>
      <c r="O113" s="14">
        <v>0</v>
      </c>
      <c r="P113" s="14">
        <v>0</v>
      </c>
      <c r="Q113" s="14">
        <f t="shared" si="14"/>
        <v>0</v>
      </c>
      <c r="R113" s="14">
        <v>0</v>
      </c>
      <c r="S113" s="14">
        <f t="shared" si="15"/>
        <v>0</v>
      </c>
      <c r="T113" s="14">
        <v>0</v>
      </c>
      <c r="U113" s="22">
        <v>0</v>
      </c>
      <c r="V113" s="14">
        <v>0</v>
      </c>
      <c r="W113" s="14">
        <v>0</v>
      </c>
      <c r="X113" s="14">
        <v>0</v>
      </c>
      <c r="Y113" s="22">
        <v>0</v>
      </c>
      <c r="Z113" s="22">
        <v>0</v>
      </c>
      <c r="AA113" s="22">
        <v>0</v>
      </c>
      <c r="AB113" s="22">
        <v>0</v>
      </c>
      <c r="AC113" s="22">
        <v>0</v>
      </c>
      <c r="AD113" s="22">
        <v>0</v>
      </c>
      <c r="AE113" s="22"/>
      <c r="GR113" s="6"/>
      <c r="GS113" s="6"/>
      <c r="GT113" s="6"/>
      <c r="GU113" s="6"/>
      <c r="GV113" s="6"/>
      <c r="GW113" s="6"/>
      <c r="GX113" s="6"/>
      <c r="GY113" s="6"/>
      <c r="GZ113" s="6"/>
      <c r="HA113" s="6"/>
      <c r="HB113" s="6"/>
      <c r="HC113" s="6"/>
      <c r="HD113" s="6"/>
      <c r="HE113" s="6"/>
      <c r="HF113" s="6"/>
      <c r="HG113" s="6"/>
      <c r="HH113" s="6"/>
      <c r="HI113" s="6"/>
      <c r="HJ113" s="6"/>
      <c r="HK113" s="6"/>
      <c r="HL113" s="6"/>
      <c r="HM113" s="6"/>
      <c r="HN113" s="6"/>
      <c r="HO113" s="6"/>
      <c r="HP113" s="6"/>
    </row>
    <row r="114" spans="3:224" s="4" customFormat="1" ht="20.100000000000001" customHeight="1">
      <c r="C114" s="17">
        <v>14090004</v>
      </c>
      <c r="D114" s="18" t="s">
        <v>157</v>
      </c>
      <c r="E114" s="19">
        <v>1140001</v>
      </c>
      <c r="F114" s="19">
        <v>0</v>
      </c>
      <c r="G114" s="19">
        <v>1</v>
      </c>
      <c r="H114" s="19">
        <v>20</v>
      </c>
      <c r="I114" s="26">
        <v>0.2</v>
      </c>
      <c r="J114" s="27">
        <v>10</v>
      </c>
      <c r="K114" s="19">
        <v>0</v>
      </c>
      <c r="L114" s="19">
        <v>2500</v>
      </c>
      <c r="M114" s="19">
        <f t="shared" ref="M114" si="19">ROUND(N114/2,0)</f>
        <v>0</v>
      </c>
      <c r="N114" s="19">
        <v>0</v>
      </c>
      <c r="O114" s="19">
        <v>0</v>
      </c>
      <c r="P114" s="19">
        <v>0</v>
      </c>
      <c r="Q114" s="19">
        <f t="shared" ref="Q114" si="20">ROUND(R114/2,0)</f>
        <v>0</v>
      </c>
      <c r="R114" s="19">
        <v>0</v>
      </c>
      <c r="S114" s="19">
        <f t="shared" ref="S114" si="21">ROUND(T114/2,0)</f>
        <v>0</v>
      </c>
      <c r="T114" s="19">
        <v>0</v>
      </c>
      <c r="U114" s="26">
        <v>0</v>
      </c>
      <c r="V114" s="19">
        <v>0</v>
      </c>
      <c r="W114" s="19">
        <v>0</v>
      </c>
      <c r="X114" s="19">
        <v>0</v>
      </c>
      <c r="Y114" s="26">
        <v>0</v>
      </c>
      <c r="Z114" s="26">
        <v>0</v>
      </c>
      <c r="AA114" s="26">
        <v>0</v>
      </c>
      <c r="AB114" s="26">
        <v>100202</v>
      </c>
      <c r="AC114" s="26">
        <v>300</v>
      </c>
      <c r="AD114" s="26">
        <v>1</v>
      </c>
      <c r="AE114" s="26"/>
      <c r="AF114" s="34"/>
      <c r="AG114" s="34"/>
      <c r="AH114" s="34"/>
      <c r="AI114" s="34"/>
      <c r="AJ114" s="34"/>
      <c r="AK114" s="34"/>
      <c r="AL114" s="34"/>
      <c r="AM114" s="34"/>
      <c r="AN114" s="34"/>
      <c r="AO114" s="34"/>
      <c r="AP114" s="34"/>
      <c r="AQ114" s="34"/>
      <c r="AR114" s="34"/>
      <c r="AS114" s="34"/>
      <c r="AT114" s="34"/>
      <c r="AU114" s="34"/>
      <c r="AV114" s="34"/>
      <c r="AW114" s="34"/>
      <c r="AX114" s="34"/>
      <c r="AY114" s="34"/>
      <c r="AZ114" s="34"/>
      <c r="BA114" s="34"/>
      <c r="BB114" s="34"/>
      <c r="BC114" s="34"/>
      <c r="BD114" s="34"/>
      <c r="BE114" s="34"/>
      <c r="BF114" s="34"/>
      <c r="BG114" s="34"/>
      <c r="BH114" s="34"/>
      <c r="BI114" s="34"/>
      <c r="BJ114" s="34"/>
      <c r="BK114" s="34"/>
      <c r="BL114" s="34"/>
      <c r="BM114" s="34"/>
      <c r="BN114" s="34"/>
      <c r="BO114" s="34"/>
      <c r="BP114" s="34"/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  <c r="CE114" s="34"/>
      <c r="CF114" s="34"/>
      <c r="CG114" s="34"/>
      <c r="CH114" s="34"/>
      <c r="CI114" s="34"/>
      <c r="CJ114" s="34"/>
      <c r="CK114" s="34"/>
      <c r="CL114" s="34"/>
      <c r="CM114" s="34"/>
      <c r="CN114" s="34"/>
      <c r="CO114" s="34"/>
      <c r="CP114" s="34"/>
      <c r="CQ114" s="34"/>
      <c r="CR114" s="34"/>
      <c r="CS114" s="34"/>
      <c r="CT114" s="34"/>
      <c r="CU114" s="34"/>
      <c r="CV114" s="34"/>
      <c r="CW114" s="34"/>
      <c r="CX114" s="34"/>
      <c r="CY114" s="34"/>
      <c r="CZ114" s="34"/>
      <c r="DA114" s="34"/>
      <c r="DB114" s="34"/>
      <c r="DC114" s="34"/>
      <c r="DD114" s="34"/>
      <c r="DE114" s="34"/>
      <c r="DF114" s="34"/>
      <c r="DG114" s="34"/>
      <c r="DH114" s="34"/>
      <c r="DI114" s="34"/>
      <c r="DJ114" s="34"/>
      <c r="DK114" s="34"/>
      <c r="DL114" s="34"/>
      <c r="DM114" s="34"/>
      <c r="DN114" s="34"/>
      <c r="DO114" s="34"/>
      <c r="DP114" s="34"/>
      <c r="DQ114" s="34"/>
      <c r="DR114" s="34"/>
      <c r="DS114" s="34"/>
      <c r="DT114" s="34"/>
      <c r="DU114" s="34"/>
      <c r="DV114" s="34"/>
      <c r="DW114" s="34"/>
      <c r="DX114" s="34"/>
      <c r="DY114" s="34"/>
      <c r="DZ114" s="34"/>
      <c r="EA114" s="34"/>
      <c r="EB114" s="34"/>
      <c r="EC114" s="34"/>
      <c r="ED114" s="34"/>
      <c r="EE114" s="34"/>
      <c r="EF114" s="34"/>
      <c r="EG114" s="34"/>
      <c r="EH114" s="34"/>
      <c r="EI114" s="34"/>
      <c r="EJ114" s="34"/>
      <c r="EK114" s="34"/>
      <c r="EL114" s="34"/>
      <c r="EM114" s="34"/>
      <c r="EN114" s="34"/>
      <c r="EO114" s="34"/>
      <c r="EP114" s="34"/>
      <c r="EQ114" s="34"/>
      <c r="ER114" s="34"/>
      <c r="ES114" s="34"/>
      <c r="ET114" s="34"/>
      <c r="EU114" s="34"/>
      <c r="EV114" s="34"/>
      <c r="EW114" s="34"/>
      <c r="EX114" s="34"/>
      <c r="EY114" s="34"/>
      <c r="EZ114" s="34"/>
      <c r="FA114" s="34"/>
      <c r="FB114" s="34"/>
      <c r="FC114" s="34"/>
      <c r="FD114" s="34"/>
      <c r="FE114" s="34"/>
      <c r="FF114" s="34"/>
      <c r="FG114" s="34"/>
      <c r="FH114" s="34"/>
      <c r="FI114" s="34"/>
      <c r="FJ114" s="34"/>
      <c r="FK114" s="34"/>
      <c r="FL114" s="34"/>
      <c r="FM114" s="34"/>
      <c r="FN114" s="34"/>
      <c r="FO114" s="34"/>
      <c r="FP114" s="34"/>
      <c r="FQ114" s="34"/>
      <c r="FR114" s="34"/>
      <c r="FS114" s="34"/>
      <c r="FT114" s="34"/>
      <c r="FU114" s="34"/>
      <c r="FV114" s="34"/>
      <c r="FW114" s="34"/>
      <c r="FX114" s="34"/>
      <c r="FY114" s="34"/>
      <c r="FZ114" s="34"/>
      <c r="GA114" s="34"/>
      <c r="GB114" s="34"/>
      <c r="GC114" s="34"/>
      <c r="GD114" s="34"/>
      <c r="GE114" s="34"/>
      <c r="GF114" s="34"/>
      <c r="GG114" s="34"/>
      <c r="GH114" s="34"/>
      <c r="GI114" s="34"/>
      <c r="GJ114" s="34"/>
      <c r="GK114" s="34"/>
      <c r="GL114" s="34"/>
      <c r="GM114" s="34"/>
      <c r="GN114" s="34"/>
      <c r="GO114" s="34"/>
      <c r="GP114" s="34"/>
      <c r="GQ114" s="34"/>
      <c r="GR114" s="34"/>
      <c r="GS114" s="34"/>
      <c r="GT114" s="34"/>
      <c r="GU114" s="34"/>
      <c r="GV114" s="34"/>
      <c r="GW114" s="34"/>
      <c r="GX114" s="34"/>
      <c r="GY114" s="34"/>
      <c r="GZ114" s="34"/>
      <c r="HA114" s="34"/>
      <c r="HB114" s="34"/>
      <c r="HC114" s="34"/>
      <c r="HD114" s="34"/>
      <c r="HE114" s="34"/>
      <c r="HF114" s="34"/>
      <c r="HG114" s="34"/>
      <c r="HH114" s="34"/>
      <c r="HI114" s="34"/>
      <c r="HJ114" s="34"/>
      <c r="HK114" s="34"/>
      <c r="HL114" s="34"/>
      <c r="HM114" s="34"/>
      <c r="HN114" s="34"/>
      <c r="HO114" s="34"/>
      <c r="HP114" s="34"/>
    </row>
    <row r="115" spans="3:224" ht="20.100000000000001" customHeight="1">
      <c r="C115" s="11">
        <v>14100001</v>
      </c>
      <c r="D115" s="11" t="s">
        <v>158</v>
      </c>
      <c r="E115" s="14">
        <v>1140001</v>
      </c>
      <c r="F115" s="14">
        <v>0</v>
      </c>
      <c r="G115" s="14">
        <v>1</v>
      </c>
      <c r="H115" s="14">
        <v>20</v>
      </c>
      <c r="I115" s="22">
        <v>0.2</v>
      </c>
      <c r="J115" s="23">
        <v>5</v>
      </c>
      <c r="K115" s="14">
        <v>0</v>
      </c>
      <c r="L115" s="14">
        <v>0</v>
      </c>
      <c r="M115" s="14">
        <f t="shared" si="13"/>
        <v>35</v>
      </c>
      <c r="N115" s="14">
        <v>70</v>
      </c>
      <c r="O115" s="14">
        <v>0</v>
      </c>
      <c r="P115" s="14">
        <v>0</v>
      </c>
      <c r="Q115" s="14">
        <f t="shared" si="14"/>
        <v>0</v>
      </c>
      <c r="R115" s="14">
        <v>0</v>
      </c>
      <c r="S115" s="14">
        <f t="shared" si="15"/>
        <v>0</v>
      </c>
      <c r="T115" s="14">
        <v>0</v>
      </c>
      <c r="U115" s="22">
        <v>0</v>
      </c>
      <c r="V115" s="14">
        <v>0</v>
      </c>
      <c r="W115" s="14">
        <v>0</v>
      </c>
      <c r="X115" s="14">
        <v>0</v>
      </c>
      <c r="Y115" s="22">
        <v>0</v>
      </c>
      <c r="Z115" s="22">
        <v>0</v>
      </c>
      <c r="AA115" s="22">
        <v>0</v>
      </c>
      <c r="AB115" s="22">
        <v>0</v>
      </c>
      <c r="AC115" s="22">
        <v>0</v>
      </c>
      <c r="AD115" s="22">
        <v>0</v>
      </c>
      <c r="AE115" s="22"/>
      <c r="GR115" s="6"/>
      <c r="GS115" s="6"/>
      <c r="GT115" s="6"/>
      <c r="GU115" s="6"/>
      <c r="GV115" s="6"/>
      <c r="GW115" s="6"/>
      <c r="GX115" s="6"/>
      <c r="GY115" s="6"/>
      <c r="GZ115" s="6"/>
      <c r="HA115" s="6"/>
      <c r="HB115" s="6"/>
      <c r="HC115" s="6"/>
      <c r="HD115" s="6"/>
      <c r="HE115" s="6"/>
      <c r="HF115" s="6"/>
      <c r="HG115" s="6"/>
      <c r="HH115" s="6"/>
      <c r="HI115" s="6"/>
      <c r="HJ115" s="6"/>
      <c r="HK115" s="6"/>
      <c r="HL115" s="6"/>
      <c r="HM115" s="6"/>
      <c r="HN115" s="6"/>
      <c r="HO115" s="6"/>
      <c r="HP115" s="6"/>
    </row>
    <row r="116" spans="3:224" ht="20.100000000000001" customHeight="1">
      <c r="C116" s="11">
        <v>14100002</v>
      </c>
      <c r="D116" s="11" t="s">
        <v>159</v>
      </c>
      <c r="E116" s="14">
        <v>1140001</v>
      </c>
      <c r="F116" s="14">
        <v>0</v>
      </c>
      <c r="G116" s="14">
        <v>1</v>
      </c>
      <c r="H116" s="14">
        <v>20</v>
      </c>
      <c r="I116" s="22">
        <v>0.2</v>
      </c>
      <c r="J116" s="23">
        <v>5</v>
      </c>
      <c r="K116" s="14">
        <v>0</v>
      </c>
      <c r="L116" s="14">
        <v>0</v>
      </c>
      <c r="M116" s="14">
        <f t="shared" si="13"/>
        <v>65</v>
      </c>
      <c r="N116" s="14">
        <v>130</v>
      </c>
      <c r="O116" s="14">
        <v>0</v>
      </c>
      <c r="P116" s="14">
        <v>0</v>
      </c>
      <c r="Q116" s="14">
        <f t="shared" si="14"/>
        <v>0</v>
      </c>
      <c r="R116" s="14">
        <v>0</v>
      </c>
      <c r="S116" s="14">
        <f t="shared" si="15"/>
        <v>0</v>
      </c>
      <c r="T116" s="14">
        <v>0</v>
      </c>
      <c r="U116" s="22">
        <v>0</v>
      </c>
      <c r="V116" s="14">
        <v>0</v>
      </c>
      <c r="W116" s="14">
        <v>0</v>
      </c>
      <c r="X116" s="14">
        <v>0</v>
      </c>
      <c r="Y116" s="22">
        <v>0</v>
      </c>
      <c r="Z116" s="22">
        <v>0</v>
      </c>
      <c r="AA116" s="22">
        <v>0</v>
      </c>
      <c r="AB116" s="22">
        <v>0</v>
      </c>
      <c r="AC116" s="22">
        <v>0</v>
      </c>
      <c r="AD116" s="22">
        <v>0</v>
      </c>
      <c r="AE116" s="22"/>
      <c r="GR116" s="6"/>
      <c r="GS116" s="6"/>
      <c r="GT116" s="6"/>
      <c r="GU116" s="6"/>
      <c r="GV116" s="6"/>
      <c r="GW116" s="6"/>
      <c r="GX116" s="6"/>
      <c r="GY116" s="6"/>
      <c r="GZ116" s="6"/>
      <c r="HA116" s="6"/>
      <c r="HB116" s="6"/>
      <c r="HC116" s="6"/>
      <c r="HD116" s="6"/>
      <c r="HE116" s="6"/>
      <c r="HF116" s="6"/>
      <c r="HG116" s="6"/>
      <c r="HH116" s="6"/>
      <c r="HI116" s="6"/>
      <c r="HJ116" s="6"/>
      <c r="HK116" s="6"/>
      <c r="HL116" s="6"/>
      <c r="HM116" s="6"/>
      <c r="HN116" s="6"/>
      <c r="HO116" s="6"/>
      <c r="HP116" s="6"/>
    </row>
    <row r="117" spans="3:224" ht="20.100000000000001" customHeight="1">
      <c r="C117" s="11">
        <v>14100003</v>
      </c>
      <c r="D117" s="11" t="s">
        <v>160</v>
      </c>
      <c r="E117" s="14">
        <v>1140001</v>
      </c>
      <c r="F117" s="14">
        <v>0</v>
      </c>
      <c r="G117" s="14">
        <v>1</v>
      </c>
      <c r="H117" s="14">
        <v>20</v>
      </c>
      <c r="I117" s="22">
        <v>0.2</v>
      </c>
      <c r="J117" s="23">
        <v>5</v>
      </c>
      <c r="K117" s="14">
        <v>0</v>
      </c>
      <c r="L117" s="14">
        <v>0</v>
      </c>
      <c r="M117" s="14">
        <f t="shared" si="13"/>
        <v>88</v>
      </c>
      <c r="N117" s="14">
        <v>175</v>
      </c>
      <c r="O117" s="14">
        <v>0</v>
      </c>
      <c r="P117" s="14">
        <v>0</v>
      </c>
      <c r="Q117" s="14">
        <f t="shared" si="14"/>
        <v>0</v>
      </c>
      <c r="R117" s="14">
        <v>0</v>
      </c>
      <c r="S117" s="14">
        <f t="shared" si="15"/>
        <v>0</v>
      </c>
      <c r="T117" s="14">
        <v>0</v>
      </c>
      <c r="U117" s="22">
        <v>0</v>
      </c>
      <c r="V117" s="14">
        <v>0</v>
      </c>
      <c r="W117" s="14">
        <v>0</v>
      </c>
      <c r="X117" s="14">
        <v>0</v>
      </c>
      <c r="Y117" s="22">
        <v>0</v>
      </c>
      <c r="Z117" s="22">
        <v>0</v>
      </c>
      <c r="AA117" s="22">
        <v>0</v>
      </c>
      <c r="AB117" s="22">
        <v>0</v>
      </c>
      <c r="AC117" s="22">
        <v>0</v>
      </c>
      <c r="AD117" s="22">
        <v>0</v>
      </c>
      <c r="AE117" s="22"/>
      <c r="GR117" s="6"/>
      <c r="GS117" s="6"/>
      <c r="GT117" s="6"/>
      <c r="GU117" s="6"/>
      <c r="GV117" s="6"/>
      <c r="GW117" s="6"/>
      <c r="GX117" s="6"/>
      <c r="GY117" s="6"/>
      <c r="GZ117" s="6"/>
      <c r="HA117" s="6"/>
      <c r="HB117" s="6"/>
      <c r="HC117" s="6"/>
      <c r="HD117" s="6"/>
      <c r="HE117" s="6"/>
      <c r="HF117" s="6"/>
      <c r="HG117" s="6"/>
      <c r="HH117" s="6"/>
      <c r="HI117" s="6"/>
      <c r="HJ117" s="6"/>
      <c r="HK117" s="6"/>
      <c r="HL117" s="6"/>
      <c r="HM117" s="6"/>
      <c r="HN117" s="6"/>
      <c r="HO117" s="6"/>
      <c r="HP117" s="6"/>
    </row>
    <row r="118" spans="3:224" ht="20.100000000000001" customHeight="1">
      <c r="C118" s="11">
        <v>14100004</v>
      </c>
      <c r="D118" s="11" t="s">
        <v>161</v>
      </c>
      <c r="E118" s="14">
        <v>1140001</v>
      </c>
      <c r="F118" s="14">
        <v>0</v>
      </c>
      <c r="G118" s="14">
        <v>1</v>
      </c>
      <c r="H118" s="14">
        <v>20</v>
      </c>
      <c r="I118" s="22">
        <v>0.2</v>
      </c>
      <c r="J118" s="23">
        <v>10</v>
      </c>
      <c r="K118" s="14">
        <v>0</v>
      </c>
      <c r="L118" s="14">
        <v>0</v>
      </c>
      <c r="M118" s="14">
        <f t="shared" si="13"/>
        <v>105</v>
      </c>
      <c r="N118" s="14">
        <v>210</v>
      </c>
      <c r="O118" s="14">
        <v>0</v>
      </c>
      <c r="P118" s="14">
        <v>0</v>
      </c>
      <c r="Q118" s="14">
        <f t="shared" si="14"/>
        <v>0</v>
      </c>
      <c r="R118" s="14">
        <v>0</v>
      </c>
      <c r="S118" s="14">
        <f t="shared" si="15"/>
        <v>0</v>
      </c>
      <c r="T118" s="14">
        <v>0</v>
      </c>
      <c r="U118" s="22">
        <v>0</v>
      </c>
      <c r="V118" s="14">
        <v>0</v>
      </c>
      <c r="W118" s="14">
        <v>0</v>
      </c>
      <c r="X118" s="14">
        <v>0</v>
      </c>
      <c r="Y118" s="22">
        <v>0</v>
      </c>
      <c r="Z118" s="22">
        <v>0</v>
      </c>
      <c r="AA118" s="22">
        <v>0</v>
      </c>
      <c r="AB118" s="22">
        <v>0</v>
      </c>
      <c r="AC118" s="22">
        <v>0</v>
      </c>
      <c r="AD118" s="22">
        <v>0</v>
      </c>
      <c r="AE118" s="22"/>
      <c r="GR118" s="6"/>
      <c r="GS118" s="6"/>
      <c r="GT118" s="6"/>
      <c r="GU118" s="6"/>
      <c r="GV118" s="6"/>
      <c r="GW118" s="6"/>
      <c r="GX118" s="6"/>
      <c r="GY118" s="6"/>
      <c r="GZ118" s="6"/>
      <c r="HA118" s="6"/>
      <c r="HB118" s="6"/>
      <c r="HC118" s="6"/>
      <c r="HD118" s="6"/>
      <c r="HE118" s="6"/>
      <c r="HF118" s="6"/>
      <c r="HG118" s="6"/>
      <c r="HH118" s="6"/>
      <c r="HI118" s="6"/>
      <c r="HJ118" s="6"/>
      <c r="HK118" s="6"/>
      <c r="HL118" s="6"/>
      <c r="HM118" s="6"/>
      <c r="HN118" s="6"/>
      <c r="HO118" s="6"/>
      <c r="HP118" s="6"/>
    </row>
    <row r="119" spans="3:224" ht="20.100000000000001" customHeight="1">
      <c r="C119" s="11">
        <v>14100005</v>
      </c>
      <c r="D119" s="11" t="s">
        <v>162</v>
      </c>
      <c r="E119" s="14">
        <v>1140001</v>
      </c>
      <c r="F119" s="14">
        <v>0</v>
      </c>
      <c r="G119" s="14">
        <v>1</v>
      </c>
      <c r="H119" s="14">
        <v>20</v>
      </c>
      <c r="I119" s="22">
        <v>0.2</v>
      </c>
      <c r="J119" s="23">
        <v>5</v>
      </c>
      <c r="K119" s="14">
        <v>0</v>
      </c>
      <c r="L119" s="14">
        <v>0</v>
      </c>
      <c r="M119" s="14">
        <f t="shared" si="13"/>
        <v>35</v>
      </c>
      <c r="N119" s="14">
        <v>70</v>
      </c>
      <c r="O119" s="14">
        <v>0</v>
      </c>
      <c r="P119" s="14">
        <v>0</v>
      </c>
      <c r="Q119" s="14">
        <f t="shared" si="14"/>
        <v>0</v>
      </c>
      <c r="R119" s="14">
        <v>0</v>
      </c>
      <c r="S119" s="14">
        <f t="shared" si="15"/>
        <v>0</v>
      </c>
      <c r="T119" s="14">
        <v>0</v>
      </c>
      <c r="U119" s="22">
        <v>0</v>
      </c>
      <c r="V119" s="14">
        <v>0</v>
      </c>
      <c r="W119" s="14">
        <v>0</v>
      </c>
      <c r="X119" s="14">
        <v>0</v>
      </c>
      <c r="Y119" s="22">
        <v>0</v>
      </c>
      <c r="Z119" s="22">
        <v>0</v>
      </c>
      <c r="AA119" s="22">
        <v>0</v>
      </c>
      <c r="AB119" s="22">
        <v>0</v>
      </c>
      <c r="AC119" s="22">
        <v>0</v>
      </c>
      <c r="AD119" s="22">
        <v>0</v>
      </c>
      <c r="AE119" s="22"/>
      <c r="GR119" s="6"/>
      <c r="GS119" s="6"/>
      <c r="GT119" s="6"/>
      <c r="GU119" s="6"/>
      <c r="GV119" s="6"/>
      <c r="GW119" s="6"/>
      <c r="GX119" s="6"/>
      <c r="GY119" s="6"/>
      <c r="GZ119" s="6"/>
      <c r="HA119" s="6"/>
      <c r="HB119" s="6"/>
      <c r="HC119" s="6"/>
      <c r="HD119" s="6"/>
      <c r="HE119" s="6"/>
      <c r="HF119" s="6"/>
      <c r="HG119" s="6"/>
      <c r="HH119" s="6"/>
      <c r="HI119" s="6"/>
      <c r="HJ119" s="6"/>
      <c r="HK119" s="6"/>
      <c r="HL119" s="6"/>
      <c r="HM119" s="6"/>
      <c r="HN119" s="6"/>
      <c r="HO119" s="6"/>
      <c r="HP119" s="6"/>
    </row>
    <row r="120" spans="3:224" ht="20.100000000000001" customHeight="1">
      <c r="C120" s="11">
        <v>14100006</v>
      </c>
      <c r="D120" s="11" t="s">
        <v>163</v>
      </c>
      <c r="E120" s="14">
        <v>1140001</v>
      </c>
      <c r="F120" s="14">
        <v>0</v>
      </c>
      <c r="G120" s="14">
        <v>1</v>
      </c>
      <c r="H120" s="14">
        <v>20</v>
      </c>
      <c r="I120" s="22">
        <v>0.2</v>
      </c>
      <c r="J120" s="23">
        <v>5</v>
      </c>
      <c r="K120" s="14">
        <v>0</v>
      </c>
      <c r="L120" s="14">
        <v>0</v>
      </c>
      <c r="M120" s="14">
        <f t="shared" si="13"/>
        <v>65</v>
      </c>
      <c r="N120" s="14">
        <v>130</v>
      </c>
      <c r="O120" s="14">
        <v>0</v>
      </c>
      <c r="P120" s="14">
        <v>0</v>
      </c>
      <c r="Q120" s="14">
        <f t="shared" si="14"/>
        <v>0</v>
      </c>
      <c r="R120" s="14">
        <v>0</v>
      </c>
      <c r="S120" s="14">
        <f t="shared" si="15"/>
        <v>0</v>
      </c>
      <c r="T120" s="14">
        <v>0</v>
      </c>
      <c r="U120" s="22">
        <v>0</v>
      </c>
      <c r="V120" s="14">
        <v>0</v>
      </c>
      <c r="W120" s="14">
        <v>0</v>
      </c>
      <c r="X120" s="14">
        <v>0</v>
      </c>
      <c r="Y120" s="22">
        <v>0</v>
      </c>
      <c r="Z120" s="22">
        <v>0</v>
      </c>
      <c r="AA120" s="22">
        <v>0</v>
      </c>
      <c r="AB120" s="22">
        <v>0</v>
      </c>
      <c r="AC120" s="22">
        <v>0</v>
      </c>
      <c r="AD120" s="22">
        <v>0</v>
      </c>
      <c r="AE120" s="22"/>
      <c r="GR120" s="6"/>
      <c r="GS120" s="6"/>
      <c r="GT120" s="6"/>
      <c r="GU120" s="6"/>
      <c r="GV120" s="6"/>
      <c r="GW120" s="6"/>
      <c r="GX120" s="6"/>
      <c r="GY120" s="6"/>
      <c r="GZ120" s="6"/>
      <c r="HA120" s="6"/>
      <c r="HB120" s="6"/>
      <c r="HC120" s="6"/>
      <c r="HD120" s="6"/>
      <c r="HE120" s="6"/>
      <c r="HF120" s="6"/>
      <c r="HG120" s="6"/>
      <c r="HH120" s="6"/>
      <c r="HI120" s="6"/>
      <c r="HJ120" s="6"/>
      <c r="HK120" s="6"/>
      <c r="HL120" s="6"/>
      <c r="HM120" s="6"/>
      <c r="HN120" s="6"/>
      <c r="HO120" s="6"/>
      <c r="HP120" s="6"/>
    </row>
    <row r="121" spans="3:224" ht="20.100000000000001" customHeight="1">
      <c r="C121" s="11">
        <v>14100007</v>
      </c>
      <c r="D121" s="11" t="s">
        <v>164</v>
      </c>
      <c r="E121" s="14">
        <v>1140001</v>
      </c>
      <c r="F121" s="14">
        <v>0</v>
      </c>
      <c r="G121" s="14">
        <v>1</v>
      </c>
      <c r="H121" s="14">
        <v>20</v>
      </c>
      <c r="I121" s="22">
        <v>0.2</v>
      </c>
      <c r="J121" s="23">
        <v>5</v>
      </c>
      <c r="K121" s="14">
        <v>0</v>
      </c>
      <c r="L121" s="14">
        <v>0</v>
      </c>
      <c r="M121" s="14">
        <f t="shared" si="13"/>
        <v>88</v>
      </c>
      <c r="N121" s="14">
        <v>175</v>
      </c>
      <c r="O121" s="14">
        <v>0</v>
      </c>
      <c r="P121" s="14">
        <v>0</v>
      </c>
      <c r="Q121" s="14">
        <f t="shared" si="14"/>
        <v>0</v>
      </c>
      <c r="R121" s="14">
        <v>0</v>
      </c>
      <c r="S121" s="14">
        <f t="shared" si="15"/>
        <v>0</v>
      </c>
      <c r="T121" s="14">
        <v>0</v>
      </c>
      <c r="U121" s="22">
        <v>0</v>
      </c>
      <c r="V121" s="14">
        <v>0</v>
      </c>
      <c r="W121" s="14">
        <v>0</v>
      </c>
      <c r="X121" s="14">
        <v>0</v>
      </c>
      <c r="Y121" s="22">
        <v>0</v>
      </c>
      <c r="Z121" s="22">
        <v>0</v>
      </c>
      <c r="AA121" s="22">
        <v>0</v>
      </c>
      <c r="AB121" s="22">
        <v>0</v>
      </c>
      <c r="AC121" s="22">
        <v>0</v>
      </c>
      <c r="AD121" s="22">
        <v>0</v>
      </c>
      <c r="AE121" s="22"/>
      <c r="GR121" s="6"/>
      <c r="GS121" s="6"/>
      <c r="GT121" s="6"/>
      <c r="GU121" s="6"/>
      <c r="GV121" s="6"/>
      <c r="GW121" s="6"/>
      <c r="GX121" s="6"/>
      <c r="GY121" s="6"/>
      <c r="GZ121" s="6"/>
      <c r="HA121" s="6"/>
      <c r="HB121" s="6"/>
      <c r="HC121" s="6"/>
      <c r="HD121" s="6"/>
      <c r="HE121" s="6"/>
      <c r="HF121" s="6"/>
      <c r="HG121" s="6"/>
      <c r="HH121" s="6"/>
      <c r="HI121" s="6"/>
      <c r="HJ121" s="6"/>
      <c r="HK121" s="6"/>
      <c r="HL121" s="6"/>
      <c r="HM121" s="6"/>
      <c r="HN121" s="6"/>
      <c r="HO121" s="6"/>
      <c r="HP121" s="6"/>
    </row>
    <row r="122" spans="3:224" ht="20.100000000000001" customHeight="1">
      <c r="C122" s="11">
        <v>14100008</v>
      </c>
      <c r="D122" s="11" t="s">
        <v>165</v>
      </c>
      <c r="E122" s="14">
        <v>1140001</v>
      </c>
      <c r="F122" s="14">
        <v>0</v>
      </c>
      <c r="G122" s="14">
        <v>1</v>
      </c>
      <c r="H122" s="14">
        <v>20</v>
      </c>
      <c r="I122" s="22">
        <v>0.2</v>
      </c>
      <c r="J122" s="23">
        <v>10</v>
      </c>
      <c r="K122" s="14">
        <v>0</v>
      </c>
      <c r="L122" s="14">
        <v>0</v>
      </c>
      <c r="M122" s="14">
        <f t="shared" si="13"/>
        <v>105</v>
      </c>
      <c r="N122" s="14">
        <v>210</v>
      </c>
      <c r="O122" s="14">
        <v>0</v>
      </c>
      <c r="P122" s="14">
        <v>0</v>
      </c>
      <c r="Q122" s="14">
        <f t="shared" si="14"/>
        <v>0</v>
      </c>
      <c r="R122" s="14">
        <v>0</v>
      </c>
      <c r="S122" s="14">
        <f t="shared" si="15"/>
        <v>0</v>
      </c>
      <c r="T122" s="14">
        <v>0</v>
      </c>
      <c r="U122" s="22">
        <v>0</v>
      </c>
      <c r="V122" s="14">
        <v>0</v>
      </c>
      <c r="W122" s="14">
        <v>0</v>
      </c>
      <c r="X122" s="14">
        <v>0</v>
      </c>
      <c r="Y122" s="22">
        <v>0</v>
      </c>
      <c r="Z122" s="22">
        <v>0</v>
      </c>
      <c r="AA122" s="22">
        <v>0</v>
      </c>
      <c r="AB122" s="22">
        <v>0</v>
      </c>
      <c r="AC122" s="22">
        <v>0</v>
      </c>
      <c r="AD122" s="22">
        <v>0</v>
      </c>
      <c r="AE122" s="22"/>
      <c r="GR122" s="6"/>
      <c r="GS122" s="6"/>
      <c r="GT122" s="6"/>
      <c r="GU122" s="6"/>
      <c r="GV122" s="6"/>
      <c r="GW122" s="6"/>
      <c r="GX122" s="6"/>
      <c r="GY122" s="6"/>
      <c r="GZ122" s="6"/>
      <c r="HA122" s="6"/>
      <c r="HB122" s="6"/>
      <c r="HC122" s="6"/>
      <c r="HD122" s="6"/>
      <c r="HE122" s="6"/>
      <c r="HF122" s="6"/>
      <c r="HG122" s="6"/>
      <c r="HH122" s="6"/>
      <c r="HI122" s="6"/>
      <c r="HJ122" s="6"/>
      <c r="HK122" s="6"/>
      <c r="HL122" s="6"/>
      <c r="HM122" s="6"/>
      <c r="HN122" s="6"/>
      <c r="HO122" s="6"/>
      <c r="HP122" s="6"/>
    </row>
    <row r="123" spans="3:224" ht="20.100000000000001" customHeight="1">
      <c r="C123" s="11">
        <v>14100011</v>
      </c>
      <c r="D123" s="37" t="s">
        <v>166</v>
      </c>
      <c r="E123" s="14">
        <v>1140001</v>
      </c>
      <c r="F123" s="14">
        <v>11051</v>
      </c>
      <c r="G123" s="14">
        <v>1</v>
      </c>
      <c r="H123" s="14">
        <v>20</v>
      </c>
      <c r="I123" s="22">
        <v>0.2</v>
      </c>
      <c r="J123" s="23">
        <v>10</v>
      </c>
      <c r="K123" s="14">
        <v>0</v>
      </c>
      <c r="L123" s="14">
        <v>0</v>
      </c>
      <c r="M123" s="14">
        <v>150</v>
      </c>
      <c r="N123" s="14">
        <v>350</v>
      </c>
      <c r="O123" s="14">
        <v>0</v>
      </c>
      <c r="P123" s="14">
        <v>0</v>
      </c>
      <c r="Q123" s="14">
        <f t="shared" ref="Q123:Q129" si="22">ROUND(R123/2,0)</f>
        <v>0</v>
      </c>
      <c r="R123" s="14">
        <v>0</v>
      </c>
      <c r="S123" s="14">
        <f t="shared" ref="S123:S129" si="23">ROUND(T123/2,0)</f>
        <v>0</v>
      </c>
      <c r="T123" s="14">
        <v>0</v>
      </c>
      <c r="U123" s="22">
        <v>0</v>
      </c>
      <c r="V123" s="14">
        <v>0</v>
      </c>
      <c r="W123" s="14">
        <v>0</v>
      </c>
      <c r="X123" s="14">
        <v>0</v>
      </c>
      <c r="Y123" s="22">
        <v>0</v>
      </c>
      <c r="Z123" s="22">
        <v>0</v>
      </c>
      <c r="AA123" s="22">
        <v>0</v>
      </c>
      <c r="AB123" s="22">
        <v>0</v>
      </c>
      <c r="AC123" s="22">
        <v>0</v>
      </c>
      <c r="AD123" s="22">
        <v>0</v>
      </c>
      <c r="AE123" s="22"/>
      <c r="GR123" s="6"/>
      <c r="GS123" s="6"/>
      <c r="GT123" s="6"/>
      <c r="GU123" s="6"/>
      <c r="GV123" s="6"/>
      <c r="GW123" s="6"/>
      <c r="GX123" s="6"/>
      <c r="GY123" s="6"/>
      <c r="GZ123" s="6"/>
      <c r="HA123" s="6"/>
      <c r="HB123" s="6"/>
      <c r="HC123" s="6"/>
      <c r="HD123" s="6"/>
      <c r="HE123" s="6"/>
      <c r="HF123" s="6"/>
      <c r="HG123" s="6"/>
      <c r="HH123" s="6"/>
      <c r="HI123" s="6"/>
      <c r="HJ123" s="6"/>
      <c r="HK123" s="6"/>
      <c r="HL123" s="6"/>
      <c r="HM123" s="6"/>
      <c r="HN123" s="6"/>
      <c r="HO123" s="6"/>
      <c r="HP123" s="6"/>
    </row>
    <row r="124" spans="3:224" ht="20.100000000000001" customHeight="1">
      <c r="C124" s="11">
        <v>14100012</v>
      </c>
      <c r="D124" s="37" t="s">
        <v>167</v>
      </c>
      <c r="E124" s="14">
        <v>1140001</v>
      </c>
      <c r="F124" s="14">
        <v>11051</v>
      </c>
      <c r="G124" s="14">
        <v>1</v>
      </c>
      <c r="H124" s="14">
        <v>20</v>
      </c>
      <c r="I124" s="22">
        <v>0.2</v>
      </c>
      <c r="J124" s="23">
        <v>10</v>
      </c>
      <c r="K124" s="14">
        <v>0</v>
      </c>
      <c r="L124" s="14">
        <v>0</v>
      </c>
      <c r="M124" s="14">
        <v>150</v>
      </c>
      <c r="N124" s="14">
        <v>350</v>
      </c>
      <c r="O124" s="14">
        <v>0</v>
      </c>
      <c r="P124" s="14">
        <v>0</v>
      </c>
      <c r="Q124" s="14">
        <f t="shared" si="22"/>
        <v>0</v>
      </c>
      <c r="R124" s="14">
        <v>0</v>
      </c>
      <c r="S124" s="14">
        <f t="shared" si="23"/>
        <v>0</v>
      </c>
      <c r="T124" s="14">
        <v>0</v>
      </c>
      <c r="U124" s="22">
        <v>0</v>
      </c>
      <c r="V124" s="14">
        <v>0</v>
      </c>
      <c r="W124" s="14">
        <v>0</v>
      </c>
      <c r="X124" s="14">
        <v>0</v>
      </c>
      <c r="Y124" s="22">
        <v>0</v>
      </c>
      <c r="Z124" s="22">
        <v>0</v>
      </c>
      <c r="AA124" s="22">
        <v>0</v>
      </c>
      <c r="AB124" s="22">
        <v>202403</v>
      </c>
      <c r="AC124" s="22">
        <v>500</v>
      </c>
      <c r="AD124" s="22">
        <v>1</v>
      </c>
      <c r="AE124" s="22"/>
      <c r="GR124" s="6"/>
      <c r="GS124" s="6"/>
      <c r="GT124" s="6"/>
      <c r="GU124" s="6"/>
      <c r="GV124" s="6"/>
      <c r="GW124" s="6"/>
      <c r="GX124" s="6"/>
      <c r="GY124" s="6"/>
      <c r="GZ124" s="6"/>
      <c r="HA124" s="6"/>
      <c r="HB124" s="6"/>
      <c r="HC124" s="6"/>
      <c r="HD124" s="6"/>
      <c r="HE124" s="6"/>
      <c r="HF124" s="6"/>
      <c r="HG124" s="6"/>
      <c r="HH124" s="6"/>
      <c r="HI124" s="6"/>
      <c r="HJ124" s="6"/>
      <c r="HK124" s="6"/>
      <c r="HL124" s="6"/>
      <c r="HM124" s="6"/>
      <c r="HN124" s="6"/>
      <c r="HO124" s="6"/>
      <c r="HP124" s="6"/>
    </row>
    <row r="125" spans="3:224" ht="20.100000000000001" customHeight="1">
      <c r="C125" s="11">
        <v>14100021</v>
      </c>
      <c r="D125" s="11" t="s">
        <v>164</v>
      </c>
      <c r="E125" s="14">
        <v>1140001</v>
      </c>
      <c r="F125" s="14">
        <v>0</v>
      </c>
      <c r="G125" s="14">
        <v>1</v>
      </c>
      <c r="H125" s="14">
        <v>20</v>
      </c>
      <c r="I125" s="22">
        <v>0.2</v>
      </c>
      <c r="J125" s="23">
        <v>5</v>
      </c>
      <c r="K125" s="14">
        <v>0</v>
      </c>
      <c r="L125" s="14">
        <v>0</v>
      </c>
      <c r="M125" s="14">
        <v>50</v>
      </c>
      <c r="N125" s="14">
        <v>180</v>
      </c>
      <c r="O125" s="14">
        <v>0</v>
      </c>
      <c r="P125" s="14">
        <v>0</v>
      </c>
      <c r="Q125" s="14">
        <f t="shared" si="22"/>
        <v>0</v>
      </c>
      <c r="R125" s="14">
        <v>0</v>
      </c>
      <c r="S125" s="14">
        <f t="shared" si="23"/>
        <v>0</v>
      </c>
      <c r="T125" s="14">
        <v>0</v>
      </c>
      <c r="U125" s="22">
        <v>0</v>
      </c>
      <c r="V125" s="14">
        <v>0</v>
      </c>
      <c r="W125" s="14">
        <v>0</v>
      </c>
      <c r="X125" s="14">
        <v>0</v>
      </c>
      <c r="Y125" s="22">
        <v>0</v>
      </c>
      <c r="Z125" s="22">
        <v>0</v>
      </c>
      <c r="AA125" s="22">
        <v>0</v>
      </c>
      <c r="AB125" s="22">
        <v>0</v>
      </c>
      <c r="AC125" s="22">
        <v>0</v>
      </c>
      <c r="AD125" s="22">
        <v>0</v>
      </c>
      <c r="AE125" s="22"/>
      <c r="GR125" s="6"/>
      <c r="GS125" s="6"/>
      <c r="GT125" s="6"/>
      <c r="GU125" s="6"/>
      <c r="GV125" s="6"/>
      <c r="GW125" s="6"/>
      <c r="GX125" s="6"/>
      <c r="GY125" s="6"/>
      <c r="GZ125" s="6"/>
      <c r="HA125" s="6"/>
      <c r="HB125" s="6"/>
      <c r="HC125" s="6"/>
      <c r="HD125" s="6"/>
      <c r="HE125" s="6"/>
      <c r="HF125" s="6"/>
      <c r="HG125" s="6"/>
      <c r="HH125" s="6"/>
      <c r="HI125" s="6"/>
      <c r="HJ125" s="6"/>
      <c r="HK125" s="6"/>
      <c r="HL125" s="6"/>
      <c r="HM125" s="6"/>
      <c r="HN125" s="6"/>
      <c r="HO125" s="6"/>
      <c r="HP125" s="6"/>
    </row>
    <row r="126" spans="3:224" ht="20.100000000000001" customHeight="1">
      <c r="C126" s="11">
        <v>14100201</v>
      </c>
      <c r="D126" s="11" t="s">
        <v>168</v>
      </c>
      <c r="E126" s="14">
        <v>1140001</v>
      </c>
      <c r="F126" s="14">
        <v>0</v>
      </c>
      <c r="G126" s="14">
        <v>1</v>
      </c>
      <c r="H126" s="14">
        <v>20</v>
      </c>
      <c r="I126" s="22">
        <v>0.2</v>
      </c>
      <c r="J126" s="23">
        <v>5</v>
      </c>
      <c r="K126" s="14">
        <v>0</v>
      </c>
      <c r="L126" s="14">
        <v>0</v>
      </c>
      <c r="M126" s="14">
        <f t="shared" ref="M126:M129" si="24">ROUND(N126/2,0)</f>
        <v>35</v>
      </c>
      <c r="N126" s="14">
        <v>70</v>
      </c>
      <c r="O126" s="14">
        <v>0</v>
      </c>
      <c r="P126" s="14">
        <v>0</v>
      </c>
      <c r="Q126" s="14">
        <f t="shared" si="22"/>
        <v>0</v>
      </c>
      <c r="R126" s="14">
        <v>0</v>
      </c>
      <c r="S126" s="14">
        <f t="shared" si="23"/>
        <v>0</v>
      </c>
      <c r="T126" s="14">
        <v>0</v>
      </c>
      <c r="U126" s="22">
        <v>0</v>
      </c>
      <c r="V126" s="14">
        <v>0</v>
      </c>
      <c r="W126" s="14">
        <v>0</v>
      </c>
      <c r="X126" s="14">
        <v>0</v>
      </c>
      <c r="Y126" s="22">
        <v>0</v>
      </c>
      <c r="Z126" s="22">
        <v>0</v>
      </c>
      <c r="AA126" s="22">
        <v>0</v>
      </c>
      <c r="AB126" s="22">
        <v>0</v>
      </c>
      <c r="AC126" s="22">
        <v>0</v>
      </c>
      <c r="AD126" s="22">
        <v>0</v>
      </c>
      <c r="AE126" s="22"/>
      <c r="GR126" s="6"/>
      <c r="GS126" s="6"/>
      <c r="GT126" s="6"/>
      <c r="GU126" s="6"/>
      <c r="GV126" s="6"/>
      <c r="GW126" s="6"/>
      <c r="GX126" s="6"/>
      <c r="GY126" s="6"/>
      <c r="GZ126" s="6"/>
      <c r="HA126" s="6"/>
      <c r="HB126" s="6"/>
      <c r="HC126" s="6"/>
      <c r="HD126" s="6"/>
      <c r="HE126" s="6"/>
      <c r="HF126" s="6"/>
      <c r="HG126" s="6"/>
      <c r="HH126" s="6"/>
      <c r="HI126" s="6"/>
      <c r="HJ126" s="6"/>
      <c r="HK126" s="6"/>
      <c r="HL126" s="6"/>
      <c r="HM126" s="6"/>
      <c r="HN126" s="6"/>
      <c r="HO126" s="6"/>
      <c r="HP126" s="6"/>
    </row>
    <row r="127" spans="3:224" ht="20.100000000000001" customHeight="1">
      <c r="C127" s="11">
        <v>14100202</v>
      </c>
      <c r="D127" s="11" t="s">
        <v>169</v>
      </c>
      <c r="E127" s="14">
        <v>1140001</v>
      </c>
      <c r="F127" s="14">
        <v>0</v>
      </c>
      <c r="G127" s="14">
        <v>1</v>
      </c>
      <c r="H127" s="14">
        <v>20</v>
      </c>
      <c r="I127" s="22">
        <v>0.2</v>
      </c>
      <c r="J127" s="23">
        <v>5</v>
      </c>
      <c r="K127" s="14">
        <v>0</v>
      </c>
      <c r="L127" s="14">
        <v>0</v>
      </c>
      <c r="M127" s="14">
        <f t="shared" si="24"/>
        <v>65</v>
      </c>
      <c r="N127" s="14">
        <v>130</v>
      </c>
      <c r="O127" s="14">
        <v>0</v>
      </c>
      <c r="P127" s="14">
        <v>0</v>
      </c>
      <c r="Q127" s="14">
        <f t="shared" si="22"/>
        <v>0</v>
      </c>
      <c r="R127" s="14">
        <v>0</v>
      </c>
      <c r="S127" s="14">
        <f t="shared" si="23"/>
        <v>0</v>
      </c>
      <c r="T127" s="14">
        <v>0</v>
      </c>
      <c r="U127" s="22">
        <v>0</v>
      </c>
      <c r="V127" s="14">
        <v>0</v>
      </c>
      <c r="W127" s="14">
        <v>0</v>
      </c>
      <c r="X127" s="14">
        <v>0</v>
      </c>
      <c r="Y127" s="22">
        <v>0</v>
      </c>
      <c r="Z127" s="22">
        <v>0</v>
      </c>
      <c r="AA127" s="22">
        <v>0</v>
      </c>
      <c r="AB127" s="22">
        <v>0</v>
      </c>
      <c r="AC127" s="22">
        <v>0</v>
      </c>
      <c r="AD127" s="22">
        <v>0</v>
      </c>
      <c r="AE127" s="22"/>
      <c r="GR127" s="6"/>
      <c r="GS127" s="6"/>
      <c r="GT127" s="6"/>
      <c r="GU127" s="6"/>
      <c r="GV127" s="6"/>
      <c r="GW127" s="6"/>
      <c r="GX127" s="6"/>
      <c r="GY127" s="6"/>
      <c r="GZ127" s="6"/>
      <c r="HA127" s="6"/>
      <c r="HB127" s="6"/>
      <c r="HC127" s="6"/>
      <c r="HD127" s="6"/>
      <c r="HE127" s="6"/>
      <c r="HF127" s="6"/>
      <c r="HG127" s="6"/>
      <c r="HH127" s="6"/>
      <c r="HI127" s="6"/>
      <c r="HJ127" s="6"/>
      <c r="HK127" s="6"/>
      <c r="HL127" s="6"/>
      <c r="HM127" s="6"/>
      <c r="HN127" s="6"/>
      <c r="HO127" s="6"/>
      <c r="HP127" s="6"/>
    </row>
    <row r="128" spans="3:224" ht="20.100000000000001" customHeight="1">
      <c r="C128" s="11">
        <v>14100203</v>
      </c>
      <c r="D128" s="11" t="s">
        <v>170</v>
      </c>
      <c r="E128" s="14">
        <v>1140001</v>
      </c>
      <c r="F128" s="14">
        <v>0</v>
      </c>
      <c r="G128" s="14">
        <v>1</v>
      </c>
      <c r="H128" s="14">
        <v>20</v>
      </c>
      <c r="I128" s="22">
        <v>0.2</v>
      </c>
      <c r="J128" s="23">
        <v>5</v>
      </c>
      <c r="K128" s="14">
        <v>0</v>
      </c>
      <c r="L128" s="14">
        <v>0</v>
      </c>
      <c r="M128" s="14">
        <f t="shared" si="24"/>
        <v>88</v>
      </c>
      <c r="N128" s="14">
        <v>175</v>
      </c>
      <c r="O128" s="14">
        <v>0</v>
      </c>
      <c r="P128" s="14">
        <v>0</v>
      </c>
      <c r="Q128" s="14">
        <f t="shared" si="22"/>
        <v>0</v>
      </c>
      <c r="R128" s="14">
        <v>0</v>
      </c>
      <c r="S128" s="14">
        <f t="shared" si="23"/>
        <v>0</v>
      </c>
      <c r="T128" s="14">
        <v>0</v>
      </c>
      <c r="U128" s="22">
        <v>0</v>
      </c>
      <c r="V128" s="14">
        <v>0</v>
      </c>
      <c r="W128" s="14">
        <v>0</v>
      </c>
      <c r="X128" s="14">
        <v>0</v>
      </c>
      <c r="Y128" s="22">
        <v>0</v>
      </c>
      <c r="Z128" s="22">
        <v>0</v>
      </c>
      <c r="AA128" s="22">
        <v>0</v>
      </c>
      <c r="AB128" s="22">
        <v>0</v>
      </c>
      <c r="AC128" s="22">
        <v>0</v>
      </c>
      <c r="AD128" s="22">
        <v>0</v>
      </c>
      <c r="AE128" s="22"/>
      <c r="GR128" s="6"/>
      <c r="GS128" s="6"/>
      <c r="GT128" s="6"/>
      <c r="GU128" s="6"/>
      <c r="GV128" s="6"/>
      <c r="GW128" s="6"/>
      <c r="GX128" s="6"/>
      <c r="GY128" s="6"/>
      <c r="GZ128" s="6"/>
      <c r="HA128" s="6"/>
      <c r="HB128" s="6"/>
      <c r="HC128" s="6"/>
      <c r="HD128" s="6"/>
      <c r="HE128" s="6"/>
      <c r="HF128" s="6"/>
      <c r="HG128" s="6"/>
      <c r="HH128" s="6"/>
      <c r="HI128" s="6"/>
      <c r="HJ128" s="6"/>
      <c r="HK128" s="6"/>
      <c r="HL128" s="6"/>
      <c r="HM128" s="6"/>
      <c r="HN128" s="6"/>
      <c r="HO128" s="6"/>
      <c r="HP128" s="6"/>
    </row>
    <row r="129" spans="3:224" ht="20.100000000000001" customHeight="1">
      <c r="C129" s="11">
        <v>14100204</v>
      </c>
      <c r="D129" s="11" t="s">
        <v>171</v>
      </c>
      <c r="E129" s="14">
        <v>1140001</v>
      </c>
      <c r="F129" s="14">
        <v>0</v>
      </c>
      <c r="G129" s="14">
        <v>1</v>
      </c>
      <c r="H129" s="14">
        <v>20</v>
      </c>
      <c r="I129" s="22">
        <v>0.2</v>
      </c>
      <c r="J129" s="23">
        <v>10</v>
      </c>
      <c r="K129" s="14">
        <v>0</v>
      </c>
      <c r="L129" s="14">
        <v>0</v>
      </c>
      <c r="M129" s="14">
        <f t="shared" si="24"/>
        <v>105</v>
      </c>
      <c r="N129" s="14">
        <v>210</v>
      </c>
      <c r="O129" s="14">
        <v>0</v>
      </c>
      <c r="P129" s="14">
        <v>0</v>
      </c>
      <c r="Q129" s="14">
        <f t="shared" si="22"/>
        <v>0</v>
      </c>
      <c r="R129" s="14">
        <v>0</v>
      </c>
      <c r="S129" s="14">
        <f t="shared" si="23"/>
        <v>0</v>
      </c>
      <c r="T129" s="14">
        <v>0</v>
      </c>
      <c r="U129" s="22">
        <v>0</v>
      </c>
      <c r="V129" s="14">
        <v>0</v>
      </c>
      <c r="W129" s="14">
        <v>0</v>
      </c>
      <c r="X129" s="14">
        <v>0</v>
      </c>
      <c r="Y129" s="22">
        <v>0</v>
      </c>
      <c r="Z129" s="22">
        <v>0</v>
      </c>
      <c r="AA129" s="22">
        <v>0</v>
      </c>
      <c r="AB129" s="22">
        <v>0</v>
      </c>
      <c r="AC129" s="22">
        <v>0</v>
      </c>
      <c r="AD129" s="22">
        <v>0</v>
      </c>
      <c r="AE129" s="22"/>
      <c r="GR129" s="6"/>
      <c r="GS129" s="6"/>
      <c r="GT129" s="6"/>
      <c r="GU129" s="6"/>
      <c r="GV129" s="6"/>
      <c r="GW129" s="6"/>
      <c r="GX129" s="6"/>
      <c r="GY129" s="6"/>
      <c r="GZ129" s="6"/>
      <c r="HA129" s="6"/>
      <c r="HB129" s="6"/>
      <c r="HC129" s="6"/>
      <c r="HD129" s="6"/>
      <c r="HE129" s="6"/>
      <c r="HF129" s="6"/>
      <c r="HG129" s="6"/>
      <c r="HH129" s="6"/>
      <c r="HI129" s="6"/>
      <c r="HJ129" s="6"/>
      <c r="HK129" s="6"/>
      <c r="HL129" s="6"/>
      <c r="HM129" s="6"/>
      <c r="HN129" s="6"/>
      <c r="HO129" s="6"/>
      <c r="HP129" s="6"/>
    </row>
    <row r="130" spans="3:224" ht="20.100000000000001" customHeight="1">
      <c r="C130" s="11">
        <v>14100211</v>
      </c>
      <c r="D130" s="37" t="s">
        <v>172</v>
      </c>
      <c r="E130" s="14">
        <v>1140001</v>
      </c>
      <c r="F130" s="14">
        <v>11051</v>
      </c>
      <c r="G130" s="14">
        <v>1</v>
      </c>
      <c r="H130" s="14">
        <v>20</v>
      </c>
      <c r="I130" s="22">
        <v>0.2</v>
      </c>
      <c r="J130" s="23">
        <v>10</v>
      </c>
      <c r="K130" s="14">
        <v>0</v>
      </c>
      <c r="L130" s="14">
        <v>0</v>
      </c>
      <c r="M130" s="14">
        <v>150</v>
      </c>
      <c r="N130" s="14">
        <v>350</v>
      </c>
      <c r="O130" s="14">
        <v>0</v>
      </c>
      <c r="P130" s="14">
        <v>0</v>
      </c>
      <c r="Q130" s="14">
        <f t="shared" ref="Q130" si="25">ROUND(R130/2,0)</f>
        <v>0</v>
      </c>
      <c r="R130" s="14">
        <v>0</v>
      </c>
      <c r="S130" s="14">
        <f t="shared" ref="S130" si="26">ROUND(T130/2,0)</f>
        <v>0</v>
      </c>
      <c r="T130" s="14">
        <v>0</v>
      </c>
      <c r="U130" s="22">
        <v>0</v>
      </c>
      <c r="V130" s="14">
        <v>0</v>
      </c>
      <c r="W130" s="14">
        <v>0</v>
      </c>
      <c r="X130" s="14">
        <v>0</v>
      </c>
      <c r="Y130" s="22">
        <v>0</v>
      </c>
      <c r="Z130" s="22">
        <v>0</v>
      </c>
      <c r="AA130" s="22">
        <v>0</v>
      </c>
      <c r="AB130" s="22">
        <v>202103</v>
      </c>
      <c r="AC130" s="22">
        <v>500</v>
      </c>
      <c r="AD130" s="22">
        <v>1</v>
      </c>
      <c r="AE130" s="22"/>
      <c r="GR130" s="6"/>
      <c r="GS130" s="6"/>
      <c r="GT130" s="6"/>
      <c r="GU130" s="6"/>
      <c r="GV130" s="6"/>
      <c r="GW130" s="6"/>
      <c r="GX130" s="6"/>
      <c r="GY130" s="6"/>
      <c r="GZ130" s="6"/>
      <c r="HA130" s="6"/>
      <c r="HB130" s="6"/>
      <c r="HC130" s="6"/>
      <c r="HD130" s="6"/>
      <c r="HE130" s="6"/>
      <c r="HF130" s="6"/>
      <c r="HG130" s="6"/>
      <c r="HH130" s="6"/>
      <c r="HI130" s="6"/>
      <c r="HJ130" s="6"/>
      <c r="HK130" s="6"/>
      <c r="HL130" s="6"/>
      <c r="HM130" s="6"/>
      <c r="HN130" s="6"/>
      <c r="HO130" s="6"/>
      <c r="HP130" s="6"/>
    </row>
    <row r="131" spans="3:224" s="5" customFormat="1" ht="20.100000000000001" customHeight="1">
      <c r="C131" s="35">
        <v>14110001</v>
      </c>
      <c r="D131" s="35" t="s">
        <v>173</v>
      </c>
      <c r="E131" s="36">
        <v>1140003</v>
      </c>
      <c r="F131" s="36">
        <v>0</v>
      </c>
      <c r="G131" s="36">
        <v>1</v>
      </c>
      <c r="H131" s="36">
        <v>20</v>
      </c>
      <c r="I131" s="39">
        <v>0.2</v>
      </c>
      <c r="J131" s="40">
        <v>5</v>
      </c>
      <c r="K131" s="14">
        <v>0</v>
      </c>
      <c r="L131" s="36">
        <v>620</v>
      </c>
      <c r="M131" s="36">
        <f t="shared" si="13"/>
        <v>0</v>
      </c>
      <c r="N131" s="36">
        <v>0</v>
      </c>
      <c r="O131" s="36">
        <v>0</v>
      </c>
      <c r="P131" s="36">
        <v>0</v>
      </c>
      <c r="Q131" s="36">
        <f t="shared" si="14"/>
        <v>6</v>
      </c>
      <c r="R131" s="36">
        <v>12</v>
      </c>
      <c r="S131" s="36">
        <f t="shared" si="15"/>
        <v>6</v>
      </c>
      <c r="T131" s="36">
        <v>12</v>
      </c>
      <c r="U131" s="39">
        <v>0</v>
      </c>
      <c r="V131" s="36">
        <v>0</v>
      </c>
      <c r="W131" s="36">
        <v>0</v>
      </c>
      <c r="X131" s="36">
        <v>0</v>
      </c>
      <c r="Y131" s="39">
        <v>0</v>
      </c>
      <c r="Z131" s="39">
        <v>0</v>
      </c>
      <c r="AA131" s="39">
        <v>0</v>
      </c>
      <c r="AB131" s="39">
        <v>0</v>
      </c>
      <c r="AC131" s="39">
        <v>0</v>
      </c>
      <c r="AD131" s="39">
        <v>0</v>
      </c>
      <c r="AE131" s="39"/>
      <c r="AF131" s="41"/>
      <c r="AG131" s="41"/>
      <c r="AH131" s="41"/>
      <c r="AI131" s="41"/>
      <c r="AJ131" s="41"/>
      <c r="AK131" s="41"/>
      <c r="AL131" s="41"/>
      <c r="AM131" s="41"/>
      <c r="AN131" s="41"/>
      <c r="AO131" s="41"/>
      <c r="AP131" s="41"/>
      <c r="AQ131" s="41"/>
      <c r="AR131" s="41"/>
      <c r="AS131" s="41"/>
      <c r="AT131" s="41"/>
      <c r="AU131" s="41"/>
      <c r="AV131" s="41"/>
      <c r="AW131" s="41"/>
      <c r="AX131" s="41"/>
      <c r="AY131" s="41"/>
      <c r="AZ131" s="41"/>
      <c r="BA131" s="41"/>
      <c r="BB131" s="41"/>
      <c r="BC131" s="41"/>
      <c r="BD131" s="41"/>
      <c r="BE131" s="41"/>
      <c r="BF131" s="41"/>
      <c r="BG131" s="41"/>
      <c r="BH131" s="41"/>
      <c r="BI131" s="41"/>
      <c r="BJ131" s="41"/>
      <c r="BK131" s="41"/>
      <c r="BL131" s="41"/>
      <c r="BM131" s="41"/>
      <c r="BN131" s="41"/>
      <c r="BO131" s="41"/>
      <c r="BP131" s="41"/>
      <c r="BQ131" s="41"/>
      <c r="BR131" s="41"/>
      <c r="BS131" s="41"/>
      <c r="BT131" s="41"/>
      <c r="BU131" s="41"/>
      <c r="BV131" s="41"/>
      <c r="BW131" s="41"/>
      <c r="BX131" s="41"/>
      <c r="BY131" s="41"/>
      <c r="BZ131" s="41"/>
      <c r="CA131" s="41"/>
      <c r="CB131" s="41"/>
      <c r="CC131" s="41"/>
      <c r="CD131" s="41"/>
      <c r="CE131" s="41"/>
      <c r="CF131" s="41"/>
      <c r="CG131" s="41"/>
      <c r="CH131" s="41"/>
      <c r="CI131" s="41"/>
      <c r="CJ131" s="41"/>
      <c r="CK131" s="41"/>
      <c r="CL131" s="41"/>
      <c r="CM131" s="41"/>
      <c r="CN131" s="41"/>
      <c r="CO131" s="41"/>
      <c r="CP131" s="41"/>
      <c r="CQ131" s="41"/>
      <c r="CR131" s="41"/>
      <c r="CS131" s="41"/>
      <c r="CT131" s="41"/>
      <c r="CU131" s="41"/>
      <c r="CV131" s="41"/>
      <c r="CW131" s="41"/>
      <c r="CX131" s="41"/>
      <c r="CY131" s="41"/>
      <c r="CZ131" s="41"/>
      <c r="DA131" s="41"/>
      <c r="DB131" s="41"/>
      <c r="DC131" s="41"/>
      <c r="DD131" s="41"/>
      <c r="DE131" s="41"/>
      <c r="DF131" s="41"/>
      <c r="DG131" s="41"/>
      <c r="DH131" s="41"/>
      <c r="DI131" s="41"/>
      <c r="DJ131" s="41"/>
      <c r="DK131" s="41"/>
      <c r="DL131" s="41"/>
      <c r="DM131" s="41"/>
      <c r="DN131" s="41"/>
      <c r="DO131" s="41"/>
      <c r="DP131" s="41"/>
      <c r="DQ131" s="41"/>
      <c r="DR131" s="41"/>
      <c r="DS131" s="41"/>
      <c r="DT131" s="41"/>
      <c r="DU131" s="41"/>
      <c r="DV131" s="41"/>
      <c r="DW131" s="41"/>
      <c r="DX131" s="41"/>
      <c r="DY131" s="41"/>
      <c r="DZ131" s="41"/>
      <c r="EA131" s="41"/>
      <c r="EB131" s="41"/>
      <c r="EC131" s="41"/>
      <c r="ED131" s="41"/>
      <c r="EE131" s="41"/>
      <c r="EF131" s="41"/>
      <c r="EG131" s="41"/>
      <c r="EH131" s="41"/>
      <c r="EI131" s="41"/>
      <c r="EJ131" s="41"/>
      <c r="EK131" s="41"/>
      <c r="EL131" s="41"/>
      <c r="EM131" s="41"/>
      <c r="EN131" s="41"/>
      <c r="EO131" s="41"/>
      <c r="EP131" s="41"/>
      <c r="EQ131" s="41"/>
      <c r="ER131" s="41"/>
      <c r="ES131" s="41"/>
      <c r="ET131" s="41"/>
      <c r="EU131" s="41"/>
      <c r="EV131" s="41"/>
      <c r="EW131" s="41"/>
      <c r="EX131" s="41"/>
      <c r="EY131" s="41"/>
      <c r="EZ131" s="41"/>
      <c r="FA131" s="41"/>
      <c r="FB131" s="41"/>
      <c r="FC131" s="41"/>
      <c r="FD131" s="41"/>
      <c r="FE131" s="41"/>
      <c r="FF131" s="41"/>
      <c r="FG131" s="41"/>
      <c r="FH131" s="41"/>
      <c r="FI131" s="41"/>
      <c r="FJ131" s="41"/>
      <c r="FK131" s="41"/>
      <c r="FL131" s="41"/>
      <c r="FM131" s="41"/>
      <c r="FN131" s="41"/>
      <c r="FO131" s="41"/>
      <c r="FP131" s="41"/>
      <c r="FQ131" s="41"/>
      <c r="FR131" s="41"/>
      <c r="FS131" s="41"/>
      <c r="FT131" s="41"/>
      <c r="FU131" s="41"/>
      <c r="FV131" s="41"/>
      <c r="FW131" s="41"/>
      <c r="FX131" s="41"/>
      <c r="FY131" s="41"/>
      <c r="FZ131" s="41"/>
      <c r="GA131" s="41"/>
      <c r="GB131" s="41"/>
      <c r="GC131" s="41"/>
      <c r="GD131" s="41"/>
      <c r="GE131" s="41"/>
      <c r="GF131" s="41"/>
      <c r="GG131" s="41"/>
      <c r="GH131" s="41"/>
      <c r="GI131" s="41"/>
      <c r="GJ131" s="41"/>
      <c r="GK131" s="41"/>
      <c r="GL131" s="41"/>
      <c r="GM131" s="41"/>
      <c r="GN131" s="41"/>
      <c r="GO131" s="41"/>
      <c r="GP131" s="41"/>
      <c r="GQ131" s="41"/>
      <c r="GR131" s="41"/>
      <c r="GS131" s="41"/>
      <c r="GT131" s="41"/>
      <c r="GU131" s="41"/>
      <c r="GV131" s="41"/>
      <c r="GW131" s="41"/>
      <c r="GX131" s="41"/>
      <c r="GY131" s="41"/>
      <c r="GZ131" s="41"/>
      <c r="HA131" s="41"/>
      <c r="HB131" s="41"/>
      <c r="HC131" s="41"/>
      <c r="HD131" s="41"/>
      <c r="HE131" s="41"/>
      <c r="HF131" s="41"/>
      <c r="HG131" s="41"/>
      <c r="HH131" s="41"/>
      <c r="HI131" s="41"/>
      <c r="HJ131" s="41"/>
      <c r="HK131" s="41"/>
      <c r="HL131" s="41"/>
      <c r="HM131" s="41"/>
      <c r="HN131" s="41"/>
      <c r="HO131" s="41"/>
      <c r="HP131" s="41"/>
    </row>
    <row r="132" spans="3:224" s="5" customFormat="1" ht="20.100000000000001" customHeight="1">
      <c r="C132" s="35">
        <v>14110002</v>
      </c>
      <c r="D132" s="35" t="s">
        <v>174</v>
      </c>
      <c r="E132" s="36">
        <v>1140003</v>
      </c>
      <c r="F132" s="36">
        <v>0</v>
      </c>
      <c r="G132" s="36">
        <v>1</v>
      </c>
      <c r="H132" s="36">
        <v>20</v>
      </c>
      <c r="I132" s="39">
        <v>0.2</v>
      </c>
      <c r="J132" s="40">
        <v>5</v>
      </c>
      <c r="K132" s="14">
        <v>0</v>
      </c>
      <c r="L132" s="36">
        <v>1100</v>
      </c>
      <c r="M132" s="36">
        <f t="shared" si="13"/>
        <v>0</v>
      </c>
      <c r="N132" s="36">
        <v>0</v>
      </c>
      <c r="O132" s="36">
        <v>0</v>
      </c>
      <c r="P132" s="36">
        <v>0</v>
      </c>
      <c r="Q132" s="36">
        <f t="shared" si="14"/>
        <v>12</v>
      </c>
      <c r="R132" s="36">
        <v>24</v>
      </c>
      <c r="S132" s="36">
        <f t="shared" si="15"/>
        <v>12</v>
      </c>
      <c r="T132" s="36">
        <v>24</v>
      </c>
      <c r="U132" s="39">
        <v>0</v>
      </c>
      <c r="V132" s="36">
        <v>0</v>
      </c>
      <c r="W132" s="36">
        <v>0</v>
      </c>
      <c r="X132" s="36">
        <v>0</v>
      </c>
      <c r="Y132" s="39">
        <v>0</v>
      </c>
      <c r="Z132" s="39">
        <v>0</v>
      </c>
      <c r="AA132" s="39">
        <v>0</v>
      </c>
      <c r="AB132" s="39">
        <v>0</v>
      </c>
      <c r="AC132" s="39">
        <v>0</v>
      </c>
      <c r="AD132" s="39">
        <v>0</v>
      </c>
      <c r="AE132" s="39"/>
      <c r="AF132" s="41"/>
      <c r="AG132" s="41"/>
      <c r="AH132" s="41"/>
      <c r="AI132" s="41"/>
      <c r="AJ132" s="41"/>
      <c r="AK132" s="41"/>
      <c r="AL132" s="41"/>
      <c r="AM132" s="41"/>
      <c r="AN132" s="41"/>
      <c r="AO132" s="41"/>
      <c r="AP132" s="41"/>
      <c r="AQ132" s="41"/>
      <c r="AR132" s="41"/>
      <c r="AS132" s="41"/>
      <c r="AT132" s="41"/>
      <c r="AU132" s="41"/>
      <c r="AV132" s="41"/>
      <c r="AW132" s="41"/>
      <c r="AX132" s="41"/>
      <c r="AY132" s="41"/>
      <c r="AZ132" s="41"/>
      <c r="BA132" s="41"/>
      <c r="BB132" s="41"/>
      <c r="BC132" s="41"/>
      <c r="BD132" s="41"/>
      <c r="BE132" s="41"/>
      <c r="BF132" s="41"/>
      <c r="BG132" s="41"/>
      <c r="BH132" s="41"/>
      <c r="BI132" s="41"/>
      <c r="BJ132" s="41"/>
      <c r="BK132" s="41"/>
      <c r="BL132" s="41"/>
      <c r="BM132" s="41"/>
      <c r="BN132" s="41"/>
      <c r="BO132" s="41"/>
      <c r="BP132" s="41"/>
      <c r="BQ132" s="41"/>
      <c r="BR132" s="41"/>
      <c r="BS132" s="41"/>
      <c r="BT132" s="41"/>
      <c r="BU132" s="41"/>
      <c r="BV132" s="41"/>
      <c r="BW132" s="41"/>
      <c r="BX132" s="41"/>
      <c r="BY132" s="41"/>
      <c r="BZ132" s="41"/>
      <c r="CA132" s="41"/>
      <c r="CB132" s="41"/>
      <c r="CC132" s="41"/>
      <c r="CD132" s="41"/>
      <c r="CE132" s="41"/>
      <c r="CF132" s="41"/>
      <c r="CG132" s="41"/>
      <c r="CH132" s="41"/>
      <c r="CI132" s="41"/>
      <c r="CJ132" s="41"/>
      <c r="CK132" s="41"/>
      <c r="CL132" s="41"/>
      <c r="CM132" s="41"/>
      <c r="CN132" s="41"/>
      <c r="CO132" s="41"/>
      <c r="CP132" s="41"/>
      <c r="CQ132" s="41"/>
      <c r="CR132" s="41"/>
      <c r="CS132" s="41"/>
      <c r="CT132" s="41"/>
      <c r="CU132" s="41"/>
      <c r="CV132" s="41"/>
      <c r="CW132" s="41"/>
      <c r="CX132" s="41"/>
      <c r="CY132" s="41"/>
      <c r="CZ132" s="41"/>
      <c r="DA132" s="41"/>
      <c r="DB132" s="41"/>
      <c r="DC132" s="41"/>
      <c r="DD132" s="41"/>
      <c r="DE132" s="41"/>
      <c r="DF132" s="41"/>
      <c r="DG132" s="41"/>
      <c r="DH132" s="41"/>
      <c r="DI132" s="41"/>
      <c r="DJ132" s="41"/>
      <c r="DK132" s="41"/>
      <c r="DL132" s="41"/>
      <c r="DM132" s="41"/>
      <c r="DN132" s="41"/>
      <c r="DO132" s="41"/>
      <c r="DP132" s="41"/>
      <c r="DQ132" s="41"/>
      <c r="DR132" s="41"/>
      <c r="DS132" s="41"/>
      <c r="DT132" s="41"/>
      <c r="DU132" s="41"/>
      <c r="DV132" s="41"/>
      <c r="DW132" s="41"/>
      <c r="DX132" s="41"/>
      <c r="DY132" s="41"/>
      <c r="DZ132" s="41"/>
      <c r="EA132" s="41"/>
      <c r="EB132" s="41"/>
      <c r="EC132" s="41"/>
      <c r="ED132" s="41"/>
      <c r="EE132" s="41"/>
      <c r="EF132" s="41"/>
      <c r="EG132" s="41"/>
      <c r="EH132" s="41"/>
      <c r="EI132" s="41"/>
      <c r="EJ132" s="41"/>
      <c r="EK132" s="41"/>
      <c r="EL132" s="41"/>
      <c r="EM132" s="41"/>
      <c r="EN132" s="41"/>
      <c r="EO132" s="41"/>
      <c r="EP132" s="41"/>
      <c r="EQ132" s="41"/>
      <c r="ER132" s="41"/>
      <c r="ES132" s="41"/>
      <c r="ET132" s="41"/>
      <c r="EU132" s="41"/>
      <c r="EV132" s="41"/>
      <c r="EW132" s="41"/>
      <c r="EX132" s="41"/>
      <c r="EY132" s="41"/>
      <c r="EZ132" s="41"/>
      <c r="FA132" s="41"/>
      <c r="FB132" s="41"/>
      <c r="FC132" s="41"/>
      <c r="FD132" s="41"/>
      <c r="FE132" s="41"/>
      <c r="FF132" s="41"/>
      <c r="FG132" s="41"/>
      <c r="FH132" s="41"/>
      <c r="FI132" s="41"/>
      <c r="FJ132" s="41"/>
      <c r="FK132" s="41"/>
      <c r="FL132" s="41"/>
      <c r="FM132" s="41"/>
      <c r="FN132" s="41"/>
      <c r="FO132" s="41"/>
      <c r="FP132" s="41"/>
      <c r="FQ132" s="41"/>
      <c r="FR132" s="41"/>
      <c r="FS132" s="41"/>
      <c r="FT132" s="41"/>
      <c r="FU132" s="41"/>
      <c r="FV132" s="41"/>
      <c r="FW132" s="41"/>
      <c r="FX132" s="41"/>
      <c r="FY132" s="41"/>
      <c r="FZ132" s="41"/>
      <c r="GA132" s="41"/>
      <c r="GB132" s="41"/>
      <c r="GC132" s="41"/>
      <c r="GD132" s="41"/>
      <c r="GE132" s="41"/>
      <c r="GF132" s="41"/>
      <c r="GG132" s="41"/>
      <c r="GH132" s="41"/>
      <c r="GI132" s="41"/>
      <c r="GJ132" s="41"/>
      <c r="GK132" s="41"/>
      <c r="GL132" s="41"/>
      <c r="GM132" s="41"/>
      <c r="GN132" s="41"/>
      <c r="GO132" s="41"/>
      <c r="GP132" s="41"/>
      <c r="GQ132" s="41"/>
      <c r="GR132" s="41"/>
      <c r="GS132" s="41"/>
      <c r="GT132" s="41"/>
      <c r="GU132" s="41"/>
      <c r="GV132" s="41"/>
      <c r="GW132" s="41"/>
      <c r="GX132" s="41"/>
      <c r="GY132" s="41"/>
      <c r="GZ132" s="41"/>
      <c r="HA132" s="41"/>
      <c r="HB132" s="41"/>
      <c r="HC132" s="41"/>
      <c r="HD132" s="41"/>
      <c r="HE132" s="41"/>
      <c r="HF132" s="41"/>
      <c r="HG132" s="41"/>
      <c r="HH132" s="41"/>
      <c r="HI132" s="41"/>
      <c r="HJ132" s="41"/>
      <c r="HK132" s="41"/>
      <c r="HL132" s="41"/>
      <c r="HM132" s="41"/>
      <c r="HN132" s="41"/>
      <c r="HO132" s="41"/>
      <c r="HP132" s="41"/>
    </row>
    <row r="133" spans="3:224" s="5" customFormat="1" ht="20.100000000000001" customHeight="1">
      <c r="C133" s="35">
        <v>14110003</v>
      </c>
      <c r="D133" s="35" t="s">
        <v>175</v>
      </c>
      <c r="E133" s="36">
        <v>1140003</v>
      </c>
      <c r="F133" s="36">
        <v>11012</v>
      </c>
      <c r="G133" s="36">
        <v>1</v>
      </c>
      <c r="H133" s="36">
        <v>20</v>
      </c>
      <c r="I133" s="39">
        <v>0.2</v>
      </c>
      <c r="J133" s="40">
        <v>5</v>
      </c>
      <c r="K133" s="14">
        <v>0</v>
      </c>
      <c r="L133" s="36">
        <v>1300</v>
      </c>
      <c r="M133" s="36">
        <f t="shared" si="13"/>
        <v>0</v>
      </c>
      <c r="N133" s="36">
        <v>0</v>
      </c>
      <c r="O133" s="36">
        <v>0</v>
      </c>
      <c r="P133" s="36">
        <v>0</v>
      </c>
      <c r="Q133" s="36">
        <f t="shared" si="14"/>
        <v>14</v>
      </c>
      <c r="R133" s="36">
        <v>28</v>
      </c>
      <c r="S133" s="36">
        <f t="shared" si="15"/>
        <v>14</v>
      </c>
      <c r="T133" s="36">
        <v>28</v>
      </c>
      <c r="U133" s="39">
        <v>0</v>
      </c>
      <c r="V133" s="36">
        <v>0</v>
      </c>
      <c r="W133" s="36">
        <v>0</v>
      </c>
      <c r="X133" s="36">
        <v>0</v>
      </c>
      <c r="Y133" s="39">
        <v>0</v>
      </c>
      <c r="Z133" s="39">
        <v>0</v>
      </c>
      <c r="AA133" s="39">
        <v>0</v>
      </c>
      <c r="AB133" s="39">
        <v>0</v>
      </c>
      <c r="AC133" s="39">
        <v>0</v>
      </c>
      <c r="AD133" s="39">
        <v>0</v>
      </c>
      <c r="AE133" s="39"/>
      <c r="AF133" s="41"/>
      <c r="AG133" s="41"/>
      <c r="AH133" s="41"/>
      <c r="AI133" s="41"/>
      <c r="AJ133" s="41"/>
      <c r="AK133" s="41"/>
      <c r="AL133" s="41"/>
      <c r="AM133" s="41"/>
      <c r="AN133" s="41"/>
      <c r="AO133" s="41"/>
      <c r="AP133" s="41"/>
      <c r="AQ133" s="41"/>
      <c r="AR133" s="41"/>
      <c r="AS133" s="41"/>
      <c r="AT133" s="41"/>
      <c r="AU133" s="41"/>
      <c r="AV133" s="41"/>
      <c r="AW133" s="41"/>
      <c r="AX133" s="41"/>
      <c r="AY133" s="41"/>
      <c r="AZ133" s="41"/>
      <c r="BA133" s="41"/>
      <c r="BB133" s="41"/>
      <c r="BC133" s="41"/>
      <c r="BD133" s="41"/>
      <c r="BE133" s="41"/>
      <c r="BF133" s="41"/>
      <c r="BG133" s="41"/>
      <c r="BH133" s="41"/>
      <c r="BI133" s="41"/>
      <c r="BJ133" s="41"/>
      <c r="BK133" s="41"/>
      <c r="BL133" s="41"/>
      <c r="BM133" s="41"/>
      <c r="BN133" s="41"/>
      <c r="BO133" s="41"/>
      <c r="BP133" s="41"/>
      <c r="BQ133" s="41"/>
      <c r="BR133" s="41"/>
      <c r="BS133" s="41"/>
      <c r="BT133" s="41"/>
      <c r="BU133" s="41"/>
      <c r="BV133" s="41"/>
      <c r="BW133" s="41"/>
      <c r="BX133" s="41"/>
      <c r="BY133" s="41"/>
      <c r="BZ133" s="41"/>
      <c r="CA133" s="41"/>
      <c r="CB133" s="41"/>
      <c r="CC133" s="41"/>
      <c r="CD133" s="41"/>
      <c r="CE133" s="41"/>
      <c r="CF133" s="41"/>
      <c r="CG133" s="41"/>
      <c r="CH133" s="41"/>
      <c r="CI133" s="41"/>
      <c r="CJ133" s="41"/>
      <c r="CK133" s="41"/>
      <c r="CL133" s="41"/>
      <c r="CM133" s="41"/>
      <c r="CN133" s="41"/>
      <c r="CO133" s="41"/>
      <c r="CP133" s="41"/>
      <c r="CQ133" s="41"/>
      <c r="CR133" s="41"/>
      <c r="CS133" s="41"/>
      <c r="CT133" s="41"/>
      <c r="CU133" s="41"/>
      <c r="CV133" s="41"/>
      <c r="CW133" s="41"/>
      <c r="CX133" s="41"/>
      <c r="CY133" s="41"/>
      <c r="CZ133" s="41"/>
      <c r="DA133" s="41"/>
      <c r="DB133" s="41"/>
      <c r="DC133" s="41"/>
      <c r="DD133" s="41"/>
      <c r="DE133" s="41"/>
      <c r="DF133" s="41"/>
      <c r="DG133" s="41"/>
      <c r="DH133" s="41"/>
      <c r="DI133" s="41"/>
      <c r="DJ133" s="41"/>
      <c r="DK133" s="41"/>
      <c r="DL133" s="41"/>
      <c r="DM133" s="41"/>
      <c r="DN133" s="41"/>
      <c r="DO133" s="41"/>
      <c r="DP133" s="41"/>
      <c r="DQ133" s="41"/>
      <c r="DR133" s="41"/>
      <c r="DS133" s="41"/>
      <c r="DT133" s="41"/>
      <c r="DU133" s="41"/>
      <c r="DV133" s="41"/>
      <c r="DW133" s="41"/>
      <c r="DX133" s="41"/>
      <c r="DY133" s="41"/>
      <c r="DZ133" s="41"/>
      <c r="EA133" s="41"/>
      <c r="EB133" s="41"/>
      <c r="EC133" s="41"/>
      <c r="ED133" s="41"/>
      <c r="EE133" s="41"/>
      <c r="EF133" s="41"/>
      <c r="EG133" s="41"/>
      <c r="EH133" s="41"/>
      <c r="EI133" s="41"/>
      <c r="EJ133" s="41"/>
      <c r="EK133" s="41"/>
      <c r="EL133" s="41"/>
      <c r="EM133" s="41"/>
      <c r="EN133" s="41"/>
      <c r="EO133" s="41"/>
      <c r="EP133" s="41"/>
      <c r="EQ133" s="41"/>
      <c r="ER133" s="41"/>
      <c r="ES133" s="41"/>
      <c r="ET133" s="41"/>
      <c r="EU133" s="41"/>
      <c r="EV133" s="41"/>
      <c r="EW133" s="41"/>
      <c r="EX133" s="41"/>
      <c r="EY133" s="41"/>
      <c r="EZ133" s="41"/>
      <c r="FA133" s="41"/>
      <c r="FB133" s="41"/>
      <c r="FC133" s="41"/>
      <c r="FD133" s="41"/>
      <c r="FE133" s="41"/>
      <c r="FF133" s="41"/>
      <c r="FG133" s="41"/>
      <c r="FH133" s="41"/>
      <c r="FI133" s="41"/>
      <c r="FJ133" s="41"/>
      <c r="FK133" s="41"/>
      <c r="FL133" s="41"/>
      <c r="FM133" s="41"/>
      <c r="FN133" s="41"/>
      <c r="FO133" s="41"/>
      <c r="FP133" s="41"/>
      <c r="FQ133" s="41"/>
      <c r="FR133" s="41"/>
      <c r="FS133" s="41"/>
      <c r="FT133" s="41"/>
      <c r="FU133" s="41"/>
      <c r="FV133" s="41"/>
      <c r="FW133" s="41"/>
      <c r="FX133" s="41"/>
      <c r="FY133" s="41"/>
      <c r="FZ133" s="41"/>
      <c r="GA133" s="41"/>
      <c r="GB133" s="41"/>
      <c r="GC133" s="41"/>
      <c r="GD133" s="41"/>
      <c r="GE133" s="41"/>
      <c r="GF133" s="41"/>
      <c r="GG133" s="41"/>
      <c r="GH133" s="41"/>
      <c r="GI133" s="41"/>
      <c r="GJ133" s="41"/>
      <c r="GK133" s="41"/>
      <c r="GL133" s="41"/>
      <c r="GM133" s="41"/>
      <c r="GN133" s="41"/>
      <c r="GO133" s="41"/>
      <c r="GP133" s="41"/>
      <c r="GQ133" s="41"/>
      <c r="GR133" s="41"/>
      <c r="GS133" s="41"/>
      <c r="GT133" s="41"/>
      <c r="GU133" s="41"/>
      <c r="GV133" s="41"/>
      <c r="GW133" s="41"/>
      <c r="GX133" s="41"/>
      <c r="GY133" s="41"/>
      <c r="GZ133" s="41"/>
      <c r="HA133" s="41"/>
      <c r="HB133" s="41"/>
      <c r="HC133" s="41"/>
      <c r="HD133" s="41"/>
      <c r="HE133" s="41"/>
      <c r="HF133" s="41"/>
      <c r="HG133" s="41"/>
      <c r="HH133" s="41"/>
      <c r="HI133" s="41"/>
      <c r="HJ133" s="41"/>
      <c r="HK133" s="41"/>
      <c r="HL133" s="41"/>
      <c r="HM133" s="41"/>
      <c r="HN133" s="41"/>
      <c r="HO133" s="41"/>
      <c r="HP133" s="41"/>
    </row>
    <row r="134" spans="3:224" s="5" customFormat="1" ht="20.100000000000001" customHeight="1">
      <c r="C134" s="35">
        <v>14110004</v>
      </c>
      <c r="D134" s="35" t="s">
        <v>176</v>
      </c>
      <c r="E134" s="36">
        <v>1140003</v>
      </c>
      <c r="F134" s="36">
        <v>11041</v>
      </c>
      <c r="G134" s="36">
        <v>1</v>
      </c>
      <c r="H134" s="36">
        <v>20</v>
      </c>
      <c r="I134" s="39">
        <v>0.2</v>
      </c>
      <c r="J134" s="40">
        <v>10</v>
      </c>
      <c r="K134" s="14">
        <v>0</v>
      </c>
      <c r="L134" s="36">
        <v>1580</v>
      </c>
      <c r="M134" s="36">
        <f t="shared" si="13"/>
        <v>0</v>
      </c>
      <c r="N134" s="36">
        <v>0</v>
      </c>
      <c r="O134" s="36">
        <v>0</v>
      </c>
      <c r="P134" s="36">
        <v>0</v>
      </c>
      <c r="Q134" s="36">
        <f t="shared" si="14"/>
        <v>19</v>
      </c>
      <c r="R134" s="36">
        <v>38</v>
      </c>
      <c r="S134" s="36">
        <f t="shared" si="15"/>
        <v>19</v>
      </c>
      <c r="T134" s="36">
        <v>38</v>
      </c>
      <c r="U134" s="39">
        <v>0</v>
      </c>
      <c r="V134" s="36">
        <v>0</v>
      </c>
      <c r="W134" s="36">
        <v>0</v>
      </c>
      <c r="X134" s="36">
        <v>0</v>
      </c>
      <c r="Y134" s="39">
        <v>0</v>
      </c>
      <c r="Z134" s="39">
        <v>0</v>
      </c>
      <c r="AA134" s="39">
        <v>0</v>
      </c>
      <c r="AB134" s="39">
        <v>0</v>
      </c>
      <c r="AC134" s="39">
        <v>0</v>
      </c>
      <c r="AD134" s="39">
        <v>0</v>
      </c>
      <c r="AE134" s="39"/>
      <c r="AF134" s="41"/>
      <c r="AG134" s="41"/>
      <c r="AH134" s="41"/>
      <c r="AI134" s="41"/>
      <c r="AJ134" s="41"/>
      <c r="AK134" s="41"/>
      <c r="AL134" s="41"/>
      <c r="AM134" s="41"/>
      <c r="AN134" s="41"/>
      <c r="AO134" s="41"/>
      <c r="AP134" s="41"/>
      <c r="AQ134" s="41"/>
      <c r="AR134" s="41"/>
      <c r="AS134" s="41"/>
      <c r="AT134" s="41"/>
      <c r="AU134" s="41"/>
      <c r="AV134" s="41"/>
      <c r="AW134" s="41"/>
      <c r="AX134" s="41"/>
      <c r="AY134" s="41"/>
      <c r="AZ134" s="41"/>
      <c r="BA134" s="41"/>
      <c r="BB134" s="41"/>
      <c r="BC134" s="41"/>
      <c r="BD134" s="41"/>
      <c r="BE134" s="41"/>
      <c r="BF134" s="41"/>
      <c r="BG134" s="41"/>
      <c r="BH134" s="41"/>
      <c r="BI134" s="41"/>
      <c r="BJ134" s="41"/>
      <c r="BK134" s="41"/>
      <c r="BL134" s="41"/>
      <c r="BM134" s="41"/>
      <c r="BN134" s="41"/>
      <c r="BO134" s="41"/>
      <c r="BP134" s="41"/>
      <c r="BQ134" s="41"/>
      <c r="BR134" s="41"/>
      <c r="BS134" s="41"/>
      <c r="BT134" s="41"/>
      <c r="BU134" s="41"/>
      <c r="BV134" s="41"/>
      <c r="BW134" s="41"/>
      <c r="BX134" s="41"/>
      <c r="BY134" s="41"/>
      <c r="BZ134" s="41"/>
      <c r="CA134" s="41"/>
      <c r="CB134" s="41"/>
      <c r="CC134" s="41"/>
      <c r="CD134" s="41"/>
      <c r="CE134" s="41"/>
      <c r="CF134" s="41"/>
      <c r="CG134" s="41"/>
      <c r="CH134" s="41"/>
      <c r="CI134" s="41"/>
      <c r="CJ134" s="41"/>
      <c r="CK134" s="41"/>
      <c r="CL134" s="41"/>
      <c r="CM134" s="41"/>
      <c r="CN134" s="41"/>
      <c r="CO134" s="41"/>
      <c r="CP134" s="41"/>
      <c r="CQ134" s="41"/>
      <c r="CR134" s="41"/>
      <c r="CS134" s="41"/>
      <c r="CT134" s="41"/>
      <c r="CU134" s="41"/>
      <c r="CV134" s="41"/>
      <c r="CW134" s="41"/>
      <c r="CX134" s="41"/>
      <c r="CY134" s="41"/>
      <c r="CZ134" s="41"/>
      <c r="DA134" s="41"/>
      <c r="DB134" s="41"/>
      <c r="DC134" s="41"/>
      <c r="DD134" s="41"/>
      <c r="DE134" s="41"/>
      <c r="DF134" s="41"/>
      <c r="DG134" s="41"/>
      <c r="DH134" s="41"/>
      <c r="DI134" s="41"/>
      <c r="DJ134" s="41"/>
      <c r="DK134" s="41"/>
      <c r="DL134" s="41"/>
      <c r="DM134" s="41"/>
      <c r="DN134" s="41"/>
      <c r="DO134" s="41"/>
      <c r="DP134" s="41"/>
      <c r="DQ134" s="41"/>
      <c r="DR134" s="41"/>
      <c r="DS134" s="41"/>
      <c r="DT134" s="41"/>
      <c r="DU134" s="41"/>
      <c r="DV134" s="41"/>
      <c r="DW134" s="41"/>
      <c r="DX134" s="41"/>
      <c r="DY134" s="41"/>
      <c r="DZ134" s="41"/>
      <c r="EA134" s="41"/>
      <c r="EB134" s="41"/>
      <c r="EC134" s="41"/>
      <c r="ED134" s="41"/>
      <c r="EE134" s="41"/>
      <c r="EF134" s="41"/>
      <c r="EG134" s="41"/>
      <c r="EH134" s="41"/>
      <c r="EI134" s="41"/>
      <c r="EJ134" s="41"/>
      <c r="EK134" s="41"/>
      <c r="EL134" s="41"/>
      <c r="EM134" s="41"/>
      <c r="EN134" s="41"/>
      <c r="EO134" s="41"/>
      <c r="EP134" s="41"/>
      <c r="EQ134" s="41"/>
      <c r="ER134" s="41"/>
      <c r="ES134" s="41"/>
      <c r="ET134" s="41"/>
      <c r="EU134" s="41"/>
      <c r="EV134" s="41"/>
      <c r="EW134" s="41"/>
      <c r="EX134" s="41"/>
      <c r="EY134" s="41"/>
      <c r="EZ134" s="41"/>
      <c r="FA134" s="41"/>
      <c r="FB134" s="41"/>
      <c r="FC134" s="41"/>
      <c r="FD134" s="41"/>
      <c r="FE134" s="41"/>
      <c r="FF134" s="41"/>
      <c r="FG134" s="41"/>
      <c r="FH134" s="41"/>
      <c r="FI134" s="41"/>
      <c r="FJ134" s="41"/>
      <c r="FK134" s="41"/>
      <c r="FL134" s="41"/>
      <c r="FM134" s="41"/>
      <c r="FN134" s="41"/>
      <c r="FO134" s="41"/>
      <c r="FP134" s="41"/>
      <c r="FQ134" s="41"/>
      <c r="FR134" s="41"/>
      <c r="FS134" s="41"/>
      <c r="FT134" s="41"/>
      <c r="FU134" s="41"/>
      <c r="FV134" s="41"/>
      <c r="FW134" s="41"/>
      <c r="FX134" s="41"/>
      <c r="FY134" s="41"/>
      <c r="FZ134" s="41"/>
      <c r="GA134" s="41"/>
      <c r="GB134" s="41"/>
      <c r="GC134" s="41"/>
      <c r="GD134" s="41"/>
      <c r="GE134" s="41"/>
      <c r="GF134" s="41"/>
      <c r="GG134" s="41"/>
      <c r="GH134" s="41"/>
      <c r="GI134" s="41"/>
      <c r="GJ134" s="41"/>
      <c r="GK134" s="41"/>
      <c r="GL134" s="41"/>
      <c r="GM134" s="41"/>
      <c r="GN134" s="41"/>
      <c r="GO134" s="41"/>
      <c r="GP134" s="41"/>
      <c r="GQ134" s="41"/>
      <c r="GR134" s="41"/>
      <c r="GS134" s="41"/>
      <c r="GT134" s="41"/>
      <c r="GU134" s="41"/>
      <c r="GV134" s="41"/>
      <c r="GW134" s="41"/>
      <c r="GX134" s="41"/>
      <c r="GY134" s="41"/>
      <c r="GZ134" s="41"/>
      <c r="HA134" s="41"/>
      <c r="HB134" s="41"/>
      <c r="HC134" s="41"/>
      <c r="HD134" s="41"/>
      <c r="HE134" s="41"/>
      <c r="HF134" s="41"/>
      <c r="HG134" s="41"/>
      <c r="HH134" s="41"/>
      <c r="HI134" s="41"/>
      <c r="HJ134" s="41"/>
      <c r="HK134" s="41"/>
      <c r="HL134" s="41"/>
      <c r="HM134" s="41"/>
      <c r="HN134" s="41"/>
      <c r="HO134" s="41"/>
      <c r="HP134" s="41"/>
    </row>
    <row r="135" spans="3:224" s="5" customFormat="1" ht="20.100000000000001" customHeight="1">
      <c r="C135" s="35">
        <v>14110005</v>
      </c>
      <c r="D135" s="35" t="s">
        <v>177</v>
      </c>
      <c r="E135" s="36">
        <v>1140003</v>
      </c>
      <c r="F135" s="36">
        <v>0</v>
      </c>
      <c r="G135" s="36">
        <v>1</v>
      </c>
      <c r="H135" s="36">
        <v>20</v>
      </c>
      <c r="I135" s="39">
        <v>0.2</v>
      </c>
      <c r="J135" s="40">
        <v>5</v>
      </c>
      <c r="K135" s="14">
        <v>0</v>
      </c>
      <c r="L135" s="36">
        <v>310</v>
      </c>
      <c r="M135" s="36">
        <f t="shared" si="13"/>
        <v>0</v>
      </c>
      <c r="N135" s="36">
        <v>0</v>
      </c>
      <c r="O135" s="36">
        <v>0</v>
      </c>
      <c r="P135" s="36">
        <v>0</v>
      </c>
      <c r="Q135" s="36">
        <f t="shared" si="14"/>
        <v>5</v>
      </c>
      <c r="R135" s="36">
        <v>9</v>
      </c>
      <c r="S135" s="36">
        <f t="shared" si="15"/>
        <v>5</v>
      </c>
      <c r="T135" s="36">
        <v>9</v>
      </c>
      <c r="U135" s="39">
        <v>0</v>
      </c>
      <c r="V135" s="36">
        <v>0</v>
      </c>
      <c r="W135" s="36">
        <v>0</v>
      </c>
      <c r="X135" s="36">
        <v>0</v>
      </c>
      <c r="Y135" s="39">
        <v>0</v>
      </c>
      <c r="Z135" s="39">
        <v>0</v>
      </c>
      <c r="AA135" s="39">
        <v>0</v>
      </c>
      <c r="AB135" s="39">
        <v>0</v>
      </c>
      <c r="AC135" s="39">
        <v>0</v>
      </c>
      <c r="AD135" s="39">
        <v>0</v>
      </c>
      <c r="AE135" s="39"/>
      <c r="AF135" s="41"/>
      <c r="AG135" s="41"/>
      <c r="AH135" s="41"/>
      <c r="AI135" s="41"/>
      <c r="AJ135" s="41"/>
      <c r="AK135" s="41"/>
      <c r="AL135" s="41"/>
      <c r="AM135" s="41"/>
      <c r="AN135" s="41"/>
      <c r="AO135" s="41"/>
      <c r="AP135" s="41"/>
      <c r="AQ135" s="41"/>
      <c r="AR135" s="41"/>
      <c r="AS135" s="41"/>
      <c r="AT135" s="41"/>
      <c r="AU135" s="41"/>
      <c r="AV135" s="41"/>
      <c r="AW135" s="41"/>
      <c r="AX135" s="41"/>
      <c r="AY135" s="41"/>
      <c r="AZ135" s="41"/>
      <c r="BA135" s="41"/>
      <c r="BB135" s="41"/>
      <c r="BC135" s="41"/>
      <c r="BD135" s="41"/>
      <c r="BE135" s="41"/>
      <c r="BF135" s="41"/>
      <c r="BG135" s="41"/>
      <c r="BH135" s="41"/>
      <c r="BI135" s="41"/>
      <c r="BJ135" s="41"/>
      <c r="BK135" s="41"/>
      <c r="BL135" s="41"/>
      <c r="BM135" s="41"/>
      <c r="BN135" s="41"/>
      <c r="BO135" s="41"/>
      <c r="BP135" s="41"/>
      <c r="BQ135" s="41"/>
      <c r="BR135" s="41"/>
      <c r="BS135" s="41"/>
      <c r="BT135" s="41"/>
      <c r="BU135" s="41"/>
      <c r="BV135" s="41"/>
      <c r="BW135" s="41"/>
      <c r="BX135" s="41"/>
      <c r="BY135" s="41"/>
      <c r="BZ135" s="41"/>
      <c r="CA135" s="41"/>
      <c r="CB135" s="41"/>
      <c r="CC135" s="41"/>
      <c r="CD135" s="41"/>
      <c r="CE135" s="41"/>
      <c r="CF135" s="41"/>
      <c r="CG135" s="41"/>
      <c r="CH135" s="41"/>
      <c r="CI135" s="41"/>
      <c r="CJ135" s="41"/>
      <c r="CK135" s="41"/>
      <c r="CL135" s="41"/>
      <c r="CM135" s="41"/>
      <c r="CN135" s="41"/>
      <c r="CO135" s="41"/>
      <c r="CP135" s="41"/>
      <c r="CQ135" s="41"/>
      <c r="CR135" s="41"/>
      <c r="CS135" s="41"/>
      <c r="CT135" s="41"/>
      <c r="CU135" s="41"/>
      <c r="CV135" s="41"/>
      <c r="CW135" s="41"/>
      <c r="CX135" s="41"/>
      <c r="CY135" s="41"/>
      <c r="CZ135" s="41"/>
      <c r="DA135" s="41"/>
      <c r="DB135" s="41"/>
      <c r="DC135" s="41"/>
      <c r="DD135" s="41"/>
      <c r="DE135" s="41"/>
      <c r="DF135" s="41"/>
      <c r="DG135" s="41"/>
      <c r="DH135" s="41"/>
      <c r="DI135" s="41"/>
      <c r="DJ135" s="41"/>
      <c r="DK135" s="41"/>
      <c r="DL135" s="41"/>
      <c r="DM135" s="41"/>
      <c r="DN135" s="41"/>
      <c r="DO135" s="41"/>
      <c r="DP135" s="41"/>
      <c r="DQ135" s="41"/>
      <c r="DR135" s="41"/>
      <c r="DS135" s="41"/>
      <c r="DT135" s="41"/>
      <c r="DU135" s="41"/>
      <c r="DV135" s="41"/>
      <c r="DW135" s="41"/>
      <c r="DX135" s="41"/>
      <c r="DY135" s="41"/>
      <c r="DZ135" s="41"/>
      <c r="EA135" s="41"/>
      <c r="EB135" s="41"/>
      <c r="EC135" s="41"/>
      <c r="ED135" s="41"/>
      <c r="EE135" s="41"/>
      <c r="EF135" s="41"/>
      <c r="EG135" s="41"/>
      <c r="EH135" s="41"/>
      <c r="EI135" s="41"/>
      <c r="EJ135" s="41"/>
      <c r="EK135" s="41"/>
      <c r="EL135" s="41"/>
      <c r="EM135" s="41"/>
      <c r="EN135" s="41"/>
      <c r="EO135" s="41"/>
      <c r="EP135" s="41"/>
      <c r="EQ135" s="41"/>
      <c r="ER135" s="41"/>
      <c r="ES135" s="41"/>
      <c r="ET135" s="41"/>
      <c r="EU135" s="41"/>
      <c r="EV135" s="41"/>
      <c r="EW135" s="41"/>
      <c r="EX135" s="41"/>
      <c r="EY135" s="41"/>
      <c r="EZ135" s="41"/>
      <c r="FA135" s="41"/>
      <c r="FB135" s="41"/>
      <c r="FC135" s="41"/>
      <c r="FD135" s="41"/>
      <c r="FE135" s="41"/>
      <c r="FF135" s="41"/>
      <c r="FG135" s="41"/>
      <c r="FH135" s="41"/>
      <c r="FI135" s="41"/>
      <c r="FJ135" s="41"/>
      <c r="FK135" s="41"/>
      <c r="FL135" s="41"/>
      <c r="FM135" s="41"/>
      <c r="FN135" s="41"/>
      <c r="FO135" s="41"/>
      <c r="FP135" s="41"/>
      <c r="FQ135" s="41"/>
      <c r="FR135" s="41"/>
      <c r="FS135" s="41"/>
      <c r="FT135" s="41"/>
      <c r="FU135" s="41"/>
      <c r="FV135" s="41"/>
      <c r="FW135" s="41"/>
      <c r="FX135" s="41"/>
      <c r="FY135" s="41"/>
      <c r="FZ135" s="41"/>
      <c r="GA135" s="41"/>
      <c r="GB135" s="41"/>
      <c r="GC135" s="41"/>
      <c r="GD135" s="41"/>
      <c r="GE135" s="41"/>
      <c r="GF135" s="41"/>
      <c r="GG135" s="41"/>
      <c r="GH135" s="41"/>
      <c r="GI135" s="41"/>
      <c r="GJ135" s="41"/>
      <c r="GK135" s="41"/>
      <c r="GL135" s="41"/>
      <c r="GM135" s="41"/>
      <c r="GN135" s="41"/>
      <c r="GO135" s="41"/>
      <c r="GP135" s="41"/>
      <c r="GQ135" s="41"/>
      <c r="GR135" s="41"/>
      <c r="GS135" s="41"/>
      <c r="GT135" s="41"/>
      <c r="GU135" s="41"/>
      <c r="GV135" s="41"/>
      <c r="GW135" s="41"/>
      <c r="GX135" s="41"/>
      <c r="GY135" s="41"/>
      <c r="GZ135" s="41"/>
      <c r="HA135" s="41"/>
      <c r="HB135" s="41"/>
      <c r="HC135" s="41"/>
      <c r="HD135" s="41"/>
      <c r="HE135" s="41"/>
      <c r="HF135" s="41"/>
      <c r="HG135" s="41"/>
      <c r="HH135" s="41"/>
      <c r="HI135" s="41"/>
      <c r="HJ135" s="41"/>
      <c r="HK135" s="41"/>
      <c r="HL135" s="41"/>
      <c r="HM135" s="41"/>
      <c r="HN135" s="41"/>
      <c r="HO135" s="41"/>
      <c r="HP135" s="41"/>
    </row>
    <row r="136" spans="3:224" s="5" customFormat="1" ht="20.100000000000001" customHeight="1">
      <c r="C136" s="35">
        <v>14110006</v>
      </c>
      <c r="D136" s="35" t="s">
        <v>178</v>
      </c>
      <c r="E136" s="36">
        <v>1140003</v>
      </c>
      <c r="F136" s="36">
        <v>0</v>
      </c>
      <c r="G136" s="36">
        <v>1</v>
      </c>
      <c r="H136" s="36">
        <v>20</v>
      </c>
      <c r="I136" s="39">
        <v>0.2</v>
      </c>
      <c r="J136" s="40">
        <v>5</v>
      </c>
      <c r="K136" s="14">
        <v>0</v>
      </c>
      <c r="L136" s="36">
        <v>550</v>
      </c>
      <c r="M136" s="36">
        <f t="shared" si="13"/>
        <v>0</v>
      </c>
      <c r="N136" s="36">
        <v>0</v>
      </c>
      <c r="O136" s="36">
        <v>0</v>
      </c>
      <c r="P136" s="36">
        <v>0</v>
      </c>
      <c r="Q136" s="36">
        <f t="shared" si="14"/>
        <v>9</v>
      </c>
      <c r="R136" s="36">
        <v>18</v>
      </c>
      <c r="S136" s="36">
        <f t="shared" si="15"/>
        <v>9</v>
      </c>
      <c r="T136" s="36">
        <v>18</v>
      </c>
      <c r="U136" s="39">
        <v>0</v>
      </c>
      <c r="V136" s="36">
        <v>0</v>
      </c>
      <c r="W136" s="36">
        <v>0</v>
      </c>
      <c r="X136" s="36">
        <v>0</v>
      </c>
      <c r="Y136" s="39">
        <v>0</v>
      </c>
      <c r="Z136" s="39">
        <v>0</v>
      </c>
      <c r="AA136" s="39">
        <v>0</v>
      </c>
      <c r="AB136" s="39">
        <v>0</v>
      </c>
      <c r="AC136" s="39">
        <v>0</v>
      </c>
      <c r="AD136" s="39">
        <v>0</v>
      </c>
      <c r="AE136" s="39"/>
      <c r="AF136" s="41"/>
      <c r="AG136" s="41"/>
      <c r="AH136" s="41"/>
      <c r="AI136" s="41"/>
      <c r="AJ136" s="41"/>
      <c r="AK136" s="41"/>
      <c r="AL136" s="41"/>
      <c r="AM136" s="41"/>
      <c r="AN136" s="41"/>
      <c r="AO136" s="41"/>
      <c r="AP136" s="41"/>
      <c r="AQ136" s="41"/>
      <c r="AR136" s="41"/>
      <c r="AS136" s="41"/>
      <c r="AT136" s="41"/>
      <c r="AU136" s="41"/>
      <c r="AV136" s="41"/>
      <c r="AW136" s="41"/>
      <c r="AX136" s="41"/>
      <c r="AY136" s="41"/>
      <c r="AZ136" s="41"/>
      <c r="BA136" s="41"/>
      <c r="BB136" s="41"/>
      <c r="BC136" s="41"/>
      <c r="BD136" s="41"/>
      <c r="BE136" s="41"/>
      <c r="BF136" s="41"/>
      <c r="BG136" s="41"/>
      <c r="BH136" s="41"/>
      <c r="BI136" s="41"/>
      <c r="BJ136" s="41"/>
      <c r="BK136" s="41"/>
      <c r="BL136" s="41"/>
      <c r="BM136" s="41"/>
      <c r="BN136" s="41"/>
      <c r="BO136" s="41"/>
      <c r="BP136" s="41"/>
      <c r="BQ136" s="41"/>
      <c r="BR136" s="41"/>
      <c r="BS136" s="41"/>
      <c r="BT136" s="41"/>
      <c r="BU136" s="41"/>
      <c r="BV136" s="41"/>
      <c r="BW136" s="41"/>
      <c r="BX136" s="41"/>
      <c r="BY136" s="41"/>
      <c r="BZ136" s="41"/>
      <c r="CA136" s="41"/>
      <c r="CB136" s="41"/>
      <c r="CC136" s="41"/>
      <c r="CD136" s="41"/>
      <c r="CE136" s="41"/>
      <c r="CF136" s="41"/>
      <c r="CG136" s="41"/>
      <c r="CH136" s="41"/>
      <c r="CI136" s="41"/>
      <c r="CJ136" s="41"/>
      <c r="CK136" s="41"/>
      <c r="CL136" s="41"/>
      <c r="CM136" s="41"/>
      <c r="CN136" s="41"/>
      <c r="CO136" s="41"/>
      <c r="CP136" s="41"/>
      <c r="CQ136" s="41"/>
      <c r="CR136" s="41"/>
      <c r="CS136" s="41"/>
      <c r="CT136" s="41"/>
      <c r="CU136" s="41"/>
      <c r="CV136" s="41"/>
      <c r="CW136" s="41"/>
      <c r="CX136" s="41"/>
      <c r="CY136" s="41"/>
      <c r="CZ136" s="41"/>
      <c r="DA136" s="41"/>
      <c r="DB136" s="41"/>
      <c r="DC136" s="41"/>
      <c r="DD136" s="41"/>
      <c r="DE136" s="41"/>
      <c r="DF136" s="41"/>
      <c r="DG136" s="41"/>
      <c r="DH136" s="41"/>
      <c r="DI136" s="41"/>
      <c r="DJ136" s="41"/>
      <c r="DK136" s="41"/>
      <c r="DL136" s="41"/>
      <c r="DM136" s="41"/>
      <c r="DN136" s="41"/>
      <c r="DO136" s="41"/>
      <c r="DP136" s="41"/>
      <c r="DQ136" s="41"/>
      <c r="DR136" s="41"/>
      <c r="DS136" s="41"/>
      <c r="DT136" s="41"/>
      <c r="DU136" s="41"/>
      <c r="DV136" s="41"/>
      <c r="DW136" s="41"/>
      <c r="DX136" s="41"/>
      <c r="DY136" s="41"/>
      <c r="DZ136" s="41"/>
      <c r="EA136" s="41"/>
      <c r="EB136" s="41"/>
      <c r="EC136" s="41"/>
      <c r="ED136" s="41"/>
      <c r="EE136" s="41"/>
      <c r="EF136" s="41"/>
      <c r="EG136" s="41"/>
      <c r="EH136" s="41"/>
      <c r="EI136" s="41"/>
      <c r="EJ136" s="41"/>
      <c r="EK136" s="41"/>
      <c r="EL136" s="41"/>
      <c r="EM136" s="41"/>
      <c r="EN136" s="41"/>
      <c r="EO136" s="41"/>
      <c r="EP136" s="41"/>
      <c r="EQ136" s="41"/>
      <c r="ER136" s="41"/>
      <c r="ES136" s="41"/>
      <c r="ET136" s="41"/>
      <c r="EU136" s="41"/>
      <c r="EV136" s="41"/>
      <c r="EW136" s="41"/>
      <c r="EX136" s="41"/>
      <c r="EY136" s="41"/>
      <c r="EZ136" s="41"/>
      <c r="FA136" s="41"/>
      <c r="FB136" s="41"/>
      <c r="FC136" s="41"/>
      <c r="FD136" s="41"/>
      <c r="FE136" s="41"/>
      <c r="FF136" s="41"/>
      <c r="FG136" s="41"/>
      <c r="FH136" s="41"/>
      <c r="FI136" s="41"/>
      <c r="FJ136" s="41"/>
      <c r="FK136" s="41"/>
      <c r="FL136" s="41"/>
      <c r="FM136" s="41"/>
      <c r="FN136" s="41"/>
      <c r="FO136" s="41"/>
      <c r="FP136" s="41"/>
      <c r="FQ136" s="41"/>
      <c r="FR136" s="41"/>
      <c r="FS136" s="41"/>
      <c r="FT136" s="41"/>
      <c r="FU136" s="41"/>
      <c r="FV136" s="41"/>
      <c r="FW136" s="41"/>
      <c r="FX136" s="41"/>
      <c r="FY136" s="41"/>
      <c r="FZ136" s="41"/>
      <c r="GA136" s="41"/>
      <c r="GB136" s="41"/>
      <c r="GC136" s="41"/>
      <c r="GD136" s="41"/>
      <c r="GE136" s="41"/>
      <c r="GF136" s="41"/>
      <c r="GG136" s="41"/>
      <c r="GH136" s="41"/>
      <c r="GI136" s="41"/>
      <c r="GJ136" s="41"/>
      <c r="GK136" s="41"/>
      <c r="GL136" s="41"/>
      <c r="GM136" s="41"/>
      <c r="GN136" s="41"/>
      <c r="GO136" s="41"/>
      <c r="GP136" s="41"/>
      <c r="GQ136" s="41"/>
      <c r="GR136" s="41"/>
      <c r="GS136" s="41"/>
      <c r="GT136" s="41"/>
      <c r="GU136" s="41"/>
      <c r="GV136" s="41"/>
      <c r="GW136" s="41"/>
      <c r="GX136" s="41"/>
      <c r="GY136" s="41"/>
      <c r="GZ136" s="41"/>
      <c r="HA136" s="41"/>
      <c r="HB136" s="41"/>
      <c r="HC136" s="41"/>
      <c r="HD136" s="41"/>
      <c r="HE136" s="41"/>
      <c r="HF136" s="41"/>
      <c r="HG136" s="41"/>
      <c r="HH136" s="41"/>
      <c r="HI136" s="41"/>
      <c r="HJ136" s="41"/>
      <c r="HK136" s="41"/>
      <c r="HL136" s="41"/>
      <c r="HM136" s="41"/>
      <c r="HN136" s="41"/>
      <c r="HO136" s="41"/>
      <c r="HP136" s="41"/>
    </row>
    <row r="137" spans="3:224" s="5" customFormat="1" ht="20.100000000000001" customHeight="1">
      <c r="C137" s="35">
        <v>14110007</v>
      </c>
      <c r="D137" s="35" t="s">
        <v>179</v>
      </c>
      <c r="E137" s="36">
        <v>1140003</v>
      </c>
      <c r="F137" s="36">
        <v>11022</v>
      </c>
      <c r="G137" s="36">
        <v>1</v>
      </c>
      <c r="H137" s="36">
        <v>20</v>
      </c>
      <c r="I137" s="39">
        <v>0.2</v>
      </c>
      <c r="J137" s="40">
        <v>5</v>
      </c>
      <c r="K137" s="14">
        <v>0</v>
      </c>
      <c r="L137" s="36">
        <v>650</v>
      </c>
      <c r="M137" s="36">
        <f t="shared" si="13"/>
        <v>0</v>
      </c>
      <c r="N137" s="36">
        <v>0</v>
      </c>
      <c r="O137" s="36">
        <v>0</v>
      </c>
      <c r="P137" s="36">
        <v>0</v>
      </c>
      <c r="Q137" s="36">
        <f t="shared" si="14"/>
        <v>11</v>
      </c>
      <c r="R137" s="36">
        <v>21</v>
      </c>
      <c r="S137" s="36">
        <f t="shared" si="15"/>
        <v>11</v>
      </c>
      <c r="T137" s="36">
        <v>21</v>
      </c>
      <c r="U137" s="39">
        <v>0</v>
      </c>
      <c r="V137" s="36">
        <v>0</v>
      </c>
      <c r="W137" s="36">
        <v>0</v>
      </c>
      <c r="X137" s="36">
        <v>0</v>
      </c>
      <c r="Y137" s="39">
        <v>0</v>
      </c>
      <c r="Z137" s="39">
        <v>0</v>
      </c>
      <c r="AA137" s="39">
        <v>0</v>
      </c>
      <c r="AB137" s="39">
        <v>0</v>
      </c>
      <c r="AC137" s="39">
        <v>0</v>
      </c>
      <c r="AD137" s="39">
        <v>0</v>
      </c>
      <c r="AE137" s="39"/>
      <c r="AF137" s="41"/>
      <c r="AG137" s="41"/>
      <c r="AH137" s="41"/>
      <c r="AI137" s="41"/>
      <c r="AJ137" s="41"/>
      <c r="AK137" s="41"/>
      <c r="AL137" s="41"/>
      <c r="AM137" s="41"/>
      <c r="AN137" s="41"/>
      <c r="AO137" s="41"/>
      <c r="AP137" s="41"/>
      <c r="AQ137" s="41"/>
      <c r="AR137" s="41"/>
      <c r="AS137" s="41"/>
      <c r="AT137" s="41"/>
      <c r="AU137" s="41"/>
      <c r="AV137" s="41"/>
      <c r="AW137" s="41"/>
      <c r="AX137" s="41"/>
      <c r="AY137" s="41"/>
      <c r="AZ137" s="41"/>
      <c r="BA137" s="41"/>
      <c r="BB137" s="41"/>
      <c r="BC137" s="41"/>
      <c r="BD137" s="41"/>
      <c r="BE137" s="41"/>
      <c r="BF137" s="41"/>
      <c r="BG137" s="41"/>
      <c r="BH137" s="41"/>
      <c r="BI137" s="41"/>
      <c r="BJ137" s="41"/>
      <c r="BK137" s="41"/>
      <c r="BL137" s="41"/>
      <c r="BM137" s="41"/>
      <c r="BN137" s="41"/>
      <c r="BO137" s="41"/>
      <c r="BP137" s="41"/>
      <c r="BQ137" s="41"/>
      <c r="BR137" s="41"/>
      <c r="BS137" s="41"/>
      <c r="BT137" s="41"/>
      <c r="BU137" s="41"/>
      <c r="BV137" s="41"/>
      <c r="BW137" s="41"/>
      <c r="BX137" s="41"/>
      <c r="BY137" s="41"/>
      <c r="BZ137" s="41"/>
      <c r="CA137" s="41"/>
      <c r="CB137" s="41"/>
      <c r="CC137" s="41"/>
      <c r="CD137" s="41"/>
      <c r="CE137" s="41"/>
      <c r="CF137" s="41"/>
      <c r="CG137" s="41"/>
      <c r="CH137" s="41"/>
      <c r="CI137" s="41"/>
      <c r="CJ137" s="41"/>
      <c r="CK137" s="41"/>
      <c r="CL137" s="41"/>
      <c r="CM137" s="41"/>
      <c r="CN137" s="41"/>
      <c r="CO137" s="41"/>
      <c r="CP137" s="41"/>
      <c r="CQ137" s="41"/>
      <c r="CR137" s="41"/>
      <c r="CS137" s="41"/>
      <c r="CT137" s="41"/>
      <c r="CU137" s="41"/>
      <c r="CV137" s="41"/>
      <c r="CW137" s="41"/>
      <c r="CX137" s="41"/>
      <c r="CY137" s="41"/>
      <c r="CZ137" s="41"/>
      <c r="DA137" s="41"/>
      <c r="DB137" s="41"/>
      <c r="DC137" s="41"/>
      <c r="DD137" s="41"/>
      <c r="DE137" s="41"/>
      <c r="DF137" s="41"/>
      <c r="DG137" s="41"/>
      <c r="DH137" s="41"/>
      <c r="DI137" s="41"/>
      <c r="DJ137" s="41"/>
      <c r="DK137" s="41"/>
      <c r="DL137" s="41"/>
      <c r="DM137" s="41"/>
      <c r="DN137" s="41"/>
      <c r="DO137" s="41"/>
      <c r="DP137" s="41"/>
      <c r="DQ137" s="41"/>
      <c r="DR137" s="41"/>
      <c r="DS137" s="41"/>
      <c r="DT137" s="41"/>
      <c r="DU137" s="41"/>
      <c r="DV137" s="41"/>
      <c r="DW137" s="41"/>
      <c r="DX137" s="41"/>
      <c r="DY137" s="41"/>
      <c r="DZ137" s="41"/>
      <c r="EA137" s="41"/>
      <c r="EB137" s="41"/>
      <c r="EC137" s="41"/>
      <c r="ED137" s="41"/>
      <c r="EE137" s="41"/>
      <c r="EF137" s="41"/>
      <c r="EG137" s="41"/>
      <c r="EH137" s="41"/>
      <c r="EI137" s="41"/>
      <c r="EJ137" s="41"/>
      <c r="EK137" s="41"/>
      <c r="EL137" s="41"/>
      <c r="EM137" s="41"/>
      <c r="EN137" s="41"/>
      <c r="EO137" s="41"/>
      <c r="EP137" s="41"/>
      <c r="EQ137" s="41"/>
      <c r="ER137" s="41"/>
      <c r="ES137" s="41"/>
      <c r="ET137" s="41"/>
      <c r="EU137" s="41"/>
      <c r="EV137" s="41"/>
      <c r="EW137" s="41"/>
      <c r="EX137" s="41"/>
      <c r="EY137" s="41"/>
      <c r="EZ137" s="41"/>
      <c r="FA137" s="41"/>
      <c r="FB137" s="41"/>
      <c r="FC137" s="41"/>
      <c r="FD137" s="41"/>
      <c r="FE137" s="41"/>
      <c r="FF137" s="41"/>
      <c r="FG137" s="41"/>
      <c r="FH137" s="41"/>
      <c r="FI137" s="41"/>
      <c r="FJ137" s="41"/>
      <c r="FK137" s="41"/>
      <c r="FL137" s="41"/>
      <c r="FM137" s="41"/>
      <c r="FN137" s="41"/>
      <c r="FO137" s="41"/>
      <c r="FP137" s="41"/>
      <c r="FQ137" s="41"/>
      <c r="FR137" s="41"/>
      <c r="FS137" s="41"/>
      <c r="FT137" s="41"/>
      <c r="FU137" s="41"/>
      <c r="FV137" s="41"/>
      <c r="FW137" s="41"/>
      <c r="FX137" s="41"/>
      <c r="FY137" s="41"/>
      <c r="FZ137" s="41"/>
      <c r="GA137" s="41"/>
      <c r="GB137" s="41"/>
      <c r="GC137" s="41"/>
      <c r="GD137" s="41"/>
      <c r="GE137" s="41"/>
      <c r="GF137" s="41"/>
      <c r="GG137" s="41"/>
      <c r="GH137" s="41"/>
      <c r="GI137" s="41"/>
      <c r="GJ137" s="41"/>
      <c r="GK137" s="41"/>
      <c r="GL137" s="41"/>
      <c r="GM137" s="41"/>
      <c r="GN137" s="41"/>
      <c r="GO137" s="41"/>
      <c r="GP137" s="41"/>
      <c r="GQ137" s="41"/>
      <c r="GR137" s="41"/>
      <c r="GS137" s="41"/>
      <c r="GT137" s="41"/>
      <c r="GU137" s="41"/>
      <c r="GV137" s="41"/>
      <c r="GW137" s="41"/>
      <c r="GX137" s="41"/>
      <c r="GY137" s="41"/>
      <c r="GZ137" s="41"/>
      <c r="HA137" s="41"/>
      <c r="HB137" s="41"/>
      <c r="HC137" s="41"/>
      <c r="HD137" s="41"/>
      <c r="HE137" s="41"/>
      <c r="HF137" s="41"/>
      <c r="HG137" s="41"/>
      <c r="HH137" s="41"/>
      <c r="HI137" s="41"/>
      <c r="HJ137" s="41"/>
      <c r="HK137" s="41"/>
      <c r="HL137" s="41"/>
      <c r="HM137" s="41"/>
      <c r="HN137" s="41"/>
      <c r="HO137" s="41"/>
      <c r="HP137" s="41"/>
    </row>
    <row r="138" spans="3:224" s="5" customFormat="1" ht="20.100000000000001" customHeight="1">
      <c r="C138" s="35">
        <v>14110008</v>
      </c>
      <c r="D138" s="35" t="s">
        <v>180</v>
      </c>
      <c r="E138" s="36">
        <v>1140003</v>
      </c>
      <c r="F138" s="36">
        <v>11042</v>
      </c>
      <c r="G138" s="36">
        <v>1</v>
      </c>
      <c r="H138" s="36">
        <v>20</v>
      </c>
      <c r="I138" s="39">
        <v>0.2</v>
      </c>
      <c r="J138" s="40">
        <v>10</v>
      </c>
      <c r="K138" s="14">
        <v>0</v>
      </c>
      <c r="L138" s="36">
        <v>790</v>
      </c>
      <c r="M138" s="36">
        <f t="shared" si="13"/>
        <v>0</v>
      </c>
      <c r="N138" s="36">
        <v>0</v>
      </c>
      <c r="O138" s="36">
        <v>0</v>
      </c>
      <c r="P138" s="36">
        <v>0</v>
      </c>
      <c r="Q138" s="36">
        <f t="shared" si="14"/>
        <v>15</v>
      </c>
      <c r="R138" s="36">
        <v>29</v>
      </c>
      <c r="S138" s="36">
        <f t="shared" si="15"/>
        <v>15</v>
      </c>
      <c r="T138" s="36">
        <v>29</v>
      </c>
      <c r="U138" s="39">
        <v>0</v>
      </c>
      <c r="V138" s="36">
        <v>0</v>
      </c>
      <c r="W138" s="36">
        <v>0</v>
      </c>
      <c r="X138" s="36">
        <v>0</v>
      </c>
      <c r="Y138" s="39">
        <v>0</v>
      </c>
      <c r="Z138" s="39">
        <v>0</v>
      </c>
      <c r="AA138" s="39">
        <v>0</v>
      </c>
      <c r="AB138" s="39">
        <v>0</v>
      </c>
      <c r="AC138" s="39">
        <v>0</v>
      </c>
      <c r="AD138" s="39">
        <v>0</v>
      </c>
      <c r="AE138" s="39"/>
      <c r="AF138" s="41"/>
      <c r="AG138" s="41"/>
      <c r="AH138" s="41"/>
      <c r="AI138" s="41"/>
      <c r="AJ138" s="41"/>
      <c r="AK138" s="41"/>
      <c r="AL138" s="41"/>
      <c r="AM138" s="41"/>
      <c r="AN138" s="41"/>
      <c r="AO138" s="41"/>
      <c r="AP138" s="41"/>
      <c r="AQ138" s="41"/>
      <c r="AR138" s="41"/>
      <c r="AS138" s="41"/>
      <c r="AT138" s="41"/>
      <c r="AU138" s="41"/>
      <c r="AV138" s="41"/>
      <c r="AW138" s="41"/>
      <c r="AX138" s="41"/>
      <c r="AY138" s="41"/>
      <c r="AZ138" s="41"/>
      <c r="BA138" s="41"/>
      <c r="BB138" s="41"/>
      <c r="BC138" s="41"/>
      <c r="BD138" s="41"/>
      <c r="BE138" s="41"/>
      <c r="BF138" s="41"/>
      <c r="BG138" s="41"/>
      <c r="BH138" s="41"/>
      <c r="BI138" s="41"/>
      <c r="BJ138" s="41"/>
      <c r="BK138" s="41"/>
      <c r="BL138" s="41"/>
      <c r="BM138" s="41"/>
      <c r="BN138" s="41"/>
      <c r="BO138" s="41"/>
      <c r="BP138" s="41"/>
      <c r="BQ138" s="41"/>
      <c r="BR138" s="41"/>
      <c r="BS138" s="41"/>
      <c r="BT138" s="41"/>
      <c r="BU138" s="41"/>
      <c r="BV138" s="41"/>
      <c r="BW138" s="41"/>
      <c r="BX138" s="41"/>
      <c r="BY138" s="41"/>
      <c r="BZ138" s="41"/>
      <c r="CA138" s="41"/>
      <c r="CB138" s="41"/>
      <c r="CC138" s="41"/>
      <c r="CD138" s="41"/>
      <c r="CE138" s="41"/>
      <c r="CF138" s="41"/>
      <c r="CG138" s="41"/>
      <c r="CH138" s="41"/>
      <c r="CI138" s="41"/>
      <c r="CJ138" s="41"/>
      <c r="CK138" s="41"/>
      <c r="CL138" s="41"/>
      <c r="CM138" s="41"/>
      <c r="CN138" s="41"/>
      <c r="CO138" s="41"/>
      <c r="CP138" s="41"/>
      <c r="CQ138" s="41"/>
      <c r="CR138" s="41"/>
      <c r="CS138" s="41"/>
      <c r="CT138" s="41"/>
      <c r="CU138" s="41"/>
      <c r="CV138" s="41"/>
      <c r="CW138" s="41"/>
      <c r="CX138" s="41"/>
      <c r="CY138" s="41"/>
      <c r="CZ138" s="41"/>
      <c r="DA138" s="41"/>
      <c r="DB138" s="41"/>
      <c r="DC138" s="41"/>
      <c r="DD138" s="41"/>
      <c r="DE138" s="41"/>
      <c r="DF138" s="41"/>
      <c r="DG138" s="41"/>
      <c r="DH138" s="41"/>
      <c r="DI138" s="41"/>
      <c r="DJ138" s="41"/>
      <c r="DK138" s="41"/>
      <c r="DL138" s="41"/>
      <c r="DM138" s="41"/>
      <c r="DN138" s="41"/>
      <c r="DO138" s="41"/>
      <c r="DP138" s="41"/>
      <c r="DQ138" s="41"/>
      <c r="DR138" s="41"/>
      <c r="DS138" s="41"/>
      <c r="DT138" s="41"/>
      <c r="DU138" s="41"/>
      <c r="DV138" s="41"/>
      <c r="DW138" s="41"/>
      <c r="DX138" s="41"/>
      <c r="DY138" s="41"/>
      <c r="DZ138" s="41"/>
      <c r="EA138" s="41"/>
      <c r="EB138" s="41"/>
      <c r="EC138" s="41"/>
      <c r="ED138" s="41"/>
      <c r="EE138" s="41"/>
      <c r="EF138" s="41"/>
      <c r="EG138" s="41"/>
      <c r="EH138" s="41"/>
      <c r="EI138" s="41"/>
      <c r="EJ138" s="41"/>
      <c r="EK138" s="41"/>
      <c r="EL138" s="41"/>
      <c r="EM138" s="41"/>
      <c r="EN138" s="41"/>
      <c r="EO138" s="41"/>
      <c r="EP138" s="41"/>
      <c r="EQ138" s="41"/>
      <c r="ER138" s="41"/>
      <c r="ES138" s="41"/>
      <c r="ET138" s="41"/>
      <c r="EU138" s="41"/>
      <c r="EV138" s="41"/>
      <c r="EW138" s="41"/>
      <c r="EX138" s="41"/>
      <c r="EY138" s="41"/>
      <c r="EZ138" s="41"/>
      <c r="FA138" s="41"/>
      <c r="FB138" s="41"/>
      <c r="FC138" s="41"/>
      <c r="FD138" s="41"/>
      <c r="FE138" s="41"/>
      <c r="FF138" s="41"/>
      <c r="FG138" s="41"/>
      <c r="FH138" s="41"/>
      <c r="FI138" s="41"/>
      <c r="FJ138" s="41"/>
      <c r="FK138" s="41"/>
      <c r="FL138" s="41"/>
      <c r="FM138" s="41"/>
      <c r="FN138" s="41"/>
      <c r="FO138" s="41"/>
      <c r="FP138" s="41"/>
      <c r="FQ138" s="41"/>
      <c r="FR138" s="41"/>
      <c r="FS138" s="41"/>
      <c r="FT138" s="41"/>
      <c r="FU138" s="41"/>
      <c r="FV138" s="41"/>
      <c r="FW138" s="41"/>
      <c r="FX138" s="41"/>
      <c r="FY138" s="41"/>
      <c r="FZ138" s="41"/>
      <c r="GA138" s="41"/>
      <c r="GB138" s="41"/>
      <c r="GC138" s="41"/>
      <c r="GD138" s="41"/>
      <c r="GE138" s="41"/>
      <c r="GF138" s="41"/>
      <c r="GG138" s="41"/>
      <c r="GH138" s="41"/>
      <c r="GI138" s="41"/>
      <c r="GJ138" s="41"/>
      <c r="GK138" s="41"/>
      <c r="GL138" s="41"/>
      <c r="GM138" s="41"/>
      <c r="GN138" s="41"/>
      <c r="GO138" s="41"/>
      <c r="GP138" s="41"/>
      <c r="GQ138" s="41"/>
      <c r="GR138" s="41"/>
      <c r="GS138" s="41"/>
      <c r="GT138" s="41"/>
      <c r="GU138" s="41"/>
      <c r="GV138" s="41"/>
      <c r="GW138" s="41"/>
      <c r="GX138" s="41"/>
      <c r="GY138" s="41"/>
      <c r="GZ138" s="41"/>
      <c r="HA138" s="41"/>
      <c r="HB138" s="41"/>
      <c r="HC138" s="41"/>
      <c r="HD138" s="41"/>
      <c r="HE138" s="41"/>
      <c r="HF138" s="41"/>
      <c r="HG138" s="41"/>
      <c r="HH138" s="41"/>
      <c r="HI138" s="41"/>
      <c r="HJ138" s="41"/>
      <c r="HK138" s="41"/>
      <c r="HL138" s="41"/>
      <c r="HM138" s="41"/>
      <c r="HN138" s="41"/>
      <c r="HO138" s="41"/>
      <c r="HP138" s="41"/>
    </row>
    <row r="139" spans="3:224" s="5" customFormat="1" ht="20.100000000000001" customHeight="1">
      <c r="C139" s="35">
        <v>14110009</v>
      </c>
      <c r="D139" s="35" t="s">
        <v>181</v>
      </c>
      <c r="E139" s="36">
        <v>1140003</v>
      </c>
      <c r="F139" s="36">
        <v>0</v>
      </c>
      <c r="G139" s="36">
        <v>1</v>
      </c>
      <c r="H139" s="36">
        <v>20</v>
      </c>
      <c r="I139" s="39">
        <v>0.2</v>
      </c>
      <c r="J139" s="40">
        <v>5</v>
      </c>
      <c r="K139" s="14">
        <v>0</v>
      </c>
      <c r="L139" s="36">
        <v>750</v>
      </c>
      <c r="M139" s="36">
        <f t="shared" si="13"/>
        <v>0</v>
      </c>
      <c r="N139" s="36">
        <v>0</v>
      </c>
      <c r="O139" s="36">
        <v>0</v>
      </c>
      <c r="P139" s="36">
        <v>0</v>
      </c>
      <c r="Q139" s="36">
        <f t="shared" si="14"/>
        <v>8</v>
      </c>
      <c r="R139" s="36">
        <v>15</v>
      </c>
      <c r="S139" s="36">
        <f t="shared" si="15"/>
        <v>8</v>
      </c>
      <c r="T139" s="36">
        <v>15</v>
      </c>
      <c r="U139" s="39">
        <v>0</v>
      </c>
      <c r="V139" s="36">
        <v>0</v>
      </c>
      <c r="W139" s="36">
        <v>0</v>
      </c>
      <c r="X139" s="36">
        <v>0</v>
      </c>
      <c r="Y139" s="39">
        <v>0</v>
      </c>
      <c r="Z139" s="39">
        <v>0</v>
      </c>
      <c r="AA139" s="39">
        <v>0</v>
      </c>
      <c r="AB139" s="39">
        <v>0</v>
      </c>
      <c r="AC139" s="39">
        <v>0</v>
      </c>
      <c r="AD139" s="39">
        <v>0</v>
      </c>
      <c r="AE139" s="39"/>
      <c r="AF139" s="41"/>
      <c r="AG139" s="41"/>
      <c r="AH139" s="41"/>
      <c r="AI139" s="41"/>
      <c r="AJ139" s="41"/>
      <c r="AK139" s="41"/>
      <c r="AL139" s="41"/>
      <c r="AM139" s="41"/>
      <c r="AN139" s="41"/>
      <c r="AO139" s="41"/>
      <c r="AP139" s="41"/>
      <c r="AQ139" s="41"/>
      <c r="AR139" s="41"/>
      <c r="AS139" s="41"/>
      <c r="AT139" s="41"/>
      <c r="AU139" s="41"/>
      <c r="AV139" s="41"/>
      <c r="AW139" s="41"/>
      <c r="AX139" s="41"/>
      <c r="AY139" s="41"/>
      <c r="AZ139" s="41"/>
      <c r="BA139" s="41"/>
      <c r="BB139" s="41"/>
      <c r="BC139" s="41"/>
      <c r="BD139" s="41"/>
      <c r="BE139" s="41"/>
      <c r="BF139" s="41"/>
      <c r="BG139" s="41"/>
      <c r="BH139" s="41"/>
      <c r="BI139" s="41"/>
      <c r="BJ139" s="41"/>
      <c r="BK139" s="41"/>
      <c r="BL139" s="41"/>
      <c r="BM139" s="41"/>
      <c r="BN139" s="41"/>
      <c r="BO139" s="41"/>
      <c r="BP139" s="41"/>
      <c r="BQ139" s="41"/>
      <c r="BR139" s="41"/>
      <c r="BS139" s="41"/>
      <c r="BT139" s="41"/>
      <c r="BU139" s="41"/>
      <c r="BV139" s="41"/>
      <c r="BW139" s="41"/>
      <c r="BX139" s="41"/>
      <c r="BY139" s="41"/>
      <c r="BZ139" s="41"/>
      <c r="CA139" s="41"/>
      <c r="CB139" s="41"/>
      <c r="CC139" s="41"/>
      <c r="CD139" s="41"/>
      <c r="CE139" s="41"/>
      <c r="CF139" s="41"/>
      <c r="CG139" s="41"/>
      <c r="CH139" s="41"/>
      <c r="CI139" s="41"/>
      <c r="CJ139" s="41"/>
      <c r="CK139" s="41"/>
      <c r="CL139" s="41"/>
      <c r="CM139" s="41"/>
      <c r="CN139" s="41"/>
      <c r="CO139" s="41"/>
      <c r="CP139" s="41"/>
      <c r="CQ139" s="41"/>
      <c r="CR139" s="41"/>
      <c r="CS139" s="41"/>
      <c r="CT139" s="41"/>
      <c r="CU139" s="41"/>
      <c r="CV139" s="41"/>
      <c r="CW139" s="41"/>
      <c r="CX139" s="41"/>
      <c r="CY139" s="41"/>
      <c r="CZ139" s="41"/>
      <c r="DA139" s="41"/>
      <c r="DB139" s="41"/>
      <c r="DC139" s="41"/>
      <c r="DD139" s="41"/>
      <c r="DE139" s="41"/>
      <c r="DF139" s="41"/>
      <c r="DG139" s="41"/>
      <c r="DH139" s="41"/>
      <c r="DI139" s="41"/>
      <c r="DJ139" s="41"/>
      <c r="DK139" s="41"/>
      <c r="DL139" s="41"/>
      <c r="DM139" s="41"/>
      <c r="DN139" s="41"/>
      <c r="DO139" s="41"/>
      <c r="DP139" s="41"/>
      <c r="DQ139" s="41"/>
      <c r="DR139" s="41"/>
      <c r="DS139" s="41"/>
      <c r="DT139" s="41"/>
      <c r="DU139" s="41"/>
      <c r="DV139" s="41"/>
      <c r="DW139" s="41"/>
      <c r="DX139" s="41"/>
      <c r="DY139" s="41"/>
      <c r="DZ139" s="41"/>
      <c r="EA139" s="41"/>
      <c r="EB139" s="41"/>
      <c r="EC139" s="41"/>
      <c r="ED139" s="41"/>
      <c r="EE139" s="41"/>
      <c r="EF139" s="41"/>
      <c r="EG139" s="41"/>
      <c r="EH139" s="41"/>
      <c r="EI139" s="41"/>
      <c r="EJ139" s="41"/>
      <c r="EK139" s="41"/>
      <c r="EL139" s="41"/>
      <c r="EM139" s="41"/>
      <c r="EN139" s="41"/>
      <c r="EO139" s="41"/>
      <c r="EP139" s="41"/>
      <c r="EQ139" s="41"/>
      <c r="ER139" s="41"/>
      <c r="ES139" s="41"/>
      <c r="ET139" s="41"/>
      <c r="EU139" s="41"/>
      <c r="EV139" s="41"/>
      <c r="EW139" s="41"/>
      <c r="EX139" s="41"/>
      <c r="EY139" s="41"/>
      <c r="EZ139" s="41"/>
      <c r="FA139" s="41"/>
      <c r="FB139" s="41"/>
      <c r="FC139" s="41"/>
      <c r="FD139" s="41"/>
      <c r="FE139" s="41"/>
      <c r="FF139" s="41"/>
      <c r="FG139" s="41"/>
      <c r="FH139" s="41"/>
      <c r="FI139" s="41"/>
      <c r="FJ139" s="41"/>
      <c r="FK139" s="41"/>
      <c r="FL139" s="41"/>
      <c r="FM139" s="41"/>
      <c r="FN139" s="41"/>
      <c r="FO139" s="41"/>
      <c r="FP139" s="41"/>
      <c r="FQ139" s="41"/>
      <c r="FR139" s="41"/>
      <c r="FS139" s="41"/>
      <c r="FT139" s="41"/>
      <c r="FU139" s="41"/>
      <c r="FV139" s="41"/>
      <c r="FW139" s="41"/>
      <c r="FX139" s="41"/>
      <c r="FY139" s="41"/>
      <c r="FZ139" s="41"/>
      <c r="GA139" s="41"/>
      <c r="GB139" s="41"/>
      <c r="GC139" s="41"/>
      <c r="GD139" s="41"/>
      <c r="GE139" s="41"/>
      <c r="GF139" s="41"/>
      <c r="GG139" s="41"/>
      <c r="GH139" s="41"/>
      <c r="GI139" s="41"/>
      <c r="GJ139" s="41"/>
      <c r="GK139" s="41"/>
      <c r="GL139" s="41"/>
      <c r="GM139" s="41"/>
      <c r="GN139" s="41"/>
      <c r="GO139" s="41"/>
      <c r="GP139" s="41"/>
      <c r="GQ139" s="41"/>
      <c r="GR139" s="41"/>
      <c r="GS139" s="41"/>
      <c r="GT139" s="41"/>
      <c r="GU139" s="41"/>
      <c r="GV139" s="41"/>
      <c r="GW139" s="41"/>
      <c r="GX139" s="41"/>
      <c r="GY139" s="41"/>
      <c r="GZ139" s="41"/>
      <c r="HA139" s="41"/>
      <c r="HB139" s="41"/>
      <c r="HC139" s="41"/>
      <c r="HD139" s="41"/>
      <c r="HE139" s="41"/>
      <c r="HF139" s="41"/>
      <c r="HG139" s="41"/>
      <c r="HH139" s="41"/>
      <c r="HI139" s="41"/>
      <c r="HJ139" s="41"/>
      <c r="HK139" s="41"/>
      <c r="HL139" s="41"/>
      <c r="HM139" s="41"/>
      <c r="HN139" s="41"/>
      <c r="HO139" s="41"/>
      <c r="HP139" s="41"/>
    </row>
    <row r="140" spans="3:224" s="5" customFormat="1" ht="20.100000000000001" customHeight="1">
      <c r="C140" s="35">
        <v>14110010</v>
      </c>
      <c r="D140" s="35" t="s">
        <v>182</v>
      </c>
      <c r="E140" s="36">
        <v>1140003</v>
      </c>
      <c r="F140" s="36">
        <v>0</v>
      </c>
      <c r="G140" s="36">
        <v>1</v>
      </c>
      <c r="H140" s="36">
        <v>20</v>
      </c>
      <c r="I140" s="39">
        <v>0.2</v>
      </c>
      <c r="J140" s="40">
        <v>5</v>
      </c>
      <c r="K140" s="14">
        <v>0</v>
      </c>
      <c r="L140" s="36">
        <v>1320</v>
      </c>
      <c r="M140" s="36">
        <f t="shared" si="13"/>
        <v>0</v>
      </c>
      <c r="N140" s="36">
        <v>0</v>
      </c>
      <c r="O140" s="36">
        <v>0</v>
      </c>
      <c r="P140" s="36">
        <v>0</v>
      </c>
      <c r="Q140" s="36">
        <f t="shared" si="14"/>
        <v>15</v>
      </c>
      <c r="R140" s="36">
        <v>30</v>
      </c>
      <c r="S140" s="36">
        <f t="shared" si="15"/>
        <v>15</v>
      </c>
      <c r="T140" s="36">
        <v>30</v>
      </c>
      <c r="U140" s="39">
        <v>0</v>
      </c>
      <c r="V140" s="36">
        <v>0</v>
      </c>
      <c r="W140" s="36">
        <v>0</v>
      </c>
      <c r="X140" s="36">
        <v>0</v>
      </c>
      <c r="Y140" s="39">
        <v>0</v>
      </c>
      <c r="Z140" s="39">
        <v>0</v>
      </c>
      <c r="AA140" s="39">
        <v>0</v>
      </c>
      <c r="AB140" s="39">
        <v>0</v>
      </c>
      <c r="AC140" s="39">
        <v>0</v>
      </c>
      <c r="AD140" s="39">
        <v>0</v>
      </c>
      <c r="AE140" s="39"/>
      <c r="AF140" s="41"/>
      <c r="AG140" s="41"/>
      <c r="AH140" s="41"/>
      <c r="AI140" s="41"/>
      <c r="AJ140" s="41"/>
      <c r="AK140" s="41"/>
      <c r="AL140" s="41"/>
      <c r="AM140" s="41"/>
      <c r="AN140" s="41"/>
      <c r="AO140" s="41"/>
      <c r="AP140" s="41"/>
      <c r="AQ140" s="41"/>
      <c r="AR140" s="41"/>
      <c r="AS140" s="41"/>
      <c r="AT140" s="41"/>
      <c r="AU140" s="41"/>
      <c r="AV140" s="41"/>
      <c r="AW140" s="41"/>
      <c r="AX140" s="41"/>
      <c r="AY140" s="41"/>
      <c r="AZ140" s="41"/>
      <c r="BA140" s="41"/>
      <c r="BB140" s="41"/>
      <c r="BC140" s="41"/>
      <c r="BD140" s="41"/>
      <c r="BE140" s="41"/>
      <c r="BF140" s="41"/>
      <c r="BG140" s="41"/>
      <c r="BH140" s="41"/>
      <c r="BI140" s="41"/>
      <c r="BJ140" s="41"/>
      <c r="BK140" s="41"/>
      <c r="BL140" s="41"/>
      <c r="BM140" s="41"/>
      <c r="BN140" s="41"/>
      <c r="BO140" s="41"/>
      <c r="BP140" s="41"/>
      <c r="BQ140" s="41"/>
      <c r="BR140" s="41"/>
      <c r="BS140" s="41"/>
      <c r="BT140" s="41"/>
      <c r="BU140" s="41"/>
      <c r="BV140" s="41"/>
      <c r="BW140" s="41"/>
      <c r="BX140" s="41"/>
      <c r="BY140" s="41"/>
      <c r="BZ140" s="41"/>
      <c r="CA140" s="41"/>
      <c r="CB140" s="41"/>
      <c r="CC140" s="41"/>
      <c r="CD140" s="41"/>
      <c r="CE140" s="41"/>
      <c r="CF140" s="41"/>
      <c r="CG140" s="41"/>
      <c r="CH140" s="41"/>
      <c r="CI140" s="41"/>
      <c r="CJ140" s="41"/>
      <c r="CK140" s="41"/>
      <c r="CL140" s="41"/>
      <c r="CM140" s="41"/>
      <c r="CN140" s="41"/>
      <c r="CO140" s="41"/>
      <c r="CP140" s="41"/>
      <c r="CQ140" s="41"/>
      <c r="CR140" s="41"/>
      <c r="CS140" s="41"/>
      <c r="CT140" s="41"/>
      <c r="CU140" s="41"/>
      <c r="CV140" s="41"/>
      <c r="CW140" s="41"/>
      <c r="CX140" s="41"/>
      <c r="CY140" s="41"/>
      <c r="CZ140" s="41"/>
      <c r="DA140" s="41"/>
      <c r="DB140" s="41"/>
      <c r="DC140" s="41"/>
      <c r="DD140" s="41"/>
      <c r="DE140" s="41"/>
      <c r="DF140" s="41"/>
      <c r="DG140" s="41"/>
      <c r="DH140" s="41"/>
      <c r="DI140" s="41"/>
      <c r="DJ140" s="41"/>
      <c r="DK140" s="41"/>
      <c r="DL140" s="41"/>
      <c r="DM140" s="41"/>
      <c r="DN140" s="41"/>
      <c r="DO140" s="41"/>
      <c r="DP140" s="41"/>
      <c r="DQ140" s="41"/>
      <c r="DR140" s="41"/>
      <c r="DS140" s="41"/>
      <c r="DT140" s="41"/>
      <c r="DU140" s="41"/>
      <c r="DV140" s="41"/>
      <c r="DW140" s="41"/>
      <c r="DX140" s="41"/>
      <c r="DY140" s="41"/>
      <c r="DZ140" s="41"/>
      <c r="EA140" s="41"/>
      <c r="EB140" s="41"/>
      <c r="EC140" s="41"/>
      <c r="ED140" s="41"/>
      <c r="EE140" s="41"/>
      <c r="EF140" s="41"/>
      <c r="EG140" s="41"/>
      <c r="EH140" s="41"/>
      <c r="EI140" s="41"/>
      <c r="EJ140" s="41"/>
      <c r="EK140" s="41"/>
      <c r="EL140" s="41"/>
      <c r="EM140" s="41"/>
      <c r="EN140" s="41"/>
      <c r="EO140" s="41"/>
      <c r="EP140" s="41"/>
      <c r="EQ140" s="41"/>
      <c r="ER140" s="41"/>
      <c r="ES140" s="41"/>
      <c r="ET140" s="41"/>
      <c r="EU140" s="41"/>
      <c r="EV140" s="41"/>
      <c r="EW140" s="41"/>
      <c r="EX140" s="41"/>
      <c r="EY140" s="41"/>
      <c r="EZ140" s="41"/>
      <c r="FA140" s="41"/>
      <c r="FB140" s="41"/>
      <c r="FC140" s="41"/>
      <c r="FD140" s="41"/>
      <c r="FE140" s="41"/>
      <c r="FF140" s="41"/>
      <c r="FG140" s="41"/>
      <c r="FH140" s="41"/>
      <c r="FI140" s="41"/>
      <c r="FJ140" s="41"/>
      <c r="FK140" s="41"/>
      <c r="FL140" s="41"/>
      <c r="FM140" s="41"/>
      <c r="FN140" s="41"/>
      <c r="FO140" s="41"/>
      <c r="FP140" s="41"/>
      <c r="FQ140" s="41"/>
      <c r="FR140" s="41"/>
      <c r="FS140" s="41"/>
      <c r="FT140" s="41"/>
      <c r="FU140" s="41"/>
      <c r="FV140" s="41"/>
      <c r="FW140" s="41"/>
      <c r="FX140" s="41"/>
      <c r="FY140" s="41"/>
      <c r="FZ140" s="41"/>
      <c r="GA140" s="41"/>
      <c r="GB140" s="41"/>
      <c r="GC140" s="41"/>
      <c r="GD140" s="41"/>
      <c r="GE140" s="41"/>
      <c r="GF140" s="41"/>
      <c r="GG140" s="41"/>
      <c r="GH140" s="41"/>
      <c r="GI140" s="41"/>
      <c r="GJ140" s="41"/>
      <c r="GK140" s="41"/>
      <c r="GL140" s="41"/>
      <c r="GM140" s="41"/>
      <c r="GN140" s="41"/>
      <c r="GO140" s="41"/>
      <c r="GP140" s="41"/>
      <c r="GQ140" s="41"/>
      <c r="GR140" s="41"/>
      <c r="GS140" s="41"/>
      <c r="GT140" s="41"/>
      <c r="GU140" s="41"/>
      <c r="GV140" s="41"/>
      <c r="GW140" s="41"/>
      <c r="GX140" s="41"/>
      <c r="GY140" s="41"/>
      <c r="GZ140" s="41"/>
      <c r="HA140" s="41"/>
      <c r="HB140" s="41"/>
      <c r="HC140" s="41"/>
      <c r="HD140" s="41"/>
      <c r="HE140" s="41"/>
      <c r="HF140" s="41"/>
      <c r="HG140" s="41"/>
      <c r="HH140" s="41"/>
      <c r="HI140" s="41"/>
      <c r="HJ140" s="41"/>
      <c r="HK140" s="41"/>
      <c r="HL140" s="41"/>
      <c r="HM140" s="41"/>
      <c r="HN140" s="41"/>
      <c r="HO140" s="41"/>
      <c r="HP140" s="41"/>
    </row>
    <row r="141" spans="3:224" s="5" customFormat="1" ht="20.100000000000001" customHeight="1">
      <c r="C141" s="35">
        <v>14110011</v>
      </c>
      <c r="D141" s="35" t="s">
        <v>183</v>
      </c>
      <c r="E141" s="36">
        <v>1140003</v>
      </c>
      <c r="F141" s="36">
        <v>11032</v>
      </c>
      <c r="G141" s="36">
        <v>1</v>
      </c>
      <c r="H141" s="36">
        <v>20</v>
      </c>
      <c r="I141" s="39">
        <v>0.2</v>
      </c>
      <c r="J141" s="40">
        <v>5</v>
      </c>
      <c r="K141" s="14">
        <v>0</v>
      </c>
      <c r="L141" s="36">
        <v>1560</v>
      </c>
      <c r="M141" s="36">
        <f t="shared" si="13"/>
        <v>0</v>
      </c>
      <c r="N141" s="36">
        <v>0</v>
      </c>
      <c r="O141" s="36">
        <v>0</v>
      </c>
      <c r="P141" s="36">
        <v>0</v>
      </c>
      <c r="Q141" s="36">
        <f t="shared" si="14"/>
        <v>18</v>
      </c>
      <c r="R141" s="36">
        <v>35</v>
      </c>
      <c r="S141" s="36">
        <f t="shared" si="15"/>
        <v>18</v>
      </c>
      <c r="T141" s="36">
        <v>35</v>
      </c>
      <c r="U141" s="39">
        <v>0</v>
      </c>
      <c r="V141" s="36">
        <v>0</v>
      </c>
      <c r="W141" s="36">
        <v>0</v>
      </c>
      <c r="X141" s="36">
        <v>0</v>
      </c>
      <c r="Y141" s="39">
        <v>0</v>
      </c>
      <c r="Z141" s="39">
        <v>0</v>
      </c>
      <c r="AA141" s="39">
        <v>0</v>
      </c>
      <c r="AB141" s="39">
        <v>0</v>
      </c>
      <c r="AC141" s="39">
        <v>0</v>
      </c>
      <c r="AD141" s="39">
        <v>0</v>
      </c>
      <c r="AE141" s="39"/>
      <c r="AF141" s="41"/>
      <c r="AG141" s="41"/>
      <c r="AH141" s="41"/>
      <c r="AI141" s="41"/>
      <c r="AJ141" s="41"/>
      <c r="AK141" s="41"/>
      <c r="AL141" s="41"/>
      <c r="AM141" s="41"/>
      <c r="AN141" s="41"/>
      <c r="AO141" s="41"/>
      <c r="AP141" s="41"/>
      <c r="AQ141" s="41"/>
      <c r="AR141" s="41"/>
      <c r="AS141" s="41"/>
      <c r="AT141" s="41"/>
      <c r="AU141" s="41"/>
      <c r="AV141" s="41"/>
      <c r="AW141" s="41"/>
      <c r="AX141" s="41"/>
      <c r="AY141" s="41"/>
      <c r="AZ141" s="41"/>
      <c r="BA141" s="41"/>
      <c r="BB141" s="41"/>
      <c r="BC141" s="41"/>
      <c r="BD141" s="41"/>
      <c r="BE141" s="41"/>
      <c r="BF141" s="41"/>
      <c r="BG141" s="41"/>
      <c r="BH141" s="41"/>
      <c r="BI141" s="41"/>
      <c r="BJ141" s="41"/>
      <c r="BK141" s="41"/>
      <c r="BL141" s="41"/>
      <c r="BM141" s="41"/>
      <c r="BN141" s="41"/>
      <c r="BO141" s="41"/>
      <c r="BP141" s="41"/>
      <c r="BQ141" s="41"/>
      <c r="BR141" s="41"/>
      <c r="BS141" s="41"/>
      <c r="BT141" s="41"/>
      <c r="BU141" s="41"/>
      <c r="BV141" s="41"/>
      <c r="BW141" s="41"/>
      <c r="BX141" s="41"/>
      <c r="BY141" s="41"/>
      <c r="BZ141" s="41"/>
      <c r="CA141" s="41"/>
      <c r="CB141" s="41"/>
      <c r="CC141" s="41"/>
      <c r="CD141" s="41"/>
      <c r="CE141" s="41"/>
      <c r="CF141" s="41"/>
      <c r="CG141" s="41"/>
      <c r="CH141" s="41"/>
      <c r="CI141" s="41"/>
      <c r="CJ141" s="41"/>
      <c r="CK141" s="41"/>
      <c r="CL141" s="41"/>
      <c r="CM141" s="41"/>
      <c r="CN141" s="41"/>
      <c r="CO141" s="41"/>
      <c r="CP141" s="41"/>
      <c r="CQ141" s="41"/>
      <c r="CR141" s="41"/>
      <c r="CS141" s="41"/>
      <c r="CT141" s="41"/>
      <c r="CU141" s="41"/>
      <c r="CV141" s="41"/>
      <c r="CW141" s="41"/>
      <c r="CX141" s="41"/>
      <c r="CY141" s="41"/>
      <c r="CZ141" s="41"/>
      <c r="DA141" s="41"/>
      <c r="DB141" s="41"/>
      <c r="DC141" s="41"/>
      <c r="DD141" s="41"/>
      <c r="DE141" s="41"/>
      <c r="DF141" s="41"/>
      <c r="DG141" s="41"/>
      <c r="DH141" s="41"/>
      <c r="DI141" s="41"/>
      <c r="DJ141" s="41"/>
      <c r="DK141" s="41"/>
      <c r="DL141" s="41"/>
      <c r="DM141" s="41"/>
      <c r="DN141" s="41"/>
      <c r="DO141" s="41"/>
      <c r="DP141" s="41"/>
      <c r="DQ141" s="41"/>
      <c r="DR141" s="41"/>
      <c r="DS141" s="41"/>
      <c r="DT141" s="41"/>
      <c r="DU141" s="41"/>
      <c r="DV141" s="41"/>
      <c r="DW141" s="41"/>
      <c r="DX141" s="41"/>
      <c r="DY141" s="41"/>
      <c r="DZ141" s="41"/>
      <c r="EA141" s="41"/>
      <c r="EB141" s="41"/>
      <c r="EC141" s="41"/>
      <c r="ED141" s="41"/>
      <c r="EE141" s="41"/>
      <c r="EF141" s="41"/>
      <c r="EG141" s="41"/>
      <c r="EH141" s="41"/>
      <c r="EI141" s="41"/>
      <c r="EJ141" s="41"/>
      <c r="EK141" s="41"/>
      <c r="EL141" s="41"/>
      <c r="EM141" s="41"/>
      <c r="EN141" s="41"/>
      <c r="EO141" s="41"/>
      <c r="EP141" s="41"/>
      <c r="EQ141" s="41"/>
      <c r="ER141" s="41"/>
      <c r="ES141" s="41"/>
      <c r="ET141" s="41"/>
      <c r="EU141" s="41"/>
      <c r="EV141" s="41"/>
      <c r="EW141" s="41"/>
      <c r="EX141" s="41"/>
      <c r="EY141" s="41"/>
      <c r="EZ141" s="41"/>
      <c r="FA141" s="41"/>
      <c r="FB141" s="41"/>
      <c r="FC141" s="41"/>
      <c r="FD141" s="41"/>
      <c r="FE141" s="41"/>
      <c r="FF141" s="41"/>
      <c r="FG141" s="41"/>
      <c r="FH141" s="41"/>
      <c r="FI141" s="41"/>
      <c r="FJ141" s="41"/>
      <c r="FK141" s="41"/>
      <c r="FL141" s="41"/>
      <c r="FM141" s="41"/>
      <c r="FN141" s="41"/>
      <c r="FO141" s="41"/>
      <c r="FP141" s="41"/>
      <c r="FQ141" s="41"/>
      <c r="FR141" s="41"/>
      <c r="FS141" s="41"/>
      <c r="FT141" s="41"/>
      <c r="FU141" s="41"/>
      <c r="FV141" s="41"/>
      <c r="FW141" s="41"/>
      <c r="FX141" s="41"/>
      <c r="FY141" s="41"/>
      <c r="FZ141" s="41"/>
      <c r="GA141" s="41"/>
      <c r="GB141" s="41"/>
      <c r="GC141" s="41"/>
      <c r="GD141" s="41"/>
      <c r="GE141" s="41"/>
      <c r="GF141" s="41"/>
      <c r="GG141" s="41"/>
      <c r="GH141" s="41"/>
      <c r="GI141" s="41"/>
      <c r="GJ141" s="41"/>
      <c r="GK141" s="41"/>
      <c r="GL141" s="41"/>
      <c r="GM141" s="41"/>
      <c r="GN141" s="41"/>
      <c r="GO141" s="41"/>
      <c r="GP141" s="41"/>
      <c r="GQ141" s="41"/>
      <c r="GR141" s="41"/>
      <c r="GS141" s="41"/>
      <c r="GT141" s="41"/>
      <c r="GU141" s="41"/>
      <c r="GV141" s="41"/>
      <c r="GW141" s="41"/>
      <c r="GX141" s="41"/>
      <c r="GY141" s="41"/>
      <c r="GZ141" s="41"/>
      <c r="HA141" s="41"/>
      <c r="HB141" s="41"/>
      <c r="HC141" s="41"/>
      <c r="HD141" s="41"/>
      <c r="HE141" s="41"/>
      <c r="HF141" s="41"/>
      <c r="HG141" s="41"/>
      <c r="HH141" s="41"/>
      <c r="HI141" s="41"/>
      <c r="HJ141" s="41"/>
      <c r="HK141" s="41"/>
      <c r="HL141" s="41"/>
      <c r="HM141" s="41"/>
      <c r="HN141" s="41"/>
      <c r="HO141" s="41"/>
      <c r="HP141" s="41"/>
    </row>
    <row r="142" spans="3:224" s="5" customFormat="1" ht="20.100000000000001" customHeight="1">
      <c r="C142" s="35">
        <v>14110012</v>
      </c>
      <c r="D142" s="35" t="s">
        <v>184</v>
      </c>
      <c r="E142" s="36">
        <v>1140003</v>
      </c>
      <c r="F142" s="36">
        <v>11043</v>
      </c>
      <c r="G142" s="36">
        <v>1</v>
      </c>
      <c r="H142" s="36">
        <v>20</v>
      </c>
      <c r="I142" s="39">
        <v>0.2</v>
      </c>
      <c r="J142" s="40">
        <v>10</v>
      </c>
      <c r="K142" s="14">
        <v>0</v>
      </c>
      <c r="L142" s="36">
        <v>1890</v>
      </c>
      <c r="M142" s="36">
        <f t="shared" si="13"/>
        <v>0</v>
      </c>
      <c r="N142" s="36">
        <v>0</v>
      </c>
      <c r="O142" s="36">
        <v>0</v>
      </c>
      <c r="P142" s="36">
        <v>0</v>
      </c>
      <c r="Q142" s="36">
        <f t="shared" si="14"/>
        <v>24</v>
      </c>
      <c r="R142" s="36">
        <v>48</v>
      </c>
      <c r="S142" s="36">
        <f t="shared" si="15"/>
        <v>24</v>
      </c>
      <c r="T142" s="36">
        <v>48</v>
      </c>
      <c r="U142" s="39">
        <v>0</v>
      </c>
      <c r="V142" s="36">
        <v>0</v>
      </c>
      <c r="W142" s="36">
        <v>0</v>
      </c>
      <c r="X142" s="36">
        <v>0</v>
      </c>
      <c r="Y142" s="39">
        <v>0</v>
      </c>
      <c r="Z142" s="39">
        <v>0</v>
      </c>
      <c r="AA142" s="39">
        <v>0</v>
      </c>
      <c r="AB142" s="39">
        <v>0</v>
      </c>
      <c r="AC142" s="39">
        <v>0</v>
      </c>
      <c r="AD142" s="39">
        <v>0</v>
      </c>
      <c r="AE142" s="39"/>
      <c r="AF142" s="41"/>
      <c r="AG142" s="41"/>
      <c r="AH142" s="41"/>
      <c r="AI142" s="41"/>
      <c r="AJ142" s="41"/>
      <c r="AK142" s="41"/>
      <c r="AL142" s="41"/>
      <c r="AM142" s="41"/>
      <c r="AN142" s="41"/>
      <c r="AO142" s="41"/>
      <c r="AP142" s="41"/>
      <c r="AQ142" s="41"/>
      <c r="AR142" s="41"/>
      <c r="AS142" s="41"/>
      <c r="AT142" s="41"/>
      <c r="AU142" s="41"/>
      <c r="AV142" s="41"/>
      <c r="AW142" s="41"/>
      <c r="AX142" s="41"/>
      <c r="AY142" s="41"/>
      <c r="AZ142" s="41"/>
      <c r="BA142" s="41"/>
      <c r="BB142" s="41"/>
      <c r="BC142" s="41"/>
      <c r="BD142" s="41"/>
      <c r="BE142" s="41"/>
      <c r="BF142" s="41"/>
      <c r="BG142" s="41"/>
      <c r="BH142" s="41"/>
      <c r="BI142" s="41"/>
      <c r="BJ142" s="41"/>
      <c r="BK142" s="41"/>
      <c r="BL142" s="41"/>
      <c r="BM142" s="41"/>
      <c r="BN142" s="41"/>
      <c r="BO142" s="41"/>
      <c r="BP142" s="41"/>
      <c r="BQ142" s="41"/>
      <c r="BR142" s="41"/>
      <c r="BS142" s="41"/>
      <c r="BT142" s="41"/>
      <c r="BU142" s="41"/>
      <c r="BV142" s="41"/>
      <c r="BW142" s="41"/>
      <c r="BX142" s="41"/>
      <c r="BY142" s="41"/>
      <c r="BZ142" s="41"/>
      <c r="CA142" s="41"/>
      <c r="CB142" s="41"/>
      <c r="CC142" s="41"/>
      <c r="CD142" s="41"/>
      <c r="CE142" s="41"/>
      <c r="CF142" s="41"/>
      <c r="CG142" s="41"/>
      <c r="CH142" s="41"/>
      <c r="CI142" s="41"/>
      <c r="CJ142" s="41"/>
      <c r="CK142" s="41"/>
      <c r="CL142" s="41"/>
      <c r="CM142" s="41"/>
      <c r="CN142" s="41"/>
      <c r="CO142" s="41"/>
      <c r="CP142" s="41"/>
      <c r="CQ142" s="41"/>
      <c r="CR142" s="41"/>
      <c r="CS142" s="41"/>
      <c r="CT142" s="41"/>
      <c r="CU142" s="41"/>
      <c r="CV142" s="41"/>
      <c r="CW142" s="41"/>
      <c r="CX142" s="41"/>
      <c r="CY142" s="41"/>
      <c r="CZ142" s="41"/>
      <c r="DA142" s="41"/>
      <c r="DB142" s="41"/>
      <c r="DC142" s="41"/>
      <c r="DD142" s="41"/>
      <c r="DE142" s="41"/>
      <c r="DF142" s="41"/>
      <c r="DG142" s="41"/>
      <c r="DH142" s="41"/>
      <c r="DI142" s="41"/>
      <c r="DJ142" s="41"/>
      <c r="DK142" s="41"/>
      <c r="DL142" s="41"/>
      <c r="DM142" s="41"/>
      <c r="DN142" s="41"/>
      <c r="DO142" s="41"/>
      <c r="DP142" s="41"/>
      <c r="DQ142" s="41"/>
      <c r="DR142" s="41"/>
      <c r="DS142" s="41"/>
      <c r="DT142" s="41"/>
      <c r="DU142" s="41"/>
      <c r="DV142" s="41"/>
      <c r="DW142" s="41"/>
      <c r="DX142" s="41"/>
      <c r="DY142" s="41"/>
      <c r="DZ142" s="41"/>
      <c r="EA142" s="41"/>
      <c r="EB142" s="41"/>
      <c r="EC142" s="41"/>
      <c r="ED142" s="41"/>
      <c r="EE142" s="41"/>
      <c r="EF142" s="41"/>
      <c r="EG142" s="41"/>
      <c r="EH142" s="41"/>
      <c r="EI142" s="41"/>
      <c r="EJ142" s="41"/>
      <c r="EK142" s="41"/>
      <c r="EL142" s="41"/>
      <c r="EM142" s="41"/>
      <c r="EN142" s="41"/>
      <c r="EO142" s="41"/>
      <c r="EP142" s="41"/>
      <c r="EQ142" s="41"/>
      <c r="ER142" s="41"/>
      <c r="ES142" s="41"/>
      <c r="ET142" s="41"/>
      <c r="EU142" s="41"/>
      <c r="EV142" s="41"/>
      <c r="EW142" s="41"/>
      <c r="EX142" s="41"/>
      <c r="EY142" s="41"/>
      <c r="EZ142" s="41"/>
      <c r="FA142" s="41"/>
      <c r="FB142" s="41"/>
      <c r="FC142" s="41"/>
      <c r="FD142" s="41"/>
      <c r="FE142" s="41"/>
      <c r="FF142" s="41"/>
      <c r="FG142" s="41"/>
      <c r="FH142" s="41"/>
      <c r="FI142" s="41"/>
      <c r="FJ142" s="41"/>
      <c r="FK142" s="41"/>
      <c r="FL142" s="41"/>
      <c r="FM142" s="41"/>
      <c r="FN142" s="41"/>
      <c r="FO142" s="41"/>
      <c r="FP142" s="41"/>
      <c r="FQ142" s="41"/>
      <c r="FR142" s="41"/>
      <c r="FS142" s="41"/>
      <c r="FT142" s="41"/>
      <c r="FU142" s="41"/>
      <c r="FV142" s="41"/>
      <c r="FW142" s="41"/>
      <c r="FX142" s="41"/>
      <c r="FY142" s="41"/>
      <c r="FZ142" s="41"/>
      <c r="GA142" s="41"/>
      <c r="GB142" s="41"/>
      <c r="GC142" s="41"/>
      <c r="GD142" s="41"/>
      <c r="GE142" s="41"/>
      <c r="GF142" s="41"/>
      <c r="GG142" s="41"/>
      <c r="GH142" s="41"/>
      <c r="GI142" s="41"/>
      <c r="GJ142" s="41"/>
      <c r="GK142" s="41"/>
      <c r="GL142" s="41"/>
      <c r="GM142" s="41"/>
      <c r="GN142" s="41"/>
      <c r="GO142" s="41"/>
      <c r="GP142" s="41"/>
      <c r="GQ142" s="41"/>
      <c r="GR142" s="41"/>
      <c r="GS142" s="41"/>
      <c r="GT142" s="41"/>
      <c r="GU142" s="41"/>
      <c r="GV142" s="41"/>
      <c r="GW142" s="41"/>
      <c r="GX142" s="41"/>
      <c r="GY142" s="41"/>
      <c r="GZ142" s="41"/>
      <c r="HA142" s="41"/>
      <c r="HB142" s="41"/>
      <c r="HC142" s="41"/>
      <c r="HD142" s="41"/>
      <c r="HE142" s="41"/>
      <c r="HF142" s="41"/>
      <c r="HG142" s="41"/>
      <c r="HH142" s="41"/>
      <c r="HI142" s="41"/>
      <c r="HJ142" s="41"/>
      <c r="HK142" s="41"/>
      <c r="HL142" s="41"/>
      <c r="HM142" s="41"/>
      <c r="HN142" s="41"/>
      <c r="HO142" s="41"/>
      <c r="HP142" s="41"/>
    </row>
    <row r="143" spans="3:224" ht="20.100000000000001" customHeight="1">
      <c r="C143" s="11">
        <v>14110021</v>
      </c>
      <c r="D143" s="37" t="s">
        <v>185</v>
      </c>
      <c r="E143" s="14">
        <v>1140003</v>
      </c>
      <c r="F143" s="14">
        <v>11041</v>
      </c>
      <c r="G143" s="14">
        <v>1</v>
      </c>
      <c r="H143" s="14">
        <v>20</v>
      </c>
      <c r="I143" s="22">
        <v>0.2</v>
      </c>
      <c r="J143" s="23">
        <v>10</v>
      </c>
      <c r="K143" s="14">
        <v>0</v>
      </c>
      <c r="L143" s="14">
        <v>2050</v>
      </c>
      <c r="M143" s="14">
        <f t="shared" si="13"/>
        <v>0</v>
      </c>
      <c r="N143" s="14">
        <v>0</v>
      </c>
      <c r="O143" s="14">
        <v>0</v>
      </c>
      <c r="P143" s="14">
        <v>0</v>
      </c>
      <c r="Q143" s="14">
        <v>25</v>
      </c>
      <c r="R143" s="14">
        <v>49</v>
      </c>
      <c r="S143" s="14">
        <v>25</v>
      </c>
      <c r="T143" s="14">
        <v>49</v>
      </c>
      <c r="U143" s="22">
        <v>0</v>
      </c>
      <c r="V143" s="14">
        <v>0</v>
      </c>
      <c r="W143" s="14">
        <v>0</v>
      </c>
      <c r="X143" s="14">
        <v>0</v>
      </c>
      <c r="Y143" s="22">
        <v>0</v>
      </c>
      <c r="Z143" s="22">
        <v>0</v>
      </c>
      <c r="AA143" s="22">
        <v>0</v>
      </c>
      <c r="AB143" s="22">
        <v>204603</v>
      </c>
      <c r="AC143" s="22">
        <v>500</v>
      </c>
      <c r="AD143" s="22">
        <v>1</v>
      </c>
      <c r="AE143" s="22"/>
      <c r="GR143" s="6"/>
      <c r="GS143" s="6"/>
      <c r="GT143" s="6"/>
      <c r="GU143" s="6"/>
      <c r="GV143" s="6"/>
      <c r="GW143" s="6"/>
      <c r="GX143" s="6"/>
      <c r="GY143" s="6"/>
      <c r="GZ143" s="6"/>
      <c r="HA143" s="6"/>
      <c r="HB143" s="6"/>
      <c r="HC143" s="6"/>
      <c r="HD143" s="6"/>
      <c r="HE143" s="6"/>
      <c r="HF143" s="6"/>
      <c r="HG143" s="6"/>
      <c r="HH143" s="6"/>
      <c r="HI143" s="6"/>
      <c r="HJ143" s="6"/>
      <c r="HK143" s="6"/>
      <c r="HL143" s="6"/>
      <c r="HM143" s="6"/>
      <c r="HN143" s="6"/>
      <c r="HO143" s="6"/>
      <c r="HP143" s="6"/>
    </row>
    <row r="144" spans="3:224" ht="20.100000000000001" customHeight="1">
      <c r="C144" s="11">
        <v>14110022</v>
      </c>
      <c r="D144" s="37" t="s">
        <v>186</v>
      </c>
      <c r="E144" s="14">
        <v>1140003</v>
      </c>
      <c r="F144" s="14">
        <v>11042</v>
      </c>
      <c r="G144" s="14">
        <v>1</v>
      </c>
      <c r="H144" s="14">
        <v>20</v>
      </c>
      <c r="I144" s="22">
        <v>0.2</v>
      </c>
      <c r="J144" s="23">
        <v>10</v>
      </c>
      <c r="K144" s="14">
        <v>0</v>
      </c>
      <c r="L144" s="14">
        <v>1030</v>
      </c>
      <c r="M144" s="14">
        <f t="shared" si="13"/>
        <v>0</v>
      </c>
      <c r="N144" s="14">
        <v>0</v>
      </c>
      <c r="O144" s="14">
        <v>0</v>
      </c>
      <c r="P144" s="14">
        <v>0</v>
      </c>
      <c r="Q144" s="14">
        <v>20</v>
      </c>
      <c r="R144" s="14">
        <v>38</v>
      </c>
      <c r="S144" s="14">
        <v>20</v>
      </c>
      <c r="T144" s="14">
        <v>38</v>
      </c>
      <c r="U144" s="22">
        <v>0</v>
      </c>
      <c r="V144" s="14">
        <v>0</v>
      </c>
      <c r="W144" s="14">
        <v>0</v>
      </c>
      <c r="X144" s="14">
        <v>0</v>
      </c>
      <c r="Y144" s="22">
        <v>0</v>
      </c>
      <c r="Z144" s="22">
        <v>0</v>
      </c>
      <c r="AA144" s="22">
        <v>0</v>
      </c>
      <c r="AB144" s="22">
        <v>204903</v>
      </c>
      <c r="AC144" s="22">
        <v>500</v>
      </c>
      <c r="AD144" s="22">
        <v>1</v>
      </c>
      <c r="AE144" s="22"/>
      <c r="GR144" s="6"/>
      <c r="GS144" s="6"/>
      <c r="GT144" s="6"/>
      <c r="GU144" s="6"/>
      <c r="GV144" s="6"/>
      <c r="GW144" s="6"/>
      <c r="GX144" s="6"/>
      <c r="GY144" s="6"/>
      <c r="GZ144" s="6"/>
      <c r="HA144" s="6"/>
      <c r="HB144" s="6"/>
      <c r="HC144" s="6"/>
      <c r="HD144" s="6"/>
      <c r="HE144" s="6"/>
      <c r="HF144" s="6"/>
      <c r="HG144" s="6"/>
      <c r="HH144" s="6"/>
      <c r="HI144" s="6"/>
      <c r="HJ144" s="6"/>
      <c r="HK144" s="6"/>
      <c r="HL144" s="6"/>
      <c r="HM144" s="6"/>
      <c r="HN144" s="6"/>
      <c r="HO144" s="6"/>
      <c r="HP144" s="6"/>
    </row>
    <row r="145" spans="3:224" ht="20.100000000000001" customHeight="1">
      <c r="C145" s="11">
        <v>14110023</v>
      </c>
      <c r="D145" s="37" t="s">
        <v>187</v>
      </c>
      <c r="E145" s="14">
        <v>1140003</v>
      </c>
      <c r="F145" s="14">
        <v>11043</v>
      </c>
      <c r="G145" s="14">
        <v>1</v>
      </c>
      <c r="H145" s="14">
        <v>20</v>
      </c>
      <c r="I145" s="22">
        <v>0.2</v>
      </c>
      <c r="J145" s="23">
        <v>10</v>
      </c>
      <c r="K145" s="14">
        <v>0</v>
      </c>
      <c r="L145" s="14">
        <v>3080</v>
      </c>
      <c r="M145" s="14">
        <f t="shared" si="13"/>
        <v>0</v>
      </c>
      <c r="N145" s="14">
        <v>0</v>
      </c>
      <c r="O145" s="14">
        <v>0</v>
      </c>
      <c r="P145" s="14">
        <v>0</v>
      </c>
      <c r="Q145" s="14">
        <v>31</v>
      </c>
      <c r="R145" s="14">
        <v>62</v>
      </c>
      <c r="S145" s="14">
        <v>31</v>
      </c>
      <c r="T145" s="14">
        <v>62</v>
      </c>
      <c r="U145" s="22">
        <v>0</v>
      </c>
      <c r="V145" s="14">
        <v>0</v>
      </c>
      <c r="W145" s="14">
        <v>0</v>
      </c>
      <c r="X145" s="14">
        <v>0</v>
      </c>
      <c r="Y145" s="22">
        <v>0</v>
      </c>
      <c r="Z145" s="22">
        <v>0</v>
      </c>
      <c r="AA145" s="22">
        <v>0</v>
      </c>
      <c r="AB145" s="22">
        <v>100202</v>
      </c>
      <c r="AC145" s="22">
        <v>500</v>
      </c>
      <c r="AD145" s="22">
        <v>1</v>
      </c>
      <c r="AE145" s="22"/>
      <c r="GR145" s="6"/>
      <c r="GS145" s="6"/>
      <c r="GT145" s="6"/>
      <c r="GU145" s="6"/>
      <c r="GV145" s="6"/>
      <c r="GW145" s="6"/>
      <c r="GX145" s="6"/>
      <c r="GY145" s="6"/>
      <c r="GZ145" s="6"/>
      <c r="HA145" s="6"/>
      <c r="HB145" s="6"/>
      <c r="HC145" s="6"/>
      <c r="HD145" s="6"/>
      <c r="HE145" s="6"/>
      <c r="HF145" s="6"/>
      <c r="HG145" s="6"/>
      <c r="HH145" s="6"/>
      <c r="HI145" s="6"/>
      <c r="HJ145" s="6"/>
      <c r="HK145" s="6"/>
      <c r="HL145" s="6"/>
      <c r="HM145" s="6"/>
      <c r="HN145" s="6"/>
      <c r="HO145" s="6"/>
      <c r="HP145" s="6"/>
    </row>
    <row r="146" spans="3:224" ht="20.100000000000001" customHeight="1">
      <c r="C146" s="11">
        <v>15201001</v>
      </c>
      <c r="D146" s="14" t="s">
        <v>188</v>
      </c>
      <c r="E146" s="14">
        <v>1140003</v>
      </c>
      <c r="F146" s="14">
        <v>0</v>
      </c>
      <c r="G146" s="14">
        <v>1</v>
      </c>
      <c r="H146" s="14">
        <v>30</v>
      </c>
      <c r="I146" s="22">
        <v>0.2</v>
      </c>
      <c r="J146" s="23">
        <v>10</v>
      </c>
      <c r="K146" s="14">
        <v>0</v>
      </c>
      <c r="L146" s="14">
        <v>0</v>
      </c>
      <c r="M146" s="14">
        <f t="shared" si="13"/>
        <v>15</v>
      </c>
      <c r="N146" s="14">
        <v>30</v>
      </c>
      <c r="O146" s="14">
        <v>0</v>
      </c>
      <c r="P146" s="14">
        <v>0</v>
      </c>
      <c r="Q146" s="14">
        <f t="shared" si="14"/>
        <v>9</v>
      </c>
      <c r="R146" s="14">
        <v>18</v>
      </c>
      <c r="S146" s="14">
        <f t="shared" si="15"/>
        <v>9</v>
      </c>
      <c r="T146" s="14">
        <v>18</v>
      </c>
      <c r="U146" s="22">
        <v>0</v>
      </c>
      <c r="V146" s="14">
        <v>0</v>
      </c>
      <c r="W146" s="14">
        <v>0</v>
      </c>
      <c r="X146" s="14">
        <v>0</v>
      </c>
      <c r="Y146" s="22">
        <v>0</v>
      </c>
      <c r="Z146" s="22">
        <v>0</v>
      </c>
      <c r="AA146" s="22">
        <v>0</v>
      </c>
      <c r="AB146" s="22">
        <v>0</v>
      </c>
      <c r="AC146" s="22">
        <v>0</v>
      </c>
      <c r="AD146" s="22">
        <v>0</v>
      </c>
      <c r="AE146" s="22"/>
      <c r="GR146" s="6"/>
      <c r="GS146" s="6"/>
      <c r="GT146" s="6"/>
      <c r="GU146" s="6"/>
      <c r="GV146" s="6"/>
      <c r="GW146" s="6"/>
      <c r="GX146" s="6"/>
      <c r="GY146" s="6"/>
      <c r="GZ146" s="6"/>
      <c r="HA146" s="6"/>
      <c r="HB146" s="6"/>
      <c r="HC146" s="6"/>
      <c r="HD146" s="6"/>
      <c r="HE146" s="6"/>
      <c r="HF146" s="6"/>
      <c r="HG146" s="6"/>
      <c r="HH146" s="6"/>
      <c r="HI146" s="6"/>
      <c r="HJ146" s="6"/>
      <c r="HK146" s="6"/>
      <c r="HL146" s="6"/>
      <c r="HM146" s="6"/>
      <c r="HN146" s="6"/>
      <c r="HO146" s="6"/>
      <c r="HP146" s="6"/>
    </row>
    <row r="147" spans="3:224" ht="20.100000000000001" customHeight="1">
      <c r="C147" s="11">
        <v>15201002</v>
      </c>
      <c r="D147" s="14" t="s">
        <v>189</v>
      </c>
      <c r="E147" s="14">
        <v>1140003</v>
      </c>
      <c r="F147" s="14">
        <v>12011</v>
      </c>
      <c r="G147" s="14">
        <v>1</v>
      </c>
      <c r="H147" s="14">
        <v>30</v>
      </c>
      <c r="I147" s="22">
        <v>0.2</v>
      </c>
      <c r="J147" s="23">
        <v>10</v>
      </c>
      <c r="K147" s="14">
        <v>0</v>
      </c>
      <c r="L147" s="14">
        <v>0</v>
      </c>
      <c r="M147" s="14">
        <f t="shared" si="13"/>
        <v>19</v>
      </c>
      <c r="N147" s="14">
        <v>38</v>
      </c>
      <c r="O147" s="14">
        <v>0</v>
      </c>
      <c r="P147" s="14">
        <v>0</v>
      </c>
      <c r="Q147" s="14">
        <f t="shared" si="14"/>
        <v>12</v>
      </c>
      <c r="R147" s="14">
        <v>23</v>
      </c>
      <c r="S147" s="14">
        <f t="shared" si="15"/>
        <v>12</v>
      </c>
      <c r="T147" s="14">
        <v>23</v>
      </c>
      <c r="U147" s="22">
        <v>0</v>
      </c>
      <c r="V147" s="14">
        <v>0</v>
      </c>
      <c r="W147" s="14">
        <v>0</v>
      </c>
      <c r="X147" s="14">
        <v>0</v>
      </c>
      <c r="Y147" s="22">
        <v>0</v>
      </c>
      <c r="Z147" s="22">
        <v>0</v>
      </c>
      <c r="AA147" s="22">
        <v>0</v>
      </c>
      <c r="AB147" s="22">
        <v>0</v>
      </c>
      <c r="AC147" s="22">
        <v>0</v>
      </c>
      <c r="AD147" s="22">
        <v>0</v>
      </c>
      <c r="AE147" s="22"/>
      <c r="GR147" s="6"/>
      <c r="GS147" s="6"/>
      <c r="GT147" s="6"/>
      <c r="GU147" s="6"/>
      <c r="GV147" s="6"/>
      <c r="GW147" s="6"/>
      <c r="GX147" s="6"/>
      <c r="GY147" s="6"/>
      <c r="GZ147" s="6"/>
      <c r="HA147" s="6"/>
      <c r="HB147" s="6"/>
      <c r="HC147" s="6"/>
      <c r="HD147" s="6"/>
      <c r="HE147" s="6"/>
      <c r="HF147" s="6"/>
      <c r="HG147" s="6"/>
      <c r="HH147" s="6"/>
      <c r="HI147" s="6"/>
      <c r="HJ147" s="6"/>
      <c r="HK147" s="6"/>
      <c r="HL147" s="6"/>
      <c r="HM147" s="6"/>
      <c r="HN147" s="6"/>
      <c r="HO147" s="6"/>
      <c r="HP147" s="6"/>
    </row>
    <row r="148" spans="3:224" ht="20.100000000000001" customHeight="1">
      <c r="C148" s="11">
        <v>15201003</v>
      </c>
      <c r="D148" s="14" t="s">
        <v>190</v>
      </c>
      <c r="E148" s="14">
        <v>1140003</v>
      </c>
      <c r="F148" s="14">
        <v>0</v>
      </c>
      <c r="G148" s="14">
        <v>1</v>
      </c>
      <c r="H148" s="14">
        <v>30</v>
      </c>
      <c r="I148" s="22">
        <v>0.2</v>
      </c>
      <c r="J148" s="23">
        <v>10</v>
      </c>
      <c r="K148" s="14">
        <v>0</v>
      </c>
      <c r="L148" s="14">
        <v>0</v>
      </c>
      <c r="M148" s="14">
        <f t="shared" si="13"/>
        <v>21</v>
      </c>
      <c r="N148" s="14">
        <v>41</v>
      </c>
      <c r="O148" s="14">
        <v>0</v>
      </c>
      <c r="P148" s="14">
        <v>0</v>
      </c>
      <c r="Q148" s="14">
        <f t="shared" si="14"/>
        <v>7</v>
      </c>
      <c r="R148" s="14">
        <v>14</v>
      </c>
      <c r="S148" s="14">
        <f t="shared" si="15"/>
        <v>7</v>
      </c>
      <c r="T148" s="14">
        <v>14</v>
      </c>
      <c r="U148" s="22">
        <v>0</v>
      </c>
      <c r="V148" s="14">
        <v>0</v>
      </c>
      <c r="W148" s="14">
        <v>0</v>
      </c>
      <c r="X148" s="14">
        <v>0</v>
      </c>
      <c r="Y148" s="22">
        <v>0</v>
      </c>
      <c r="Z148" s="22">
        <v>0</v>
      </c>
      <c r="AA148" s="22">
        <v>0</v>
      </c>
      <c r="AB148" s="22">
        <v>0</v>
      </c>
      <c r="AC148" s="22">
        <v>0</v>
      </c>
      <c r="AD148" s="22">
        <v>0</v>
      </c>
      <c r="AE148" s="22"/>
      <c r="GR148" s="6"/>
      <c r="GS148" s="6"/>
      <c r="GT148" s="6"/>
      <c r="GU148" s="6"/>
      <c r="GV148" s="6"/>
      <c r="GW148" s="6"/>
      <c r="GX148" s="6"/>
      <c r="GY148" s="6"/>
      <c r="GZ148" s="6"/>
      <c r="HA148" s="6"/>
      <c r="HB148" s="6"/>
      <c r="HC148" s="6"/>
      <c r="HD148" s="6"/>
      <c r="HE148" s="6"/>
      <c r="HF148" s="6"/>
      <c r="HG148" s="6"/>
      <c r="HH148" s="6"/>
      <c r="HI148" s="6"/>
      <c r="HJ148" s="6"/>
      <c r="HK148" s="6"/>
      <c r="HL148" s="6"/>
      <c r="HM148" s="6"/>
      <c r="HN148" s="6"/>
      <c r="HO148" s="6"/>
      <c r="HP148" s="6"/>
    </row>
    <row r="149" spans="3:224" ht="20.100000000000001" customHeight="1">
      <c r="C149" s="11">
        <v>15201004</v>
      </c>
      <c r="D149" s="14" t="s">
        <v>191</v>
      </c>
      <c r="E149" s="14">
        <v>1140003</v>
      </c>
      <c r="F149" s="14">
        <v>12021</v>
      </c>
      <c r="G149" s="14">
        <v>1</v>
      </c>
      <c r="H149" s="14">
        <v>30</v>
      </c>
      <c r="I149" s="22">
        <v>0.2</v>
      </c>
      <c r="J149" s="23">
        <v>10</v>
      </c>
      <c r="K149" s="14">
        <v>0</v>
      </c>
      <c r="L149" s="14">
        <v>0</v>
      </c>
      <c r="M149" s="14">
        <f t="shared" si="13"/>
        <v>26</v>
      </c>
      <c r="N149" s="14">
        <v>51</v>
      </c>
      <c r="O149" s="14">
        <v>0</v>
      </c>
      <c r="P149" s="14">
        <v>0</v>
      </c>
      <c r="Q149" s="14">
        <f t="shared" si="14"/>
        <v>9</v>
      </c>
      <c r="R149" s="14">
        <v>17</v>
      </c>
      <c r="S149" s="14">
        <f t="shared" si="15"/>
        <v>9</v>
      </c>
      <c r="T149" s="14">
        <v>17</v>
      </c>
      <c r="U149" s="22">
        <v>0</v>
      </c>
      <c r="V149" s="14">
        <v>0</v>
      </c>
      <c r="W149" s="14">
        <v>0</v>
      </c>
      <c r="X149" s="14">
        <v>0</v>
      </c>
      <c r="Y149" s="22">
        <v>0</v>
      </c>
      <c r="Z149" s="22">
        <v>0</v>
      </c>
      <c r="AA149" s="22">
        <v>0</v>
      </c>
      <c r="AB149" s="22">
        <v>0</v>
      </c>
      <c r="AC149" s="22">
        <v>0</v>
      </c>
      <c r="AD149" s="22">
        <v>0</v>
      </c>
      <c r="AE149" s="22"/>
      <c r="GR149" s="6"/>
      <c r="GS149" s="6"/>
      <c r="GT149" s="6"/>
      <c r="GU149" s="6"/>
      <c r="GV149" s="6"/>
      <c r="GW149" s="6"/>
      <c r="GX149" s="6"/>
      <c r="GY149" s="6"/>
      <c r="GZ149" s="6"/>
      <c r="HA149" s="6"/>
      <c r="HB149" s="6"/>
      <c r="HC149" s="6"/>
      <c r="HD149" s="6"/>
      <c r="HE149" s="6"/>
      <c r="HF149" s="6"/>
      <c r="HG149" s="6"/>
      <c r="HH149" s="6"/>
      <c r="HI149" s="6"/>
      <c r="HJ149" s="6"/>
      <c r="HK149" s="6"/>
      <c r="HL149" s="6"/>
      <c r="HM149" s="6"/>
      <c r="HN149" s="6"/>
      <c r="HO149" s="6"/>
      <c r="HP149" s="6"/>
    </row>
    <row r="150" spans="3:224" ht="20.100000000000001" customHeight="1">
      <c r="C150" s="11">
        <v>15201005</v>
      </c>
      <c r="D150" s="14" t="s">
        <v>192</v>
      </c>
      <c r="E150" s="14">
        <v>1140003</v>
      </c>
      <c r="F150" s="14">
        <v>0</v>
      </c>
      <c r="G150" s="14">
        <v>1</v>
      </c>
      <c r="H150" s="14">
        <v>30</v>
      </c>
      <c r="I150" s="22">
        <v>0.2</v>
      </c>
      <c r="J150" s="23">
        <v>10</v>
      </c>
      <c r="K150" s="14">
        <v>0</v>
      </c>
      <c r="L150" s="14">
        <v>0</v>
      </c>
      <c r="M150" s="14">
        <f t="shared" si="13"/>
        <v>12</v>
      </c>
      <c r="N150" s="14">
        <v>23</v>
      </c>
      <c r="O150" s="14">
        <v>0</v>
      </c>
      <c r="P150" s="14">
        <v>0</v>
      </c>
      <c r="Q150" s="14">
        <f t="shared" si="14"/>
        <v>12</v>
      </c>
      <c r="R150" s="14">
        <v>23</v>
      </c>
      <c r="S150" s="14">
        <f t="shared" si="15"/>
        <v>12</v>
      </c>
      <c r="T150" s="14">
        <v>23</v>
      </c>
      <c r="U150" s="22">
        <v>0</v>
      </c>
      <c r="V150" s="14">
        <v>0</v>
      </c>
      <c r="W150" s="14">
        <v>0</v>
      </c>
      <c r="X150" s="14">
        <v>0</v>
      </c>
      <c r="Y150" s="22">
        <v>0</v>
      </c>
      <c r="Z150" s="22">
        <v>0</v>
      </c>
      <c r="AA150" s="22">
        <v>0</v>
      </c>
      <c r="AB150" s="22">
        <v>0</v>
      </c>
      <c r="AC150" s="22">
        <v>0</v>
      </c>
      <c r="AD150" s="22">
        <v>0</v>
      </c>
      <c r="AE150" s="22"/>
      <c r="GR150" s="6"/>
      <c r="GS150" s="6"/>
      <c r="GT150" s="6"/>
      <c r="GU150" s="6"/>
      <c r="GV150" s="6"/>
      <c r="GW150" s="6"/>
      <c r="GX150" s="6"/>
      <c r="GY150" s="6"/>
      <c r="GZ150" s="6"/>
      <c r="HA150" s="6"/>
      <c r="HB150" s="6"/>
      <c r="HC150" s="6"/>
      <c r="HD150" s="6"/>
      <c r="HE150" s="6"/>
      <c r="HF150" s="6"/>
      <c r="HG150" s="6"/>
      <c r="HH150" s="6"/>
      <c r="HI150" s="6"/>
      <c r="HJ150" s="6"/>
      <c r="HK150" s="6"/>
      <c r="HL150" s="6"/>
      <c r="HM150" s="6"/>
      <c r="HN150" s="6"/>
      <c r="HO150" s="6"/>
      <c r="HP150" s="6"/>
    </row>
    <row r="151" spans="3:224" ht="20.100000000000001" customHeight="1">
      <c r="C151" s="11">
        <v>15201006</v>
      </c>
      <c r="D151" s="14" t="s">
        <v>193</v>
      </c>
      <c r="E151" s="14">
        <v>1140003</v>
      </c>
      <c r="F151" s="14">
        <v>12031</v>
      </c>
      <c r="G151" s="14">
        <v>1</v>
      </c>
      <c r="H151" s="14">
        <v>30</v>
      </c>
      <c r="I151" s="22">
        <v>0.2</v>
      </c>
      <c r="J151" s="23">
        <v>10</v>
      </c>
      <c r="K151" s="14">
        <v>0</v>
      </c>
      <c r="L151" s="14">
        <v>0</v>
      </c>
      <c r="M151" s="14">
        <f t="shared" si="13"/>
        <v>15</v>
      </c>
      <c r="N151" s="14">
        <v>29</v>
      </c>
      <c r="O151" s="14">
        <v>0</v>
      </c>
      <c r="P151" s="14">
        <v>0</v>
      </c>
      <c r="Q151" s="14">
        <f t="shared" si="14"/>
        <v>15</v>
      </c>
      <c r="R151" s="14">
        <v>29</v>
      </c>
      <c r="S151" s="14">
        <f t="shared" si="15"/>
        <v>15</v>
      </c>
      <c r="T151" s="14">
        <v>29</v>
      </c>
      <c r="U151" s="22">
        <v>0</v>
      </c>
      <c r="V151" s="14">
        <v>0</v>
      </c>
      <c r="W151" s="14">
        <v>0</v>
      </c>
      <c r="X151" s="14">
        <v>0</v>
      </c>
      <c r="Y151" s="22">
        <v>0</v>
      </c>
      <c r="Z151" s="22">
        <v>0</v>
      </c>
      <c r="AA151" s="22">
        <v>0</v>
      </c>
      <c r="AB151" s="22">
        <v>0</v>
      </c>
      <c r="AC151" s="22">
        <v>0</v>
      </c>
      <c r="AD151" s="22">
        <v>0</v>
      </c>
      <c r="AE151" s="22"/>
      <c r="GR151" s="6"/>
      <c r="GS151" s="6"/>
      <c r="GT151" s="6"/>
      <c r="GU151" s="6"/>
      <c r="GV151" s="6"/>
      <c r="GW151" s="6"/>
      <c r="GX151" s="6"/>
      <c r="GY151" s="6"/>
      <c r="GZ151" s="6"/>
      <c r="HA151" s="6"/>
      <c r="HB151" s="6"/>
      <c r="HC151" s="6"/>
      <c r="HD151" s="6"/>
      <c r="HE151" s="6"/>
      <c r="HF151" s="6"/>
      <c r="HG151" s="6"/>
      <c r="HH151" s="6"/>
      <c r="HI151" s="6"/>
      <c r="HJ151" s="6"/>
      <c r="HK151" s="6"/>
      <c r="HL151" s="6"/>
      <c r="HM151" s="6"/>
      <c r="HN151" s="6"/>
      <c r="HO151" s="6"/>
      <c r="HP151" s="6"/>
    </row>
    <row r="152" spans="3:224" ht="20.100000000000001" customHeight="1">
      <c r="C152" s="11">
        <v>15202001</v>
      </c>
      <c r="D152" s="14" t="s">
        <v>194</v>
      </c>
      <c r="E152" s="14">
        <v>1140003</v>
      </c>
      <c r="F152" s="14">
        <v>0</v>
      </c>
      <c r="G152" s="14">
        <v>1</v>
      </c>
      <c r="H152" s="14">
        <v>30</v>
      </c>
      <c r="I152" s="22">
        <v>0.2</v>
      </c>
      <c r="J152" s="23">
        <v>10</v>
      </c>
      <c r="K152" s="14">
        <v>0</v>
      </c>
      <c r="L152" s="14">
        <v>0</v>
      </c>
      <c r="M152" s="14">
        <f t="shared" si="13"/>
        <v>20</v>
      </c>
      <c r="N152" s="14">
        <v>40</v>
      </c>
      <c r="O152" s="14">
        <v>0</v>
      </c>
      <c r="P152" s="14">
        <v>0</v>
      </c>
      <c r="Q152" s="14">
        <f t="shared" si="14"/>
        <v>0</v>
      </c>
      <c r="R152" s="14">
        <v>0</v>
      </c>
      <c r="S152" s="14">
        <f t="shared" si="15"/>
        <v>28</v>
      </c>
      <c r="T152" s="14">
        <v>55</v>
      </c>
      <c r="U152" s="22">
        <v>0</v>
      </c>
      <c r="V152" s="14">
        <v>0</v>
      </c>
      <c r="W152" s="14">
        <v>0</v>
      </c>
      <c r="X152" s="14">
        <v>0</v>
      </c>
      <c r="Y152" s="22">
        <v>0</v>
      </c>
      <c r="Z152" s="22">
        <v>0</v>
      </c>
      <c r="AA152" s="22">
        <v>0</v>
      </c>
      <c r="AB152" s="22">
        <v>0</v>
      </c>
      <c r="AC152" s="22">
        <v>0</v>
      </c>
      <c r="AD152" s="22">
        <v>0</v>
      </c>
      <c r="AE152" s="22"/>
      <c r="GR152" s="6"/>
      <c r="GS152" s="6"/>
      <c r="GT152" s="6"/>
      <c r="GU152" s="6"/>
      <c r="GV152" s="6"/>
      <c r="GW152" s="6"/>
      <c r="GX152" s="6"/>
      <c r="GY152" s="6"/>
      <c r="GZ152" s="6"/>
      <c r="HA152" s="6"/>
      <c r="HB152" s="6"/>
      <c r="HC152" s="6"/>
      <c r="HD152" s="6"/>
      <c r="HE152" s="6"/>
      <c r="HF152" s="6"/>
      <c r="HG152" s="6"/>
      <c r="HH152" s="6"/>
      <c r="HI152" s="6"/>
      <c r="HJ152" s="6"/>
      <c r="HK152" s="6"/>
      <c r="HL152" s="6"/>
      <c r="HM152" s="6"/>
      <c r="HN152" s="6"/>
      <c r="HO152" s="6"/>
      <c r="HP152" s="6"/>
    </row>
    <row r="153" spans="3:224" ht="20.100000000000001" customHeight="1">
      <c r="C153" s="11">
        <v>15202002</v>
      </c>
      <c r="D153" s="14" t="s">
        <v>195</v>
      </c>
      <c r="E153" s="14">
        <v>1140003</v>
      </c>
      <c r="F153" s="14">
        <v>12011</v>
      </c>
      <c r="G153" s="14">
        <v>1</v>
      </c>
      <c r="H153" s="14">
        <v>30</v>
      </c>
      <c r="I153" s="22">
        <v>0.2</v>
      </c>
      <c r="J153" s="23">
        <v>10</v>
      </c>
      <c r="K153" s="14">
        <v>0</v>
      </c>
      <c r="L153" s="14">
        <v>0</v>
      </c>
      <c r="M153" s="14">
        <f t="shared" si="13"/>
        <v>25</v>
      </c>
      <c r="N153" s="14">
        <v>49</v>
      </c>
      <c r="O153" s="14">
        <v>0</v>
      </c>
      <c r="P153" s="14">
        <v>0</v>
      </c>
      <c r="Q153" s="14">
        <f t="shared" si="14"/>
        <v>0</v>
      </c>
      <c r="R153" s="14">
        <v>0</v>
      </c>
      <c r="S153" s="14">
        <f t="shared" si="15"/>
        <v>34</v>
      </c>
      <c r="T153" s="14">
        <v>68</v>
      </c>
      <c r="U153" s="22">
        <v>0</v>
      </c>
      <c r="V153" s="14">
        <v>0</v>
      </c>
      <c r="W153" s="14">
        <v>0</v>
      </c>
      <c r="X153" s="14">
        <v>0</v>
      </c>
      <c r="Y153" s="22">
        <v>0</v>
      </c>
      <c r="Z153" s="22">
        <v>0</v>
      </c>
      <c r="AA153" s="22">
        <v>0</v>
      </c>
      <c r="AB153" s="22">
        <v>0</v>
      </c>
      <c r="AC153" s="22">
        <v>0</v>
      </c>
      <c r="AD153" s="22">
        <v>0</v>
      </c>
      <c r="AE153" s="22"/>
      <c r="GR153" s="6"/>
      <c r="GS153" s="6"/>
      <c r="GT153" s="6"/>
      <c r="GU153" s="6"/>
      <c r="GV153" s="6"/>
      <c r="GW153" s="6"/>
      <c r="GX153" s="6"/>
      <c r="GY153" s="6"/>
      <c r="GZ153" s="6"/>
      <c r="HA153" s="6"/>
      <c r="HB153" s="6"/>
      <c r="HC153" s="6"/>
      <c r="HD153" s="6"/>
      <c r="HE153" s="6"/>
      <c r="HF153" s="6"/>
      <c r="HG153" s="6"/>
      <c r="HH153" s="6"/>
      <c r="HI153" s="6"/>
      <c r="HJ153" s="6"/>
      <c r="HK153" s="6"/>
      <c r="HL153" s="6"/>
      <c r="HM153" s="6"/>
      <c r="HN153" s="6"/>
      <c r="HO153" s="6"/>
      <c r="HP153" s="6"/>
    </row>
    <row r="154" spans="3:224" ht="20.100000000000001" customHeight="1">
      <c r="C154" s="11">
        <v>15202003</v>
      </c>
      <c r="D154" s="14" t="s">
        <v>196</v>
      </c>
      <c r="E154" s="14">
        <v>1140003</v>
      </c>
      <c r="F154" s="14">
        <v>0</v>
      </c>
      <c r="G154" s="14">
        <v>1</v>
      </c>
      <c r="H154" s="14">
        <v>30</v>
      </c>
      <c r="I154" s="22">
        <v>0.2</v>
      </c>
      <c r="J154" s="23">
        <v>10</v>
      </c>
      <c r="K154" s="14">
        <v>0</v>
      </c>
      <c r="L154" s="14">
        <v>0</v>
      </c>
      <c r="M154" s="14">
        <f t="shared" si="13"/>
        <v>27</v>
      </c>
      <c r="N154" s="14">
        <v>54</v>
      </c>
      <c r="O154" s="14">
        <v>0</v>
      </c>
      <c r="P154" s="14">
        <v>0</v>
      </c>
      <c r="Q154" s="14">
        <f t="shared" si="14"/>
        <v>0</v>
      </c>
      <c r="R154" s="14">
        <v>0</v>
      </c>
      <c r="S154" s="14">
        <f t="shared" si="15"/>
        <v>21</v>
      </c>
      <c r="T154" s="14">
        <v>41</v>
      </c>
      <c r="U154" s="22">
        <v>0</v>
      </c>
      <c r="V154" s="14">
        <v>0</v>
      </c>
      <c r="W154" s="14">
        <v>0</v>
      </c>
      <c r="X154" s="14">
        <v>0</v>
      </c>
      <c r="Y154" s="22">
        <v>0</v>
      </c>
      <c r="Z154" s="22">
        <v>0</v>
      </c>
      <c r="AA154" s="22">
        <v>0</v>
      </c>
      <c r="AB154" s="22">
        <v>0</v>
      </c>
      <c r="AC154" s="22">
        <v>0</v>
      </c>
      <c r="AD154" s="22">
        <v>0</v>
      </c>
      <c r="AE154" s="22"/>
      <c r="GR154" s="6"/>
      <c r="GS154" s="6"/>
      <c r="GT154" s="6"/>
      <c r="GU154" s="6"/>
      <c r="GV154" s="6"/>
      <c r="GW154" s="6"/>
      <c r="GX154" s="6"/>
      <c r="GY154" s="6"/>
      <c r="GZ154" s="6"/>
      <c r="HA154" s="6"/>
      <c r="HB154" s="6"/>
      <c r="HC154" s="6"/>
      <c r="HD154" s="6"/>
      <c r="HE154" s="6"/>
      <c r="HF154" s="6"/>
      <c r="HG154" s="6"/>
      <c r="HH154" s="6"/>
      <c r="HI154" s="6"/>
      <c r="HJ154" s="6"/>
      <c r="HK154" s="6"/>
      <c r="HL154" s="6"/>
      <c r="HM154" s="6"/>
      <c r="HN154" s="6"/>
      <c r="HO154" s="6"/>
      <c r="HP154" s="6"/>
    </row>
    <row r="155" spans="3:224" ht="20.100000000000001" customHeight="1">
      <c r="C155" s="11">
        <v>15202004</v>
      </c>
      <c r="D155" s="14" t="s">
        <v>197</v>
      </c>
      <c r="E155" s="14">
        <v>1140003</v>
      </c>
      <c r="F155" s="14">
        <v>12021</v>
      </c>
      <c r="G155" s="14">
        <v>1</v>
      </c>
      <c r="H155" s="14">
        <v>30</v>
      </c>
      <c r="I155" s="22">
        <v>0.2</v>
      </c>
      <c r="J155" s="23">
        <v>10</v>
      </c>
      <c r="K155" s="14">
        <v>0</v>
      </c>
      <c r="L155" s="14">
        <v>0</v>
      </c>
      <c r="M155" s="14">
        <f t="shared" si="13"/>
        <v>33</v>
      </c>
      <c r="N155" s="14">
        <v>66</v>
      </c>
      <c r="O155" s="14">
        <v>0</v>
      </c>
      <c r="P155" s="14">
        <v>0</v>
      </c>
      <c r="Q155" s="14">
        <f t="shared" si="14"/>
        <v>0</v>
      </c>
      <c r="R155" s="14">
        <v>0</v>
      </c>
      <c r="S155" s="14">
        <f t="shared" si="15"/>
        <v>26</v>
      </c>
      <c r="T155" s="14">
        <v>51</v>
      </c>
      <c r="U155" s="22">
        <v>0</v>
      </c>
      <c r="V155" s="14">
        <v>0</v>
      </c>
      <c r="W155" s="14">
        <v>0</v>
      </c>
      <c r="X155" s="14">
        <v>0</v>
      </c>
      <c r="Y155" s="22">
        <v>0</v>
      </c>
      <c r="Z155" s="22">
        <v>0</v>
      </c>
      <c r="AA155" s="22">
        <v>0</v>
      </c>
      <c r="AB155" s="22">
        <v>0</v>
      </c>
      <c r="AC155" s="22">
        <v>0</v>
      </c>
      <c r="AD155" s="22">
        <v>0</v>
      </c>
      <c r="AE155" s="22"/>
      <c r="GR155" s="6"/>
      <c r="GS155" s="6"/>
      <c r="GT155" s="6"/>
      <c r="GU155" s="6"/>
      <c r="GV155" s="6"/>
      <c r="GW155" s="6"/>
      <c r="GX155" s="6"/>
      <c r="GY155" s="6"/>
      <c r="GZ155" s="6"/>
      <c r="HA155" s="6"/>
      <c r="HB155" s="6"/>
      <c r="HC155" s="6"/>
      <c r="HD155" s="6"/>
      <c r="HE155" s="6"/>
      <c r="HF155" s="6"/>
      <c r="HG155" s="6"/>
      <c r="HH155" s="6"/>
      <c r="HI155" s="6"/>
      <c r="HJ155" s="6"/>
      <c r="HK155" s="6"/>
      <c r="HL155" s="6"/>
      <c r="HM155" s="6"/>
      <c r="HN155" s="6"/>
      <c r="HO155" s="6"/>
      <c r="HP155" s="6"/>
    </row>
    <row r="156" spans="3:224" ht="20.100000000000001" customHeight="1">
      <c r="C156" s="11">
        <v>15202005</v>
      </c>
      <c r="D156" s="14" t="s">
        <v>198</v>
      </c>
      <c r="E156" s="14">
        <v>1140003</v>
      </c>
      <c r="F156" s="14">
        <v>0</v>
      </c>
      <c r="G156" s="14">
        <v>1</v>
      </c>
      <c r="H156" s="14">
        <v>30</v>
      </c>
      <c r="I156" s="22">
        <v>0.2</v>
      </c>
      <c r="J156" s="23">
        <v>10</v>
      </c>
      <c r="K156" s="14">
        <v>0</v>
      </c>
      <c r="L156" s="14">
        <v>0</v>
      </c>
      <c r="M156" s="14">
        <f t="shared" si="13"/>
        <v>15</v>
      </c>
      <c r="N156" s="14">
        <v>30</v>
      </c>
      <c r="O156" s="14">
        <v>0</v>
      </c>
      <c r="P156" s="14">
        <v>0</v>
      </c>
      <c r="Q156" s="14">
        <f t="shared" si="14"/>
        <v>0</v>
      </c>
      <c r="R156" s="14">
        <v>0</v>
      </c>
      <c r="S156" s="14">
        <f t="shared" si="15"/>
        <v>35</v>
      </c>
      <c r="T156" s="14">
        <v>69</v>
      </c>
      <c r="U156" s="22">
        <v>0</v>
      </c>
      <c r="V156" s="14">
        <v>0</v>
      </c>
      <c r="W156" s="14">
        <v>0</v>
      </c>
      <c r="X156" s="14">
        <v>0</v>
      </c>
      <c r="Y156" s="22">
        <v>0</v>
      </c>
      <c r="Z156" s="22">
        <v>0</v>
      </c>
      <c r="AA156" s="22">
        <v>0</v>
      </c>
      <c r="AB156" s="22">
        <v>0</v>
      </c>
      <c r="AC156" s="22">
        <v>0</v>
      </c>
      <c r="AD156" s="22">
        <v>0</v>
      </c>
      <c r="AE156" s="22"/>
      <c r="GR156" s="6"/>
      <c r="GS156" s="6"/>
      <c r="GT156" s="6"/>
      <c r="GU156" s="6"/>
      <c r="GV156" s="6"/>
      <c r="GW156" s="6"/>
      <c r="GX156" s="6"/>
      <c r="GY156" s="6"/>
      <c r="GZ156" s="6"/>
      <c r="HA156" s="6"/>
      <c r="HB156" s="6"/>
      <c r="HC156" s="6"/>
      <c r="HD156" s="6"/>
      <c r="HE156" s="6"/>
      <c r="HF156" s="6"/>
      <c r="HG156" s="6"/>
      <c r="HH156" s="6"/>
      <c r="HI156" s="6"/>
      <c r="HJ156" s="6"/>
      <c r="HK156" s="6"/>
      <c r="HL156" s="6"/>
      <c r="HM156" s="6"/>
      <c r="HN156" s="6"/>
      <c r="HO156" s="6"/>
      <c r="HP156" s="6"/>
    </row>
    <row r="157" spans="3:224" ht="20.100000000000001" customHeight="1">
      <c r="C157" s="11">
        <v>15202006</v>
      </c>
      <c r="D157" s="14" t="s">
        <v>199</v>
      </c>
      <c r="E157" s="14">
        <v>1140003</v>
      </c>
      <c r="F157" s="14">
        <v>12031</v>
      </c>
      <c r="G157" s="14">
        <v>1</v>
      </c>
      <c r="H157" s="14">
        <v>30</v>
      </c>
      <c r="I157" s="22">
        <v>0.2</v>
      </c>
      <c r="J157" s="23">
        <v>10</v>
      </c>
      <c r="K157" s="14">
        <v>0</v>
      </c>
      <c r="L157" s="14">
        <v>0</v>
      </c>
      <c r="M157" s="14">
        <f t="shared" si="13"/>
        <v>19</v>
      </c>
      <c r="N157" s="14">
        <v>37</v>
      </c>
      <c r="O157" s="14">
        <v>0</v>
      </c>
      <c r="P157" s="14">
        <v>0</v>
      </c>
      <c r="Q157" s="14">
        <f t="shared" si="14"/>
        <v>0</v>
      </c>
      <c r="R157" s="14">
        <v>0</v>
      </c>
      <c r="S157" s="14">
        <f t="shared" si="15"/>
        <v>43</v>
      </c>
      <c r="T157" s="14">
        <v>85</v>
      </c>
      <c r="U157" s="22">
        <v>0</v>
      </c>
      <c r="V157" s="14">
        <v>0</v>
      </c>
      <c r="W157" s="14">
        <v>0</v>
      </c>
      <c r="X157" s="14">
        <v>0</v>
      </c>
      <c r="Y157" s="22">
        <v>0</v>
      </c>
      <c r="Z157" s="22">
        <v>0</v>
      </c>
      <c r="AA157" s="22">
        <v>0</v>
      </c>
      <c r="AB157" s="22">
        <v>0</v>
      </c>
      <c r="AC157" s="22">
        <v>0</v>
      </c>
      <c r="AD157" s="22">
        <v>0</v>
      </c>
      <c r="AE157" s="22"/>
      <c r="GR157" s="6"/>
      <c r="GS157" s="6"/>
      <c r="GT157" s="6"/>
      <c r="GU157" s="6"/>
      <c r="GV157" s="6"/>
      <c r="GW157" s="6"/>
      <c r="GX157" s="6"/>
      <c r="GY157" s="6"/>
      <c r="GZ157" s="6"/>
      <c r="HA157" s="6"/>
      <c r="HB157" s="6"/>
      <c r="HC157" s="6"/>
      <c r="HD157" s="6"/>
      <c r="HE157" s="6"/>
      <c r="HF157" s="6"/>
      <c r="HG157" s="6"/>
      <c r="HH157" s="6"/>
      <c r="HI157" s="6"/>
      <c r="HJ157" s="6"/>
      <c r="HK157" s="6"/>
      <c r="HL157" s="6"/>
      <c r="HM157" s="6"/>
      <c r="HN157" s="6"/>
      <c r="HO157" s="6"/>
      <c r="HP157" s="6"/>
    </row>
    <row r="158" spans="3:224" ht="20.100000000000001" customHeight="1">
      <c r="C158" s="11">
        <v>15203001</v>
      </c>
      <c r="D158" s="14" t="s">
        <v>200</v>
      </c>
      <c r="E158" s="14">
        <v>1140003</v>
      </c>
      <c r="F158" s="14">
        <v>0</v>
      </c>
      <c r="G158" s="14">
        <v>1</v>
      </c>
      <c r="H158" s="14">
        <v>30</v>
      </c>
      <c r="I158" s="22">
        <v>0.2</v>
      </c>
      <c r="J158" s="23">
        <v>10</v>
      </c>
      <c r="K158" s="14">
        <v>0</v>
      </c>
      <c r="L158" s="14">
        <v>650</v>
      </c>
      <c r="M158" s="14">
        <f t="shared" si="13"/>
        <v>11</v>
      </c>
      <c r="N158" s="14">
        <v>22</v>
      </c>
      <c r="O158" s="14">
        <v>0</v>
      </c>
      <c r="P158" s="14">
        <v>0</v>
      </c>
      <c r="Q158" s="14">
        <f t="shared" si="14"/>
        <v>18</v>
      </c>
      <c r="R158" s="14">
        <v>35</v>
      </c>
      <c r="S158" s="14">
        <f t="shared" si="15"/>
        <v>0</v>
      </c>
      <c r="T158" s="14">
        <v>0</v>
      </c>
      <c r="U158" s="22">
        <v>0</v>
      </c>
      <c r="V158" s="14">
        <v>0</v>
      </c>
      <c r="W158" s="14">
        <v>0</v>
      </c>
      <c r="X158" s="14">
        <v>0</v>
      </c>
      <c r="Y158" s="22">
        <v>0</v>
      </c>
      <c r="Z158" s="22">
        <v>0</v>
      </c>
      <c r="AA158" s="22">
        <v>0</v>
      </c>
      <c r="AB158" s="22">
        <v>0</v>
      </c>
      <c r="AC158" s="22">
        <v>0</v>
      </c>
      <c r="AD158" s="22">
        <v>0</v>
      </c>
      <c r="AE158" s="22"/>
      <c r="GR158" s="6"/>
      <c r="GS158" s="6"/>
      <c r="GT158" s="6"/>
      <c r="GU158" s="6"/>
      <c r="GV158" s="6"/>
      <c r="GW158" s="6"/>
      <c r="GX158" s="6"/>
      <c r="GY158" s="6"/>
      <c r="GZ158" s="6"/>
      <c r="HA158" s="6"/>
      <c r="HB158" s="6"/>
      <c r="HC158" s="6"/>
      <c r="HD158" s="6"/>
      <c r="HE158" s="6"/>
      <c r="HF158" s="6"/>
      <c r="HG158" s="6"/>
      <c r="HH158" s="6"/>
      <c r="HI158" s="6"/>
      <c r="HJ158" s="6"/>
      <c r="HK158" s="6"/>
      <c r="HL158" s="6"/>
      <c r="HM158" s="6"/>
      <c r="HN158" s="6"/>
      <c r="HO158" s="6"/>
      <c r="HP158" s="6"/>
    </row>
    <row r="159" spans="3:224" ht="20.100000000000001" customHeight="1">
      <c r="C159" s="11">
        <v>15203002</v>
      </c>
      <c r="D159" s="14" t="s">
        <v>201</v>
      </c>
      <c r="E159" s="14">
        <v>1140003</v>
      </c>
      <c r="F159" s="14">
        <v>12011</v>
      </c>
      <c r="G159" s="14">
        <v>1</v>
      </c>
      <c r="H159" s="14">
        <v>30</v>
      </c>
      <c r="I159" s="22">
        <v>0.2</v>
      </c>
      <c r="J159" s="23">
        <v>10</v>
      </c>
      <c r="K159" s="14">
        <v>0</v>
      </c>
      <c r="L159" s="14">
        <v>780</v>
      </c>
      <c r="M159" s="14">
        <f t="shared" si="13"/>
        <v>13</v>
      </c>
      <c r="N159" s="14">
        <v>26</v>
      </c>
      <c r="O159" s="14">
        <v>0</v>
      </c>
      <c r="P159" s="14">
        <v>0</v>
      </c>
      <c r="Q159" s="14">
        <f t="shared" si="14"/>
        <v>23</v>
      </c>
      <c r="R159" s="14">
        <v>45</v>
      </c>
      <c r="S159" s="14">
        <f t="shared" si="15"/>
        <v>0</v>
      </c>
      <c r="T159" s="14">
        <v>0</v>
      </c>
      <c r="U159" s="22">
        <v>0</v>
      </c>
      <c r="V159" s="14">
        <v>0</v>
      </c>
      <c r="W159" s="14">
        <v>0</v>
      </c>
      <c r="X159" s="14">
        <v>0</v>
      </c>
      <c r="Y159" s="22">
        <v>0</v>
      </c>
      <c r="Z159" s="22">
        <v>0</v>
      </c>
      <c r="AA159" s="22">
        <v>0</v>
      </c>
      <c r="AB159" s="22">
        <v>0</v>
      </c>
      <c r="AC159" s="22">
        <v>0</v>
      </c>
      <c r="AD159" s="22">
        <v>0</v>
      </c>
      <c r="AE159" s="22"/>
      <c r="GR159" s="6"/>
      <c r="GS159" s="6"/>
      <c r="GT159" s="6"/>
      <c r="GU159" s="6"/>
      <c r="GV159" s="6"/>
      <c r="GW159" s="6"/>
      <c r="GX159" s="6"/>
      <c r="GY159" s="6"/>
      <c r="GZ159" s="6"/>
      <c r="HA159" s="6"/>
      <c r="HB159" s="6"/>
      <c r="HC159" s="6"/>
      <c r="HD159" s="6"/>
      <c r="HE159" s="6"/>
      <c r="HF159" s="6"/>
      <c r="HG159" s="6"/>
      <c r="HH159" s="6"/>
      <c r="HI159" s="6"/>
      <c r="HJ159" s="6"/>
      <c r="HK159" s="6"/>
      <c r="HL159" s="6"/>
      <c r="HM159" s="6"/>
      <c r="HN159" s="6"/>
      <c r="HO159" s="6"/>
      <c r="HP159" s="6"/>
    </row>
    <row r="160" spans="3:224" ht="20.100000000000001" customHeight="1">
      <c r="C160" s="11">
        <v>15203003</v>
      </c>
      <c r="D160" s="14" t="s">
        <v>202</v>
      </c>
      <c r="E160" s="14">
        <v>1140003</v>
      </c>
      <c r="F160" s="14">
        <v>0</v>
      </c>
      <c r="G160" s="14">
        <v>1</v>
      </c>
      <c r="H160" s="14">
        <v>30</v>
      </c>
      <c r="I160" s="22">
        <v>0.2</v>
      </c>
      <c r="J160" s="23">
        <v>10</v>
      </c>
      <c r="K160" s="14">
        <v>0</v>
      </c>
      <c r="L160" s="14">
        <v>330</v>
      </c>
      <c r="M160" s="14">
        <f t="shared" si="13"/>
        <v>15</v>
      </c>
      <c r="N160" s="14">
        <v>30</v>
      </c>
      <c r="O160" s="14">
        <v>0</v>
      </c>
      <c r="P160" s="14">
        <v>0</v>
      </c>
      <c r="Q160" s="14">
        <f t="shared" si="14"/>
        <v>13</v>
      </c>
      <c r="R160" s="14">
        <v>26</v>
      </c>
      <c r="S160" s="14">
        <f t="shared" si="15"/>
        <v>0</v>
      </c>
      <c r="T160" s="14">
        <v>0</v>
      </c>
      <c r="U160" s="22">
        <v>0</v>
      </c>
      <c r="V160" s="14">
        <v>0</v>
      </c>
      <c r="W160" s="14">
        <v>0</v>
      </c>
      <c r="X160" s="14">
        <v>0</v>
      </c>
      <c r="Y160" s="22">
        <v>0</v>
      </c>
      <c r="Z160" s="22">
        <v>0</v>
      </c>
      <c r="AA160" s="22">
        <v>0</v>
      </c>
      <c r="AB160" s="22">
        <v>0</v>
      </c>
      <c r="AC160" s="22">
        <v>0</v>
      </c>
      <c r="AD160" s="22">
        <v>0</v>
      </c>
      <c r="AE160" s="22"/>
      <c r="GR160" s="6"/>
      <c r="GS160" s="6"/>
      <c r="GT160" s="6"/>
      <c r="GU160" s="6"/>
      <c r="GV160" s="6"/>
      <c r="GW160" s="6"/>
      <c r="GX160" s="6"/>
      <c r="GY160" s="6"/>
      <c r="GZ160" s="6"/>
      <c r="HA160" s="6"/>
      <c r="HB160" s="6"/>
      <c r="HC160" s="6"/>
      <c r="HD160" s="6"/>
      <c r="HE160" s="6"/>
      <c r="HF160" s="6"/>
      <c r="HG160" s="6"/>
      <c r="HH160" s="6"/>
      <c r="HI160" s="6"/>
      <c r="HJ160" s="6"/>
      <c r="HK160" s="6"/>
      <c r="HL160" s="6"/>
      <c r="HM160" s="6"/>
      <c r="HN160" s="6"/>
      <c r="HO160" s="6"/>
      <c r="HP160" s="6"/>
    </row>
    <row r="161" spans="3:224" ht="20.100000000000001" customHeight="1">
      <c r="C161" s="11">
        <v>15203004</v>
      </c>
      <c r="D161" s="14" t="s">
        <v>203</v>
      </c>
      <c r="E161" s="14">
        <v>1140003</v>
      </c>
      <c r="F161" s="14">
        <v>12021</v>
      </c>
      <c r="G161" s="14">
        <v>1</v>
      </c>
      <c r="H161" s="14">
        <v>30</v>
      </c>
      <c r="I161" s="22">
        <v>0.2</v>
      </c>
      <c r="J161" s="23">
        <v>10</v>
      </c>
      <c r="K161" s="14">
        <v>0</v>
      </c>
      <c r="L161" s="14">
        <v>390</v>
      </c>
      <c r="M161" s="14">
        <f t="shared" si="13"/>
        <v>18</v>
      </c>
      <c r="N161" s="14">
        <v>35</v>
      </c>
      <c r="O161" s="14">
        <v>0</v>
      </c>
      <c r="P161" s="14">
        <v>0</v>
      </c>
      <c r="Q161" s="14">
        <f t="shared" si="14"/>
        <v>17</v>
      </c>
      <c r="R161" s="14">
        <v>34</v>
      </c>
      <c r="S161" s="14">
        <f t="shared" si="15"/>
        <v>0</v>
      </c>
      <c r="T161" s="14">
        <v>0</v>
      </c>
      <c r="U161" s="22">
        <v>0</v>
      </c>
      <c r="V161" s="14">
        <v>0</v>
      </c>
      <c r="W161" s="14">
        <v>0</v>
      </c>
      <c r="X161" s="14">
        <v>0</v>
      </c>
      <c r="Y161" s="22">
        <v>0</v>
      </c>
      <c r="Z161" s="22">
        <v>0</v>
      </c>
      <c r="AA161" s="22">
        <v>0</v>
      </c>
      <c r="AB161" s="22">
        <v>0</v>
      </c>
      <c r="AC161" s="22">
        <v>0</v>
      </c>
      <c r="AD161" s="22">
        <v>0</v>
      </c>
      <c r="AE161" s="22"/>
      <c r="GR161" s="6"/>
      <c r="GS161" s="6"/>
      <c r="GT161" s="6"/>
      <c r="GU161" s="6"/>
      <c r="GV161" s="6"/>
      <c r="GW161" s="6"/>
      <c r="GX161" s="6"/>
      <c r="GY161" s="6"/>
      <c r="GZ161" s="6"/>
      <c r="HA161" s="6"/>
      <c r="HB161" s="6"/>
      <c r="HC161" s="6"/>
      <c r="HD161" s="6"/>
      <c r="HE161" s="6"/>
      <c r="HF161" s="6"/>
      <c r="HG161" s="6"/>
      <c r="HH161" s="6"/>
      <c r="HI161" s="6"/>
      <c r="HJ161" s="6"/>
      <c r="HK161" s="6"/>
      <c r="HL161" s="6"/>
      <c r="HM161" s="6"/>
      <c r="HN161" s="6"/>
      <c r="HO161" s="6"/>
      <c r="HP161" s="6"/>
    </row>
    <row r="162" spans="3:224" ht="20.100000000000001" customHeight="1">
      <c r="C162" s="11">
        <v>15203005</v>
      </c>
      <c r="D162" s="14" t="s">
        <v>204</v>
      </c>
      <c r="E162" s="14">
        <v>1140003</v>
      </c>
      <c r="F162" s="14">
        <v>0</v>
      </c>
      <c r="G162" s="14">
        <v>1</v>
      </c>
      <c r="H162" s="14">
        <v>30</v>
      </c>
      <c r="I162" s="22">
        <v>0.2</v>
      </c>
      <c r="J162" s="23">
        <v>10</v>
      </c>
      <c r="K162" s="14">
        <v>0</v>
      </c>
      <c r="L162" s="14">
        <v>980</v>
      </c>
      <c r="M162" s="14">
        <f t="shared" si="13"/>
        <v>9</v>
      </c>
      <c r="N162" s="14">
        <v>17</v>
      </c>
      <c r="O162" s="14">
        <v>0</v>
      </c>
      <c r="P162" s="14">
        <v>0</v>
      </c>
      <c r="Q162" s="14">
        <f t="shared" si="14"/>
        <v>22</v>
      </c>
      <c r="R162" s="14">
        <v>44</v>
      </c>
      <c r="S162" s="14">
        <f t="shared" si="15"/>
        <v>0</v>
      </c>
      <c r="T162" s="14">
        <v>0</v>
      </c>
      <c r="U162" s="22">
        <v>0</v>
      </c>
      <c r="V162" s="14">
        <v>0</v>
      </c>
      <c r="W162" s="14">
        <v>0</v>
      </c>
      <c r="X162" s="14">
        <v>0</v>
      </c>
      <c r="Y162" s="22">
        <v>0</v>
      </c>
      <c r="Z162" s="22">
        <v>0</v>
      </c>
      <c r="AA162" s="22">
        <v>0</v>
      </c>
      <c r="AB162" s="22">
        <v>0</v>
      </c>
      <c r="AC162" s="22">
        <v>0</v>
      </c>
      <c r="AD162" s="22">
        <v>0</v>
      </c>
      <c r="AE162" s="22"/>
      <c r="GR162" s="6"/>
      <c r="GS162" s="6"/>
      <c r="GT162" s="6"/>
      <c r="GU162" s="6"/>
      <c r="GV162" s="6"/>
      <c r="GW162" s="6"/>
      <c r="GX162" s="6"/>
      <c r="GY162" s="6"/>
      <c r="GZ162" s="6"/>
      <c r="HA162" s="6"/>
      <c r="HB162" s="6"/>
      <c r="HC162" s="6"/>
      <c r="HD162" s="6"/>
      <c r="HE162" s="6"/>
      <c r="HF162" s="6"/>
      <c r="HG162" s="6"/>
      <c r="HH162" s="6"/>
      <c r="HI162" s="6"/>
      <c r="HJ162" s="6"/>
      <c r="HK162" s="6"/>
      <c r="HL162" s="6"/>
      <c r="HM162" s="6"/>
      <c r="HN162" s="6"/>
      <c r="HO162" s="6"/>
      <c r="HP162" s="6"/>
    </row>
    <row r="163" spans="3:224" ht="20.100000000000001" customHeight="1">
      <c r="C163" s="11">
        <v>15203006</v>
      </c>
      <c r="D163" s="14" t="s">
        <v>205</v>
      </c>
      <c r="E163" s="14">
        <v>1140003</v>
      </c>
      <c r="F163" s="14">
        <v>12031</v>
      </c>
      <c r="G163" s="14">
        <v>1</v>
      </c>
      <c r="H163" s="14">
        <v>30</v>
      </c>
      <c r="I163" s="22">
        <v>0.2</v>
      </c>
      <c r="J163" s="23">
        <v>10</v>
      </c>
      <c r="K163" s="14">
        <v>0</v>
      </c>
      <c r="L163" s="14">
        <v>1170</v>
      </c>
      <c r="M163" s="14">
        <f t="shared" si="13"/>
        <v>10</v>
      </c>
      <c r="N163" s="14">
        <v>20</v>
      </c>
      <c r="O163" s="14">
        <v>0</v>
      </c>
      <c r="P163" s="14">
        <v>0</v>
      </c>
      <c r="Q163" s="14">
        <f t="shared" si="14"/>
        <v>28</v>
      </c>
      <c r="R163" s="14">
        <v>56</v>
      </c>
      <c r="S163" s="14">
        <f t="shared" si="15"/>
        <v>0</v>
      </c>
      <c r="T163" s="14">
        <v>0</v>
      </c>
      <c r="U163" s="22">
        <v>0</v>
      </c>
      <c r="V163" s="14">
        <v>0</v>
      </c>
      <c r="W163" s="14">
        <v>0</v>
      </c>
      <c r="X163" s="14">
        <v>0</v>
      </c>
      <c r="Y163" s="22">
        <v>0</v>
      </c>
      <c r="Z163" s="22">
        <v>0</v>
      </c>
      <c r="AA163" s="22">
        <v>0</v>
      </c>
      <c r="AB163" s="22">
        <v>0</v>
      </c>
      <c r="AC163" s="22">
        <v>0</v>
      </c>
      <c r="AD163" s="22">
        <v>0</v>
      </c>
      <c r="AE163" s="22"/>
      <c r="GR163" s="6"/>
      <c r="GS163" s="6"/>
      <c r="GT163" s="6"/>
      <c r="GU163" s="6"/>
      <c r="GV163" s="6"/>
      <c r="GW163" s="6"/>
      <c r="GX163" s="6"/>
      <c r="GY163" s="6"/>
      <c r="GZ163" s="6"/>
      <c r="HA163" s="6"/>
      <c r="HB163" s="6"/>
      <c r="HC163" s="6"/>
      <c r="HD163" s="6"/>
      <c r="HE163" s="6"/>
      <c r="HF163" s="6"/>
      <c r="HG163" s="6"/>
      <c r="HH163" s="6"/>
      <c r="HI163" s="6"/>
      <c r="HJ163" s="6"/>
      <c r="HK163" s="6"/>
      <c r="HL163" s="6"/>
      <c r="HM163" s="6"/>
      <c r="HN163" s="6"/>
      <c r="HO163" s="6"/>
      <c r="HP163" s="6"/>
    </row>
    <row r="164" spans="3:224" ht="20.100000000000001" customHeight="1">
      <c r="C164" s="11">
        <v>15204001</v>
      </c>
      <c r="D164" s="14" t="s">
        <v>206</v>
      </c>
      <c r="E164" s="14">
        <v>1140003</v>
      </c>
      <c r="F164" s="14">
        <v>0</v>
      </c>
      <c r="G164" s="14">
        <v>1</v>
      </c>
      <c r="H164" s="14">
        <v>30</v>
      </c>
      <c r="I164" s="22">
        <v>0.2</v>
      </c>
      <c r="J164" s="23">
        <v>10</v>
      </c>
      <c r="K164" s="14">
        <v>0</v>
      </c>
      <c r="L164" s="14">
        <v>0</v>
      </c>
      <c r="M164" s="14">
        <f t="shared" si="13"/>
        <v>18</v>
      </c>
      <c r="N164" s="14">
        <v>35</v>
      </c>
      <c r="O164" s="14">
        <v>0</v>
      </c>
      <c r="P164" s="14">
        <v>0</v>
      </c>
      <c r="Q164" s="14">
        <f t="shared" si="14"/>
        <v>18</v>
      </c>
      <c r="R164" s="14">
        <v>35</v>
      </c>
      <c r="S164" s="14">
        <f t="shared" si="15"/>
        <v>18</v>
      </c>
      <c r="T164" s="14">
        <v>35</v>
      </c>
      <c r="U164" s="22">
        <v>0</v>
      </c>
      <c r="V164" s="14">
        <v>0</v>
      </c>
      <c r="W164" s="14">
        <v>0</v>
      </c>
      <c r="X164" s="14">
        <v>0</v>
      </c>
      <c r="Y164" s="22">
        <v>0</v>
      </c>
      <c r="Z164" s="22">
        <v>0</v>
      </c>
      <c r="AA164" s="22">
        <v>0</v>
      </c>
      <c r="AB164" s="22">
        <v>0</v>
      </c>
      <c r="AC164" s="22">
        <v>0</v>
      </c>
      <c r="AD164" s="22">
        <v>0</v>
      </c>
      <c r="AE164" s="22"/>
      <c r="GR164" s="6"/>
      <c r="GS164" s="6"/>
      <c r="GT164" s="6"/>
      <c r="GU164" s="6"/>
      <c r="GV164" s="6"/>
      <c r="GW164" s="6"/>
      <c r="GX164" s="6"/>
      <c r="GY164" s="6"/>
      <c r="GZ164" s="6"/>
      <c r="HA164" s="6"/>
      <c r="HB164" s="6"/>
      <c r="HC164" s="6"/>
      <c r="HD164" s="6"/>
      <c r="HE164" s="6"/>
      <c r="HF164" s="6"/>
      <c r="HG164" s="6"/>
      <c r="HH164" s="6"/>
      <c r="HI164" s="6"/>
      <c r="HJ164" s="6"/>
      <c r="HK164" s="6"/>
      <c r="HL164" s="6"/>
      <c r="HM164" s="6"/>
      <c r="HN164" s="6"/>
      <c r="HO164" s="6"/>
      <c r="HP164" s="6"/>
    </row>
    <row r="165" spans="3:224" ht="20.100000000000001" customHeight="1">
      <c r="C165" s="11">
        <v>15204002</v>
      </c>
      <c r="D165" s="14" t="s">
        <v>207</v>
      </c>
      <c r="E165" s="14">
        <v>1140003</v>
      </c>
      <c r="F165" s="14">
        <v>12011</v>
      </c>
      <c r="G165" s="14">
        <v>1</v>
      </c>
      <c r="H165" s="14">
        <v>30</v>
      </c>
      <c r="I165" s="22">
        <v>0.2</v>
      </c>
      <c r="J165" s="23">
        <v>10</v>
      </c>
      <c r="K165" s="14">
        <v>0</v>
      </c>
      <c r="L165" s="14">
        <v>0</v>
      </c>
      <c r="M165" s="14">
        <f t="shared" si="13"/>
        <v>21</v>
      </c>
      <c r="N165" s="14">
        <v>41</v>
      </c>
      <c r="O165" s="14">
        <v>0</v>
      </c>
      <c r="P165" s="14">
        <v>0</v>
      </c>
      <c r="Q165" s="14">
        <f t="shared" si="14"/>
        <v>23</v>
      </c>
      <c r="R165" s="14">
        <v>45</v>
      </c>
      <c r="S165" s="14">
        <f t="shared" si="15"/>
        <v>23</v>
      </c>
      <c r="T165" s="14">
        <v>45</v>
      </c>
      <c r="U165" s="22">
        <v>0</v>
      </c>
      <c r="V165" s="14">
        <v>0</v>
      </c>
      <c r="W165" s="14">
        <v>0</v>
      </c>
      <c r="X165" s="14">
        <v>0</v>
      </c>
      <c r="Y165" s="22">
        <v>0</v>
      </c>
      <c r="Z165" s="22">
        <v>0</v>
      </c>
      <c r="AA165" s="22">
        <v>0</v>
      </c>
      <c r="AB165" s="22">
        <v>0</v>
      </c>
      <c r="AC165" s="22">
        <v>0</v>
      </c>
      <c r="AD165" s="22">
        <v>0</v>
      </c>
      <c r="AE165" s="22"/>
      <c r="GR165" s="6"/>
      <c r="GS165" s="6"/>
      <c r="GT165" s="6"/>
      <c r="GU165" s="6"/>
      <c r="GV165" s="6"/>
      <c r="GW165" s="6"/>
      <c r="GX165" s="6"/>
      <c r="GY165" s="6"/>
      <c r="GZ165" s="6"/>
      <c r="HA165" s="6"/>
      <c r="HB165" s="6"/>
      <c r="HC165" s="6"/>
      <c r="HD165" s="6"/>
      <c r="HE165" s="6"/>
      <c r="HF165" s="6"/>
      <c r="HG165" s="6"/>
      <c r="HH165" s="6"/>
      <c r="HI165" s="6"/>
      <c r="HJ165" s="6"/>
      <c r="HK165" s="6"/>
      <c r="HL165" s="6"/>
      <c r="HM165" s="6"/>
      <c r="HN165" s="6"/>
      <c r="HO165" s="6"/>
      <c r="HP165" s="6"/>
    </row>
    <row r="166" spans="3:224" ht="20.100000000000001" customHeight="1">
      <c r="C166" s="11">
        <v>15204003</v>
      </c>
      <c r="D166" s="14" t="s">
        <v>208</v>
      </c>
      <c r="E166" s="14">
        <v>1140003</v>
      </c>
      <c r="F166" s="14">
        <v>0</v>
      </c>
      <c r="G166" s="14">
        <v>1</v>
      </c>
      <c r="H166" s="14">
        <v>30</v>
      </c>
      <c r="I166" s="22">
        <v>0.2</v>
      </c>
      <c r="J166" s="23">
        <v>10</v>
      </c>
      <c r="K166" s="14">
        <v>0</v>
      </c>
      <c r="L166" s="14">
        <v>0</v>
      </c>
      <c r="M166" s="14">
        <f t="shared" si="13"/>
        <v>24</v>
      </c>
      <c r="N166" s="14">
        <v>47</v>
      </c>
      <c r="O166" s="14">
        <v>0</v>
      </c>
      <c r="P166" s="14">
        <v>0</v>
      </c>
      <c r="Q166" s="14">
        <f t="shared" si="14"/>
        <v>13</v>
      </c>
      <c r="R166" s="14">
        <v>26</v>
      </c>
      <c r="S166" s="14">
        <f t="shared" si="15"/>
        <v>13</v>
      </c>
      <c r="T166" s="14">
        <v>26</v>
      </c>
      <c r="U166" s="22">
        <v>0</v>
      </c>
      <c r="V166" s="14">
        <v>0</v>
      </c>
      <c r="W166" s="14">
        <v>0</v>
      </c>
      <c r="X166" s="14">
        <v>0</v>
      </c>
      <c r="Y166" s="22">
        <v>0</v>
      </c>
      <c r="Z166" s="22">
        <v>0</v>
      </c>
      <c r="AA166" s="22">
        <v>0</v>
      </c>
      <c r="AB166" s="22">
        <v>0</v>
      </c>
      <c r="AC166" s="22">
        <v>0</v>
      </c>
      <c r="AD166" s="22">
        <v>0</v>
      </c>
      <c r="AE166" s="22"/>
      <c r="GR166" s="6"/>
      <c r="GS166" s="6"/>
      <c r="GT166" s="6"/>
      <c r="GU166" s="6"/>
      <c r="GV166" s="6"/>
      <c r="GW166" s="6"/>
      <c r="GX166" s="6"/>
      <c r="GY166" s="6"/>
      <c r="GZ166" s="6"/>
      <c r="HA166" s="6"/>
      <c r="HB166" s="6"/>
      <c r="HC166" s="6"/>
      <c r="HD166" s="6"/>
      <c r="HE166" s="6"/>
      <c r="HF166" s="6"/>
      <c r="HG166" s="6"/>
      <c r="HH166" s="6"/>
      <c r="HI166" s="6"/>
      <c r="HJ166" s="6"/>
      <c r="HK166" s="6"/>
      <c r="HL166" s="6"/>
      <c r="HM166" s="6"/>
      <c r="HN166" s="6"/>
      <c r="HO166" s="6"/>
      <c r="HP166" s="6"/>
    </row>
    <row r="167" spans="3:224" ht="20.100000000000001" customHeight="1">
      <c r="C167" s="11">
        <v>15204004</v>
      </c>
      <c r="D167" s="14" t="s">
        <v>209</v>
      </c>
      <c r="E167" s="14">
        <v>1140003</v>
      </c>
      <c r="F167" s="14">
        <v>12021</v>
      </c>
      <c r="G167" s="14">
        <v>1</v>
      </c>
      <c r="H167" s="14">
        <v>30</v>
      </c>
      <c r="I167" s="22">
        <v>0.2</v>
      </c>
      <c r="J167" s="23">
        <v>10</v>
      </c>
      <c r="K167" s="14">
        <v>0</v>
      </c>
      <c r="L167" s="14">
        <v>0</v>
      </c>
      <c r="M167" s="14">
        <f t="shared" si="13"/>
        <v>28</v>
      </c>
      <c r="N167" s="14">
        <v>55</v>
      </c>
      <c r="O167" s="14">
        <v>0</v>
      </c>
      <c r="P167" s="14">
        <v>0</v>
      </c>
      <c r="Q167" s="14">
        <f t="shared" si="14"/>
        <v>17</v>
      </c>
      <c r="R167" s="14">
        <v>34</v>
      </c>
      <c r="S167" s="14">
        <f t="shared" si="15"/>
        <v>17</v>
      </c>
      <c r="T167" s="14">
        <v>34</v>
      </c>
      <c r="U167" s="22">
        <v>0</v>
      </c>
      <c r="V167" s="14">
        <v>0</v>
      </c>
      <c r="W167" s="14">
        <v>0</v>
      </c>
      <c r="X167" s="14">
        <v>0</v>
      </c>
      <c r="Y167" s="22">
        <v>0</v>
      </c>
      <c r="Z167" s="22">
        <v>0</v>
      </c>
      <c r="AA167" s="22">
        <v>0</v>
      </c>
      <c r="AB167" s="22">
        <v>0</v>
      </c>
      <c r="AC167" s="22">
        <v>0</v>
      </c>
      <c r="AD167" s="22">
        <v>0</v>
      </c>
      <c r="AE167" s="22"/>
      <c r="GR167" s="6"/>
      <c r="GS167" s="6"/>
      <c r="GT167" s="6"/>
      <c r="GU167" s="6"/>
      <c r="GV167" s="6"/>
      <c r="GW167" s="6"/>
      <c r="GX167" s="6"/>
      <c r="GY167" s="6"/>
      <c r="GZ167" s="6"/>
      <c r="HA167" s="6"/>
      <c r="HB167" s="6"/>
      <c r="HC167" s="6"/>
      <c r="HD167" s="6"/>
      <c r="HE167" s="6"/>
      <c r="HF167" s="6"/>
      <c r="HG167" s="6"/>
      <c r="HH167" s="6"/>
      <c r="HI167" s="6"/>
      <c r="HJ167" s="6"/>
      <c r="HK167" s="6"/>
      <c r="HL167" s="6"/>
      <c r="HM167" s="6"/>
      <c r="HN167" s="6"/>
      <c r="HO167" s="6"/>
      <c r="HP167" s="6"/>
    </row>
    <row r="168" spans="3:224" ht="20.100000000000001" customHeight="1">
      <c r="C168" s="11">
        <v>15204005</v>
      </c>
      <c r="D168" s="14" t="s">
        <v>210</v>
      </c>
      <c r="E168" s="14">
        <v>1140003</v>
      </c>
      <c r="F168" s="14">
        <v>0</v>
      </c>
      <c r="G168" s="14">
        <v>1</v>
      </c>
      <c r="H168" s="14">
        <v>30</v>
      </c>
      <c r="I168" s="22">
        <v>0.2</v>
      </c>
      <c r="J168" s="23">
        <v>10</v>
      </c>
      <c r="K168" s="14">
        <v>0</v>
      </c>
      <c r="L168" s="14">
        <v>0</v>
      </c>
      <c r="M168" s="14">
        <f t="shared" si="13"/>
        <v>13</v>
      </c>
      <c r="N168" s="14">
        <v>26</v>
      </c>
      <c r="O168" s="14">
        <v>0</v>
      </c>
      <c r="P168" s="14">
        <v>0</v>
      </c>
      <c r="Q168" s="14">
        <f t="shared" si="14"/>
        <v>22</v>
      </c>
      <c r="R168" s="14">
        <v>44</v>
      </c>
      <c r="S168" s="14">
        <f t="shared" si="15"/>
        <v>22</v>
      </c>
      <c r="T168" s="14">
        <v>44</v>
      </c>
      <c r="U168" s="22">
        <v>0</v>
      </c>
      <c r="V168" s="14">
        <v>0</v>
      </c>
      <c r="W168" s="14">
        <v>0</v>
      </c>
      <c r="X168" s="14">
        <v>0</v>
      </c>
      <c r="Y168" s="22">
        <v>0</v>
      </c>
      <c r="Z168" s="22">
        <v>0</v>
      </c>
      <c r="AA168" s="22">
        <v>0</v>
      </c>
      <c r="AB168" s="22">
        <v>0</v>
      </c>
      <c r="AC168" s="22">
        <v>0</v>
      </c>
      <c r="AD168" s="22">
        <v>0</v>
      </c>
      <c r="AE168" s="22"/>
      <c r="GR168" s="6"/>
      <c r="GS168" s="6"/>
      <c r="GT168" s="6"/>
      <c r="GU168" s="6"/>
      <c r="GV168" s="6"/>
      <c r="GW168" s="6"/>
      <c r="GX168" s="6"/>
      <c r="GY168" s="6"/>
      <c r="GZ168" s="6"/>
      <c r="HA168" s="6"/>
      <c r="HB168" s="6"/>
      <c r="HC168" s="6"/>
      <c r="HD168" s="6"/>
      <c r="HE168" s="6"/>
      <c r="HF168" s="6"/>
      <c r="HG168" s="6"/>
      <c r="HH168" s="6"/>
      <c r="HI168" s="6"/>
      <c r="HJ168" s="6"/>
      <c r="HK168" s="6"/>
      <c r="HL168" s="6"/>
      <c r="HM168" s="6"/>
      <c r="HN168" s="6"/>
      <c r="HO168" s="6"/>
      <c r="HP168" s="6"/>
    </row>
    <row r="169" spans="3:224" ht="20.100000000000001" customHeight="1">
      <c r="C169" s="11">
        <v>15204006</v>
      </c>
      <c r="D169" s="14" t="s">
        <v>211</v>
      </c>
      <c r="E169" s="14">
        <v>1140003</v>
      </c>
      <c r="F169" s="14">
        <v>12031</v>
      </c>
      <c r="G169" s="14">
        <v>1</v>
      </c>
      <c r="H169" s="14">
        <v>30</v>
      </c>
      <c r="I169" s="22">
        <v>0.2</v>
      </c>
      <c r="J169" s="23">
        <v>10</v>
      </c>
      <c r="K169" s="14">
        <v>0</v>
      </c>
      <c r="L169" s="14">
        <v>0</v>
      </c>
      <c r="M169" s="14">
        <f t="shared" si="13"/>
        <v>16</v>
      </c>
      <c r="N169" s="14">
        <v>31</v>
      </c>
      <c r="O169" s="14">
        <v>0</v>
      </c>
      <c r="P169" s="14">
        <v>0</v>
      </c>
      <c r="Q169" s="14">
        <f t="shared" si="14"/>
        <v>28</v>
      </c>
      <c r="R169" s="14">
        <v>56</v>
      </c>
      <c r="S169" s="14">
        <f t="shared" si="15"/>
        <v>28</v>
      </c>
      <c r="T169" s="14">
        <v>56</v>
      </c>
      <c r="U169" s="22">
        <v>0</v>
      </c>
      <c r="V169" s="14">
        <v>0</v>
      </c>
      <c r="W169" s="14">
        <v>0</v>
      </c>
      <c r="X169" s="14">
        <v>0</v>
      </c>
      <c r="Y169" s="22">
        <v>0</v>
      </c>
      <c r="Z169" s="22">
        <v>0</v>
      </c>
      <c r="AA169" s="22">
        <v>0</v>
      </c>
      <c r="AB169" s="22">
        <v>0</v>
      </c>
      <c r="AC169" s="22">
        <v>0</v>
      </c>
      <c r="AD169" s="22">
        <v>0</v>
      </c>
      <c r="AE169" s="22"/>
      <c r="GR169" s="6"/>
      <c r="GS169" s="6"/>
      <c r="GT169" s="6"/>
      <c r="GU169" s="6"/>
      <c r="GV169" s="6"/>
      <c r="GW169" s="6"/>
      <c r="GX169" s="6"/>
      <c r="GY169" s="6"/>
      <c r="GZ169" s="6"/>
      <c r="HA169" s="6"/>
      <c r="HB169" s="6"/>
      <c r="HC169" s="6"/>
      <c r="HD169" s="6"/>
      <c r="HE169" s="6"/>
      <c r="HF169" s="6"/>
      <c r="HG169" s="6"/>
      <c r="HH169" s="6"/>
      <c r="HI169" s="6"/>
      <c r="HJ169" s="6"/>
      <c r="HK169" s="6"/>
      <c r="HL169" s="6"/>
      <c r="HM169" s="6"/>
      <c r="HN169" s="6"/>
      <c r="HO169" s="6"/>
      <c r="HP169" s="6"/>
    </row>
    <row r="170" spans="3:224" s="5" customFormat="1" ht="20.100000000000001" customHeight="1">
      <c r="C170" s="35">
        <v>15205001</v>
      </c>
      <c r="D170" s="36" t="s">
        <v>212</v>
      </c>
      <c r="E170" s="36">
        <v>1140003</v>
      </c>
      <c r="F170" s="36">
        <v>0</v>
      </c>
      <c r="G170" s="36">
        <v>1</v>
      </c>
      <c r="H170" s="36">
        <v>30</v>
      </c>
      <c r="I170" s="39">
        <v>0.2</v>
      </c>
      <c r="J170" s="23">
        <v>10</v>
      </c>
      <c r="K170" s="36">
        <v>0</v>
      </c>
      <c r="L170" s="36">
        <v>1560</v>
      </c>
      <c r="M170" s="36">
        <f t="shared" si="13"/>
        <v>23</v>
      </c>
      <c r="N170" s="36">
        <v>45</v>
      </c>
      <c r="O170" s="36">
        <v>0</v>
      </c>
      <c r="P170" s="36">
        <v>0</v>
      </c>
      <c r="Q170" s="36">
        <f t="shared" si="14"/>
        <v>9</v>
      </c>
      <c r="R170" s="36">
        <v>18</v>
      </c>
      <c r="S170" s="36">
        <f t="shared" si="15"/>
        <v>0</v>
      </c>
      <c r="T170" s="36">
        <v>0</v>
      </c>
      <c r="U170" s="39">
        <v>0</v>
      </c>
      <c r="V170" s="36">
        <v>0</v>
      </c>
      <c r="W170" s="36">
        <v>0</v>
      </c>
      <c r="X170" s="36">
        <v>0</v>
      </c>
      <c r="Y170" s="39">
        <v>0</v>
      </c>
      <c r="Z170" s="39">
        <v>0</v>
      </c>
      <c r="AA170" s="39">
        <v>0</v>
      </c>
      <c r="AB170" s="39">
        <v>0</v>
      </c>
      <c r="AC170" s="39">
        <v>0</v>
      </c>
      <c r="AD170" s="39">
        <v>0</v>
      </c>
      <c r="AE170" s="39"/>
      <c r="AF170" s="41"/>
      <c r="AG170" s="41"/>
      <c r="AH170" s="41"/>
      <c r="AI170" s="41"/>
      <c r="AJ170" s="41"/>
      <c r="AK170" s="41"/>
      <c r="AL170" s="41"/>
      <c r="AM170" s="41"/>
      <c r="AN170" s="41"/>
      <c r="AO170" s="41"/>
      <c r="AP170" s="41"/>
      <c r="AQ170" s="41"/>
      <c r="AR170" s="41"/>
      <c r="AS170" s="41"/>
      <c r="AT170" s="41"/>
      <c r="AU170" s="41"/>
      <c r="AV170" s="41"/>
      <c r="AW170" s="41"/>
      <c r="AX170" s="41"/>
      <c r="AY170" s="41"/>
      <c r="AZ170" s="41"/>
      <c r="BA170" s="41"/>
      <c r="BB170" s="41"/>
      <c r="BC170" s="41"/>
      <c r="BD170" s="41"/>
      <c r="BE170" s="41"/>
      <c r="BF170" s="41"/>
      <c r="BG170" s="41"/>
      <c r="BH170" s="41"/>
      <c r="BI170" s="41"/>
      <c r="BJ170" s="41"/>
      <c r="BK170" s="41"/>
      <c r="BL170" s="41"/>
      <c r="BM170" s="41"/>
      <c r="BN170" s="41"/>
      <c r="BO170" s="41"/>
      <c r="BP170" s="41"/>
      <c r="BQ170" s="41"/>
      <c r="BR170" s="41"/>
      <c r="BS170" s="41"/>
      <c r="BT170" s="41"/>
      <c r="BU170" s="41"/>
      <c r="BV170" s="41"/>
      <c r="BW170" s="41"/>
      <c r="BX170" s="41"/>
      <c r="BY170" s="41"/>
      <c r="BZ170" s="41"/>
      <c r="CA170" s="41"/>
      <c r="CB170" s="41"/>
      <c r="CC170" s="41"/>
      <c r="CD170" s="41"/>
      <c r="CE170" s="41"/>
      <c r="CF170" s="41"/>
      <c r="CG170" s="41"/>
      <c r="CH170" s="41"/>
      <c r="CI170" s="41"/>
      <c r="CJ170" s="41"/>
      <c r="CK170" s="41"/>
      <c r="CL170" s="41"/>
      <c r="CM170" s="41"/>
      <c r="CN170" s="41"/>
      <c r="CO170" s="41"/>
      <c r="CP170" s="41"/>
      <c r="CQ170" s="41"/>
      <c r="CR170" s="41"/>
      <c r="CS170" s="41"/>
      <c r="CT170" s="41"/>
      <c r="CU170" s="41"/>
      <c r="CV170" s="41"/>
      <c r="CW170" s="41"/>
      <c r="CX170" s="41"/>
      <c r="CY170" s="41"/>
      <c r="CZ170" s="41"/>
      <c r="DA170" s="41"/>
      <c r="DB170" s="41"/>
      <c r="DC170" s="41"/>
      <c r="DD170" s="41"/>
      <c r="DE170" s="41"/>
      <c r="DF170" s="41"/>
      <c r="DG170" s="41"/>
      <c r="DH170" s="41"/>
      <c r="DI170" s="41"/>
      <c r="DJ170" s="41"/>
      <c r="DK170" s="41"/>
      <c r="DL170" s="41"/>
      <c r="DM170" s="41"/>
      <c r="DN170" s="41"/>
      <c r="DO170" s="41"/>
      <c r="DP170" s="41"/>
      <c r="DQ170" s="41"/>
      <c r="DR170" s="41"/>
      <c r="DS170" s="41"/>
      <c r="DT170" s="41"/>
      <c r="DU170" s="41"/>
      <c r="DV170" s="41"/>
      <c r="DW170" s="41"/>
      <c r="DX170" s="41"/>
      <c r="DY170" s="41"/>
      <c r="DZ170" s="41"/>
      <c r="EA170" s="41"/>
      <c r="EB170" s="41"/>
      <c r="EC170" s="41"/>
      <c r="ED170" s="41"/>
      <c r="EE170" s="41"/>
      <c r="EF170" s="41"/>
      <c r="EG170" s="41"/>
      <c r="EH170" s="41"/>
      <c r="EI170" s="41"/>
      <c r="EJ170" s="41"/>
      <c r="EK170" s="41"/>
      <c r="EL170" s="41"/>
      <c r="EM170" s="41"/>
      <c r="EN170" s="41"/>
      <c r="EO170" s="41"/>
      <c r="EP170" s="41"/>
      <c r="EQ170" s="41"/>
      <c r="ER170" s="41"/>
      <c r="ES170" s="41"/>
      <c r="ET170" s="41"/>
      <c r="EU170" s="41"/>
      <c r="EV170" s="41"/>
      <c r="EW170" s="41"/>
      <c r="EX170" s="41"/>
      <c r="EY170" s="41"/>
      <c r="EZ170" s="41"/>
      <c r="FA170" s="41"/>
      <c r="FB170" s="41"/>
      <c r="FC170" s="41"/>
      <c r="FD170" s="41"/>
      <c r="FE170" s="41"/>
      <c r="FF170" s="41"/>
      <c r="FG170" s="41"/>
      <c r="FH170" s="41"/>
      <c r="FI170" s="41"/>
      <c r="FJ170" s="41"/>
      <c r="FK170" s="41"/>
      <c r="FL170" s="41"/>
      <c r="FM170" s="41"/>
      <c r="FN170" s="41"/>
      <c r="FO170" s="41"/>
      <c r="FP170" s="41"/>
      <c r="FQ170" s="41"/>
      <c r="FR170" s="41"/>
      <c r="FS170" s="41"/>
      <c r="FT170" s="41"/>
      <c r="FU170" s="41"/>
      <c r="FV170" s="41"/>
      <c r="FW170" s="41"/>
      <c r="FX170" s="41"/>
      <c r="FY170" s="41"/>
      <c r="FZ170" s="41"/>
      <c r="GA170" s="41"/>
      <c r="GB170" s="41"/>
      <c r="GC170" s="41"/>
      <c r="GD170" s="41"/>
      <c r="GE170" s="41"/>
      <c r="GF170" s="41"/>
      <c r="GG170" s="41"/>
      <c r="GH170" s="41"/>
      <c r="GI170" s="41"/>
      <c r="GJ170" s="41"/>
      <c r="GK170" s="41"/>
      <c r="GL170" s="41"/>
      <c r="GM170" s="41"/>
      <c r="GN170" s="41"/>
      <c r="GO170" s="41"/>
      <c r="GP170" s="41"/>
      <c r="GQ170" s="41"/>
      <c r="GR170" s="41"/>
      <c r="GS170" s="41"/>
      <c r="GT170" s="41"/>
      <c r="GU170" s="41"/>
      <c r="GV170" s="41"/>
      <c r="GW170" s="41"/>
      <c r="GX170" s="41"/>
      <c r="GY170" s="41"/>
      <c r="GZ170" s="41"/>
      <c r="HA170" s="41"/>
      <c r="HB170" s="41"/>
      <c r="HC170" s="41"/>
      <c r="HD170" s="41"/>
      <c r="HE170" s="41"/>
      <c r="HF170" s="41"/>
      <c r="HG170" s="41"/>
      <c r="HH170" s="41"/>
      <c r="HI170" s="41"/>
      <c r="HJ170" s="41"/>
      <c r="HK170" s="41"/>
      <c r="HL170" s="41"/>
      <c r="HM170" s="41"/>
      <c r="HN170" s="41"/>
      <c r="HO170" s="41"/>
      <c r="HP170" s="41"/>
    </row>
    <row r="171" spans="3:224" s="5" customFormat="1" ht="20.100000000000001" customHeight="1">
      <c r="C171" s="35">
        <v>15205002</v>
      </c>
      <c r="D171" s="36" t="s">
        <v>213</v>
      </c>
      <c r="E171" s="36">
        <v>1140003</v>
      </c>
      <c r="F171" s="36">
        <v>12011</v>
      </c>
      <c r="G171" s="36">
        <v>1</v>
      </c>
      <c r="H171" s="36">
        <v>30</v>
      </c>
      <c r="I171" s="39">
        <v>0.2</v>
      </c>
      <c r="J171" s="23">
        <v>10</v>
      </c>
      <c r="K171" s="36">
        <v>0</v>
      </c>
      <c r="L171" s="36">
        <v>1950</v>
      </c>
      <c r="M171" s="36">
        <f t="shared" si="13"/>
        <v>28</v>
      </c>
      <c r="N171" s="36">
        <v>56</v>
      </c>
      <c r="O171" s="36">
        <v>0</v>
      </c>
      <c r="P171" s="36">
        <v>0</v>
      </c>
      <c r="Q171" s="36">
        <f t="shared" si="14"/>
        <v>12</v>
      </c>
      <c r="R171" s="36">
        <v>23</v>
      </c>
      <c r="S171" s="36">
        <f t="shared" si="15"/>
        <v>0</v>
      </c>
      <c r="T171" s="36">
        <v>0</v>
      </c>
      <c r="U171" s="39">
        <v>0</v>
      </c>
      <c r="V171" s="36">
        <v>0</v>
      </c>
      <c r="W171" s="36">
        <v>0</v>
      </c>
      <c r="X171" s="36">
        <v>0</v>
      </c>
      <c r="Y171" s="39">
        <v>0</v>
      </c>
      <c r="Z171" s="39">
        <v>0</v>
      </c>
      <c r="AA171" s="39">
        <v>0</v>
      </c>
      <c r="AB171" s="39">
        <v>0</v>
      </c>
      <c r="AC171" s="39">
        <v>0</v>
      </c>
      <c r="AD171" s="39">
        <v>0</v>
      </c>
      <c r="AE171" s="39"/>
      <c r="AF171" s="41"/>
      <c r="AG171" s="41"/>
      <c r="AH171" s="41"/>
      <c r="AI171" s="41"/>
      <c r="AJ171" s="41"/>
      <c r="AK171" s="41"/>
      <c r="AL171" s="41"/>
      <c r="AM171" s="41"/>
      <c r="AN171" s="41"/>
      <c r="AO171" s="41"/>
      <c r="AP171" s="41"/>
      <c r="AQ171" s="41"/>
      <c r="AR171" s="41"/>
      <c r="AS171" s="41"/>
      <c r="AT171" s="41"/>
      <c r="AU171" s="41"/>
      <c r="AV171" s="41"/>
      <c r="AW171" s="41"/>
      <c r="AX171" s="41"/>
      <c r="AY171" s="41"/>
      <c r="AZ171" s="41"/>
      <c r="BA171" s="41"/>
      <c r="BB171" s="41"/>
      <c r="BC171" s="41"/>
      <c r="BD171" s="41"/>
      <c r="BE171" s="41"/>
      <c r="BF171" s="41"/>
      <c r="BG171" s="41"/>
      <c r="BH171" s="41"/>
      <c r="BI171" s="41"/>
      <c r="BJ171" s="41"/>
      <c r="BK171" s="41"/>
      <c r="BL171" s="41"/>
      <c r="BM171" s="41"/>
      <c r="BN171" s="41"/>
      <c r="BO171" s="41"/>
      <c r="BP171" s="41"/>
      <c r="BQ171" s="41"/>
      <c r="BR171" s="41"/>
      <c r="BS171" s="41"/>
      <c r="BT171" s="41"/>
      <c r="BU171" s="41"/>
      <c r="BV171" s="41"/>
      <c r="BW171" s="41"/>
      <c r="BX171" s="41"/>
      <c r="BY171" s="41"/>
      <c r="BZ171" s="41"/>
      <c r="CA171" s="41"/>
      <c r="CB171" s="41"/>
      <c r="CC171" s="41"/>
      <c r="CD171" s="41"/>
      <c r="CE171" s="41"/>
      <c r="CF171" s="41"/>
      <c r="CG171" s="41"/>
      <c r="CH171" s="41"/>
      <c r="CI171" s="41"/>
      <c r="CJ171" s="41"/>
      <c r="CK171" s="41"/>
      <c r="CL171" s="41"/>
      <c r="CM171" s="41"/>
      <c r="CN171" s="41"/>
      <c r="CO171" s="41"/>
      <c r="CP171" s="41"/>
      <c r="CQ171" s="41"/>
      <c r="CR171" s="41"/>
      <c r="CS171" s="41"/>
      <c r="CT171" s="41"/>
      <c r="CU171" s="41"/>
      <c r="CV171" s="41"/>
      <c r="CW171" s="41"/>
      <c r="CX171" s="41"/>
      <c r="CY171" s="41"/>
      <c r="CZ171" s="41"/>
      <c r="DA171" s="41"/>
      <c r="DB171" s="41"/>
      <c r="DC171" s="41"/>
      <c r="DD171" s="41"/>
      <c r="DE171" s="41"/>
      <c r="DF171" s="41"/>
      <c r="DG171" s="41"/>
      <c r="DH171" s="41"/>
      <c r="DI171" s="41"/>
      <c r="DJ171" s="41"/>
      <c r="DK171" s="41"/>
      <c r="DL171" s="41"/>
      <c r="DM171" s="41"/>
      <c r="DN171" s="41"/>
      <c r="DO171" s="41"/>
      <c r="DP171" s="41"/>
      <c r="DQ171" s="41"/>
      <c r="DR171" s="41"/>
      <c r="DS171" s="41"/>
      <c r="DT171" s="41"/>
      <c r="DU171" s="41"/>
      <c r="DV171" s="41"/>
      <c r="DW171" s="41"/>
      <c r="DX171" s="41"/>
      <c r="DY171" s="41"/>
      <c r="DZ171" s="41"/>
      <c r="EA171" s="41"/>
      <c r="EB171" s="41"/>
      <c r="EC171" s="41"/>
      <c r="ED171" s="41"/>
      <c r="EE171" s="41"/>
      <c r="EF171" s="41"/>
      <c r="EG171" s="41"/>
      <c r="EH171" s="41"/>
      <c r="EI171" s="41"/>
      <c r="EJ171" s="41"/>
      <c r="EK171" s="41"/>
      <c r="EL171" s="41"/>
      <c r="EM171" s="41"/>
      <c r="EN171" s="41"/>
      <c r="EO171" s="41"/>
      <c r="EP171" s="41"/>
      <c r="EQ171" s="41"/>
      <c r="ER171" s="41"/>
      <c r="ES171" s="41"/>
      <c r="ET171" s="41"/>
      <c r="EU171" s="41"/>
      <c r="EV171" s="41"/>
      <c r="EW171" s="41"/>
      <c r="EX171" s="41"/>
      <c r="EY171" s="41"/>
      <c r="EZ171" s="41"/>
      <c r="FA171" s="41"/>
      <c r="FB171" s="41"/>
      <c r="FC171" s="41"/>
      <c r="FD171" s="41"/>
      <c r="FE171" s="41"/>
      <c r="FF171" s="41"/>
      <c r="FG171" s="41"/>
      <c r="FH171" s="41"/>
      <c r="FI171" s="41"/>
      <c r="FJ171" s="41"/>
      <c r="FK171" s="41"/>
      <c r="FL171" s="41"/>
      <c r="FM171" s="41"/>
      <c r="FN171" s="41"/>
      <c r="FO171" s="41"/>
      <c r="FP171" s="41"/>
      <c r="FQ171" s="41"/>
      <c r="FR171" s="41"/>
      <c r="FS171" s="41"/>
      <c r="FT171" s="41"/>
      <c r="FU171" s="41"/>
      <c r="FV171" s="41"/>
      <c r="FW171" s="41"/>
      <c r="FX171" s="41"/>
      <c r="FY171" s="41"/>
      <c r="FZ171" s="41"/>
      <c r="GA171" s="41"/>
      <c r="GB171" s="41"/>
      <c r="GC171" s="41"/>
      <c r="GD171" s="41"/>
      <c r="GE171" s="41"/>
      <c r="GF171" s="41"/>
      <c r="GG171" s="41"/>
      <c r="GH171" s="41"/>
      <c r="GI171" s="41"/>
      <c r="GJ171" s="41"/>
      <c r="GK171" s="41"/>
      <c r="GL171" s="41"/>
      <c r="GM171" s="41"/>
      <c r="GN171" s="41"/>
      <c r="GO171" s="41"/>
      <c r="GP171" s="41"/>
      <c r="GQ171" s="41"/>
      <c r="GR171" s="41"/>
      <c r="GS171" s="41"/>
      <c r="GT171" s="41"/>
      <c r="GU171" s="41"/>
      <c r="GV171" s="41"/>
      <c r="GW171" s="41"/>
      <c r="GX171" s="41"/>
      <c r="GY171" s="41"/>
      <c r="GZ171" s="41"/>
      <c r="HA171" s="41"/>
      <c r="HB171" s="41"/>
      <c r="HC171" s="41"/>
      <c r="HD171" s="41"/>
      <c r="HE171" s="41"/>
      <c r="HF171" s="41"/>
      <c r="HG171" s="41"/>
      <c r="HH171" s="41"/>
      <c r="HI171" s="41"/>
      <c r="HJ171" s="41"/>
      <c r="HK171" s="41"/>
      <c r="HL171" s="41"/>
      <c r="HM171" s="41"/>
      <c r="HN171" s="41"/>
      <c r="HO171" s="41"/>
      <c r="HP171" s="41"/>
    </row>
    <row r="172" spans="3:224" s="5" customFormat="1" ht="20.100000000000001" customHeight="1">
      <c r="C172" s="35">
        <v>15205003</v>
      </c>
      <c r="D172" s="36" t="s">
        <v>214</v>
      </c>
      <c r="E172" s="36">
        <v>1140003</v>
      </c>
      <c r="F172" s="36">
        <v>0</v>
      </c>
      <c r="G172" s="36">
        <v>1</v>
      </c>
      <c r="H172" s="36">
        <v>30</v>
      </c>
      <c r="I172" s="39">
        <v>0.2</v>
      </c>
      <c r="J172" s="23">
        <v>10</v>
      </c>
      <c r="K172" s="36">
        <v>0</v>
      </c>
      <c r="L172" s="36">
        <v>784</v>
      </c>
      <c r="M172" s="36">
        <f t="shared" si="13"/>
        <v>31</v>
      </c>
      <c r="N172" s="36">
        <v>61</v>
      </c>
      <c r="O172" s="36">
        <v>0</v>
      </c>
      <c r="P172" s="36">
        <v>0</v>
      </c>
      <c r="Q172" s="36">
        <f t="shared" si="14"/>
        <v>7</v>
      </c>
      <c r="R172" s="36">
        <v>14</v>
      </c>
      <c r="S172" s="36">
        <f t="shared" si="15"/>
        <v>0</v>
      </c>
      <c r="T172" s="36">
        <v>0</v>
      </c>
      <c r="U172" s="39">
        <v>0</v>
      </c>
      <c r="V172" s="36">
        <v>0</v>
      </c>
      <c r="W172" s="36">
        <v>0</v>
      </c>
      <c r="X172" s="36">
        <v>0</v>
      </c>
      <c r="Y172" s="39">
        <v>0</v>
      </c>
      <c r="Z172" s="39">
        <v>0</v>
      </c>
      <c r="AA172" s="39">
        <v>0</v>
      </c>
      <c r="AB172" s="39">
        <v>0</v>
      </c>
      <c r="AC172" s="39">
        <v>0</v>
      </c>
      <c r="AD172" s="39">
        <v>0</v>
      </c>
      <c r="AE172" s="39"/>
      <c r="AF172" s="41"/>
      <c r="AG172" s="41"/>
      <c r="AH172" s="41"/>
      <c r="AI172" s="41"/>
      <c r="AJ172" s="41"/>
      <c r="AK172" s="41"/>
      <c r="AL172" s="41"/>
      <c r="AM172" s="41"/>
      <c r="AN172" s="41"/>
      <c r="AO172" s="41"/>
      <c r="AP172" s="41"/>
      <c r="AQ172" s="41"/>
      <c r="AR172" s="41"/>
      <c r="AS172" s="41"/>
      <c r="AT172" s="41"/>
      <c r="AU172" s="41"/>
      <c r="AV172" s="41"/>
      <c r="AW172" s="41"/>
      <c r="AX172" s="41"/>
      <c r="AY172" s="41"/>
      <c r="AZ172" s="41"/>
      <c r="BA172" s="41"/>
      <c r="BB172" s="41"/>
      <c r="BC172" s="41"/>
      <c r="BD172" s="41"/>
      <c r="BE172" s="41"/>
      <c r="BF172" s="41"/>
      <c r="BG172" s="41"/>
      <c r="BH172" s="41"/>
      <c r="BI172" s="41"/>
      <c r="BJ172" s="41"/>
      <c r="BK172" s="41"/>
      <c r="BL172" s="41"/>
      <c r="BM172" s="41"/>
      <c r="BN172" s="41"/>
      <c r="BO172" s="41"/>
      <c r="BP172" s="41"/>
      <c r="BQ172" s="41"/>
      <c r="BR172" s="41"/>
      <c r="BS172" s="41"/>
      <c r="BT172" s="41"/>
      <c r="BU172" s="41"/>
      <c r="BV172" s="41"/>
      <c r="BW172" s="41"/>
      <c r="BX172" s="41"/>
      <c r="BY172" s="41"/>
      <c r="BZ172" s="41"/>
      <c r="CA172" s="41"/>
      <c r="CB172" s="41"/>
      <c r="CC172" s="41"/>
      <c r="CD172" s="41"/>
      <c r="CE172" s="41"/>
      <c r="CF172" s="41"/>
      <c r="CG172" s="41"/>
      <c r="CH172" s="41"/>
      <c r="CI172" s="41"/>
      <c r="CJ172" s="41"/>
      <c r="CK172" s="41"/>
      <c r="CL172" s="41"/>
      <c r="CM172" s="41"/>
      <c r="CN172" s="41"/>
      <c r="CO172" s="41"/>
      <c r="CP172" s="41"/>
      <c r="CQ172" s="41"/>
      <c r="CR172" s="41"/>
      <c r="CS172" s="41"/>
      <c r="CT172" s="41"/>
      <c r="CU172" s="41"/>
      <c r="CV172" s="41"/>
      <c r="CW172" s="41"/>
      <c r="CX172" s="41"/>
      <c r="CY172" s="41"/>
      <c r="CZ172" s="41"/>
      <c r="DA172" s="41"/>
      <c r="DB172" s="41"/>
      <c r="DC172" s="41"/>
      <c r="DD172" s="41"/>
      <c r="DE172" s="41"/>
      <c r="DF172" s="41"/>
      <c r="DG172" s="41"/>
      <c r="DH172" s="41"/>
      <c r="DI172" s="41"/>
      <c r="DJ172" s="41"/>
      <c r="DK172" s="41"/>
      <c r="DL172" s="41"/>
      <c r="DM172" s="41"/>
      <c r="DN172" s="41"/>
      <c r="DO172" s="41"/>
      <c r="DP172" s="41"/>
      <c r="DQ172" s="41"/>
      <c r="DR172" s="41"/>
      <c r="DS172" s="41"/>
      <c r="DT172" s="41"/>
      <c r="DU172" s="41"/>
      <c r="DV172" s="41"/>
      <c r="DW172" s="41"/>
      <c r="DX172" s="41"/>
      <c r="DY172" s="41"/>
      <c r="DZ172" s="41"/>
      <c r="EA172" s="41"/>
      <c r="EB172" s="41"/>
      <c r="EC172" s="41"/>
      <c r="ED172" s="41"/>
      <c r="EE172" s="41"/>
      <c r="EF172" s="41"/>
      <c r="EG172" s="41"/>
      <c r="EH172" s="41"/>
      <c r="EI172" s="41"/>
      <c r="EJ172" s="41"/>
      <c r="EK172" s="41"/>
      <c r="EL172" s="41"/>
      <c r="EM172" s="41"/>
      <c r="EN172" s="41"/>
      <c r="EO172" s="41"/>
      <c r="EP172" s="41"/>
      <c r="EQ172" s="41"/>
      <c r="ER172" s="41"/>
      <c r="ES172" s="41"/>
      <c r="ET172" s="41"/>
      <c r="EU172" s="41"/>
      <c r="EV172" s="41"/>
      <c r="EW172" s="41"/>
      <c r="EX172" s="41"/>
      <c r="EY172" s="41"/>
      <c r="EZ172" s="41"/>
      <c r="FA172" s="41"/>
      <c r="FB172" s="41"/>
      <c r="FC172" s="41"/>
      <c r="FD172" s="41"/>
      <c r="FE172" s="41"/>
      <c r="FF172" s="41"/>
      <c r="FG172" s="41"/>
      <c r="FH172" s="41"/>
      <c r="FI172" s="41"/>
      <c r="FJ172" s="41"/>
      <c r="FK172" s="41"/>
      <c r="FL172" s="41"/>
      <c r="FM172" s="41"/>
      <c r="FN172" s="41"/>
      <c r="FO172" s="41"/>
      <c r="FP172" s="41"/>
      <c r="FQ172" s="41"/>
      <c r="FR172" s="41"/>
      <c r="FS172" s="41"/>
      <c r="FT172" s="41"/>
      <c r="FU172" s="41"/>
      <c r="FV172" s="41"/>
      <c r="FW172" s="41"/>
      <c r="FX172" s="41"/>
      <c r="FY172" s="41"/>
      <c r="FZ172" s="41"/>
      <c r="GA172" s="41"/>
      <c r="GB172" s="41"/>
      <c r="GC172" s="41"/>
      <c r="GD172" s="41"/>
      <c r="GE172" s="41"/>
      <c r="GF172" s="41"/>
      <c r="GG172" s="41"/>
      <c r="GH172" s="41"/>
      <c r="GI172" s="41"/>
      <c r="GJ172" s="41"/>
      <c r="GK172" s="41"/>
      <c r="GL172" s="41"/>
      <c r="GM172" s="41"/>
      <c r="GN172" s="41"/>
      <c r="GO172" s="41"/>
      <c r="GP172" s="41"/>
      <c r="GQ172" s="41"/>
      <c r="GR172" s="41"/>
      <c r="GS172" s="41"/>
      <c r="GT172" s="41"/>
      <c r="GU172" s="41"/>
      <c r="GV172" s="41"/>
      <c r="GW172" s="41"/>
      <c r="GX172" s="41"/>
      <c r="GY172" s="41"/>
      <c r="GZ172" s="41"/>
      <c r="HA172" s="41"/>
      <c r="HB172" s="41"/>
      <c r="HC172" s="41"/>
      <c r="HD172" s="41"/>
      <c r="HE172" s="41"/>
      <c r="HF172" s="41"/>
      <c r="HG172" s="41"/>
      <c r="HH172" s="41"/>
      <c r="HI172" s="41"/>
      <c r="HJ172" s="41"/>
      <c r="HK172" s="41"/>
      <c r="HL172" s="41"/>
      <c r="HM172" s="41"/>
      <c r="HN172" s="41"/>
      <c r="HO172" s="41"/>
      <c r="HP172" s="41"/>
    </row>
    <row r="173" spans="3:224" s="5" customFormat="1" ht="20.100000000000001" customHeight="1">
      <c r="C173" s="35">
        <v>15205004</v>
      </c>
      <c r="D173" s="36" t="s">
        <v>215</v>
      </c>
      <c r="E173" s="36">
        <v>1140003</v>
      </c>
      <c r="F173" s="36">
        <v>12021</v>
      </c>
      <c r="G173" s="36">
        <v>1</v>
      </c>
      <c r="H173" s="36">
        <v>30</v>
      </c>
      <c r="I173" s="39">
        <v>0.2</v>
      </c>
      <c r="J173" s="23">
        <v>10</v>
      </c>
      <c r="K173" s="36">
        <v>0</v>
      </c>
      <c r="L173" s="36">
        <v>980</v>
      </c>
      <c r="M173" s="36">
        <f t="shared" si="13"/>
        <v>38</v>
      </c>
      <c r="N173" s="36">
        <v>76</v>
      </c>
      <c r="O173" s="36">
        <v>0</v>
      </c>
      <c r="P173" s="36">
        <v>0</v>
      </c>
      <c r="Q173" s="36">
        <f t="shared" si="14"/>
        <v>9</v>
      </c>
      <c r="R173" s="36">
        <v>17</v>
      </c>
      <c r="S173" s="36">
        <f t="shared" si="15"/>
        <v>0</v>
      </c>
      <c r="T173" s="36">
        <v>0</v>
      </c>
      <c r="U173" s="39">
        <v>0</v>
      </c>
      <c r="V173" s="36">
        <v>0</v>
      </c>
      <c r="W173" s="36">
        <v>0</v>
      </c>
      <c r="X173" s="36">
        <v>0</v>
      </c>
      <c r="Y173" s="39">
        <v>0</v>
      </c>
      <c r="Z173" s="39">
        <v>0</v>
      </c>
      <c r="AA173" s="39">
        <v>0</v>
      </c>
      <c r="AB173" s="39">
        <v>0</v>
      </c>
      <c r="AC173" s="39">
        <v>0</v>
      </c>
      <c r="AD173" s="39">
        <v>0</v>
      </c>
      <c r="AE173" s="39"/>
      <c r="AF173" s="41"/>
      <c r="AG173" s="41"/>
      <c r="AH173" s="41"/>
      <c r="AI173" s="41"/>
      <c r="AJ173" s="41"/>
      <c r="AK173" s="41"/>
      <c r="AL173" s="41"/>
      <c r="AM173" s="41"/>
      <c r="AN173" s="41"/>
      <c r="AO173" s="41"/>
      <c r="AP173" s="41"/>
      <c r="AQ173" s="41"/>
      <c r="AR173" s="41"/>
      <c r="AS173" s="41"/>
      <c r="AT173" s="41"/>
      <c r="AU173" s="41"/>
      <c r="AV173" s="41"/>
      <c r="AW173" s="41"/>
      <c r="AX173" s="41"/>
      <c r="AY173" s="41"/>
      <c r="AZ173" s="41"/>
      <c r="BA173" s="41"/>
      <c r="BB173" s="41"/>
      <c r="BC173" s="41"/>
      <c r="BD173" s="41"/>
      <c r="BE173" s="41"/>
      <c r="BF173" s="41"/>
      <c r="BG173" s="41"/>
      <c r="BH173" s="41"/>
      <c r="BI173" s="41"/>
      <c r="BJ173" s="41"/>
      <c r="BK173" s="41"/>
      <c r="BL173" s="41"/>
      <c r="BM173" s="41"/>
      <c r="BN173" s="41"/>
      <c r="BO173" s="41"/>
      <c r="BP173" s="41"/>
      <c r="BQ173" s="41"/>
      <c r="BR173" s="41"/>
      <c r="BS173" s="41"/>
      <c r="BT173" s="41"/>
      <c r="BU173" s="41"/>
      <c r="BV173" s="41"/>
      <c r="BW173" s="41"/>
      <c r="BX173" s="41"/>
      <c r="BY173" s="41"/>
      <c r="BZ173" s="41"/>
      <c r="CA173" s="41"/>
      <c r="CB173" s="41"/>
      <c r="CC173" s="41"/>
      <c r="CD173" s="41"/>
      <c r="CE173" s="41"/>
      <c r="CF173" s="41"/>
      <c r="CG173" s="41"/>
      <c r="CH173" s="41"/>
      <c r="CI173" s="41"/>
      <c r="CJ173" s="41"/>
      <c r="CK173" s="41"/>
      <c r="CL173" s="41"/>
      <c r="CM173" s="41"/>
      <c r="CN173" s="41"/>
      <c r="CO173" s="41"/>
      <c r="CP173" s="41"/>
      <c r="CQ173" s="41"/>
      <c r="CR173" s="41"/>
      <c r="CS173" s="41"/>
      <c r="CT173" s="41"/>
      <c r="CU173" s="41"/>
      <c r="CV173" s="41"/>
      <c r="CW173" s="41"/>
      <c r="CX173" s="41"/>
      <c r="CY173" s="41"/>
      <c r="CZ173" s="41"/>
      <c r="DA173" s="41"/>
      <c r="DB173" s="41"/>
      <c r="DC173" s="41"/>
      <c r="DD173" s="41"/>
      <c r="DE173" s="41"/>
      <c r="DF173" s="41"/>
      <c r="DG173" s="41"/>
      <c r="DH173" s="41"/>
      <c r="DI173" s="41"/>
      <c r="DJ173" s="41"/>
      <c r="DK173" s="41"/>
      <c r="DL173" s="41"/>
      <c r="DM173" s="41"/>
      <c r="DN173" s="41"/>
      <c r="DO173" s="41"/>
      <c r="DP173" s="41"/>
      <c r="DQ173" s="41"/>
      <c r="DR173" s="41"/>
      <c r="DS173" s="41"/>
      <c r="DT173" s="41"/>
      <c r="DU173" s="41"/>
      <c r="DV173" s="41"/>
      <c r="DW173" s="41"/>
      <c r="DX173" s="41"/>
      <c r="DY173" s="41"/>
      <c r="DZ173" s="41"/>
      <c r="EA173" s="41"/>
      <c r="EB173" s="41"/>
      <c r="EC173" s="41"/>
      <c r="ED173" s="41"/>
      <c r="EE173" s="41"/>
      <c r="EF173" s="41"/>
      <c r="EG173" s="41"/>
      <c r="EH173" s="41"/>
      <c r="EI173" s="41"/>
      <c r="EJ173" s="41"/>
      <c r="EK173" s="41"/>
      <c r="EL173" s="41"/>
      <c r="EM173" s="41"/>
      <c r="EN173" s="41"/>
      <c r="EO173" s="41"/>
      <c r="EP173" s="41"/>
      <c r="EQ173" s="41"/>
      <c r="ER173" s="41"/>
      <c r="ES173" s="41"/>
      <c r="ET173" s="41"/>
      <c r="EU173" s="41"/>
      <c r="EV173" s="41"/>
      <c r="EW173" s="41"/>
      <c r="EX173" s="41"/>
      <c r="EY173" s="41"/>
      <c r="EZ173" s="41"/>
      <c r="FA173" s="41"/>
      <c r="FB173" s="41"/>
      <c r="FC173" s="41"/>
      <c r="FD173" s="41"/>
      <c r="FE173" s="41"/>
      <c r="FF173" s="41"/>
      <c r="FG173" s="41"/>
      <c r="FH173" s="41"/>
      <c r="FI173" s="41"/>
      <c r="FJ173" s="41"/>
      <c r="FK173" s="41"/>
      <c r="FL173" s="41"/>
      <c r="FM173" s="41"/>
      <c r="FN173" s="41"/>
      <c r="FO173" s="41"/>
      <c r="FP173" s="41"/>
      <c r="FQ173" s="41"/>
      <c r="FR173" s="41"/>
      <c r="FS173" s="41"/>
      <c r="FT173" s="41"/>
      <c r="FU173" s="41"/>
      <c r="FV173" s="41"/>
      <c r="FW173" s="41"/>
      <c r="FX173" s="41"/>
      <c r="FY173" s="41"/>
      <c r="FZ173" s="41"/>
      <c r="GA173" s="41"/>
      <c r="GB173" s="41"/>
      <c r="GC173" s="41"/>
      <c r="GD173" s="41"/>
      <c r="GE173" s="41"/>
      <c r="GF173" s="41"/>
      <c r="GG173" s="41"/>
      <c r="GH173" s="41"/>
      <c r="GI173" s="41"/>
      <c r="GJ173" s="41"/>
      <c r="GK173" s="41"/>
      <c r="GL173" s="41"/>
      <c r="GM173" s="41"/>
      <c r="GN173" s="41"/>
      <c r="GO173" s="41"/>
      <c r="GP173" s="41"/>
      <c r="GQ173" s="41"/>
      <c r="GR173" s="41"/>
      <c r="GS173" s="41"/>
      <c r="GT173" s="41"/>
      <c r="GU173" s="41"/>
      <c r="GV173" s="41"/>
      <c r="GW173" s="41"/>
      <c r="GX173" s="41"/>
      <c r="GY173" s="41"/>
      <c r="GZ173" s="41"/>
      <c r="HA173" s="41"/>
      <c r="HB173" s="41"/>
      <c r="HC173" s="41"/>
      <c r="HD173" s="41"/>
      <c r="HE173" s="41"/>
      <c r="HF173" s="41"/>
      <c r="HG173" s="41"/>
      <c r="HH173" s="41"/>
      <c r="HI173" s="41"/>
      <c r="HJ173" s="41"/>
      <c r="HK173" s="41"/>
      <c r="HL173" s="41"/>
      <c r="HM173" s="41"/>
      <c r="HN173" s="41"/>
      <c r="HO173" s="41"/>
      <c r="HP173" s="41"/>
    </row>
    <row r="174" spans="3:224" s="5" customFormat="1" ht="19.5" customHeight="1">
      <c r="C174" s="35">
        <v>15205005</v>
      </c>
      <c r="D174" s="36" t="s">
        <v>216</v>
      </c>
      <c r="E174" s="36">
        <v>1140003</v>
      </c>
      <c r="F174" s="36">
        <v>0</v>
      </c>
      <c r="G174" s="36">
        <v>1</v>
      </c>
      <c r="H174" s="36">
        <v>30</v>
      </c>
      <c r="I174" s="39">
        <v>0.2</v>
      </c>
      <c r="J174" s="23">
        <v>10</v>
      </c>
      <c r="K174" s="36">
        <v>0</v>
      </c>
      <c r="L174" s="36">
        <f>L170*1.5</f>
        <v>2340</v>
      </c>
      <c r="M174" s="36">
        <f t="shared" si="13"/>
        <v>17</v>
      </c>
      <c r="N174" s="36">
        <v>34</v>
      </c>
      <c r="O174" s="36">
        <v>0</v>
      </c>
      <c r="P174" s="36">
        <v>0</v>
      </c>
      <c r="Q174" s="36">
        <f t="shared" si="14"/>
        <v>12</v>
      </c>
      <c r="R174" s="36">
        <v>23</v>
      </c>
      <c r="S174" s="36">
        <f t="shared" si="15"/>
        <v>0</v>
      </c>
      <c r="T174" s="36">
        <v>0</v>
      </c>
      <c r="U174" s="39">
        <v>0</v>
      </c>
      <c r="V174" s="36">
        <v>0</v>
      </c>
      <c r="W174" s="36">
        <v>0</v>
      </c>
      <c r="X174" s="36">
        <v>0</v>
      </c>
      <c r="Y174" s="39">
        <v>0</v>
      </c>
      <c r="Z174" s="39">
        <v>0</v>
      </c>
      <c r="AA174" s="39">
        <v>0</v>
      </c>
      <c r="AB174" s="39">
        <v>0</v>
      </c>
      <c r="AC174" s="39">
        <v>0</v>
      </c>
      <c r="AD174" s="39">
        <v>0</v>
      </c>
      <c r="AE174" s="39"/>
      <c r="AF174" s="41"/>
      <c r="AG174" s="41"/>
      <c r="AH174" s="41"/>
      <c r="AI174" s="41"/>
      <c r="AJ174" s="41"/>
      <c r="AK174" s="41"/>
      <c r="AL174" s="41"/>
      <c r="AM174" s="41"/>
      <c r="AN174" s="41"/>
      <c r="AO174" s="41"/>
      <c r="AP174" s="41"/>
      <c r="AQ174" s="41"/>
      <c r="AR174" s="41"/>
      <c r="AS174" s="41"/>
      <c r="AT174" s="41"/>
      <c r="AU174" s="41"/>
      <c r="AV174" s="41"/>
      <c r="AW174" s="41"/>
      <c r="AX174" s="41"/>
      <c r="AY174" s="41"/>
      <c r="AZ174" s="41"/>
      <c r="BA174" s="41"/>
      <c r="BB174" s="41"/>
      <c r="BC174" s="41"/>
      <c r="BD174" s="41"/>
      <c r="BE174" s="41"/>
      <c r="BF174" s="41"/>
      <c r="BG174" s="41"/>
      <c r="BH174" s="41"/>
      <c r="BI174" s="41"/>
      <c r="BJ174" s="41"/>
      <c r="BK174" s="41"/>
      <c r="BL174" s="41"/>
      <c r="BM174" s="41"/>
      <c r="BN174" s="41"/>
      <c r="BO174" s="41"/>
      <c r="BP174" s="41"/>
      <c r="BQ174" s="41"/>
      <c r="BR174" s="41"/>
      <c r="BS174" s="41"/>
      <c r="BT174" s="41"/>
      <c r="BU174" s="41"/>
      <c r="BV174" s="41"/>
      <c r="BW174" s="41"/>
      <c r="BX174" s="41"/>
      <c r="BY174" s="41"/>
      <c r="BZ174" s="41"/>
      <c r="CA174" s="41"/>
      <c r="CB174" s="41"/>
      <c r="CC174" s="41"/>
      <c r="CD174" s="41"/>
      <c r="CE174" s="41"/>
      <c r="CF174" s="41"/>
      <c r="CG174" s="41"/>
      <c r="CH174" s="41"/>
      <c r="CI174" s="41"/>
      <c r="CJ174" s="41"/>
      <c r="CK174" s="41"/>
      <c r="CL174" s="41"/>
      <c r="CM174" s="41"/>
      <c r="CN174" s="41"/>
      <c r="CO174" s="41"/>
      <c r="CP174" s="41"/>
      <c r="CQ174" s="41"/>
      <c r="CR174" s="41"/>
      <c r="CS174" s="41"/>
      <c r="CT174" s="41"/>
      <c r="CU174" s="41"/>
      <c r="CV174" s="41"/>
      <c r="CW174" s="41"/>
      <c r="CX174" s="41"/>
      <c r="CY174" s="41"/>
      <c r="CZ174" s="41"/>
      <c r="DA174" s="41"/>
      <c r="DB174" s="41"/>
      <c r="DC174" s="41"/>
      <c r="DD174" s="41"/>
      <c r="DE174" s="41"/>
      <c r="DF174" s="41"/>
      <c r="DG174" s="41"/>
      <c r="DH174" s="41"/>
      <c r="DI174" s="41"/>
      <c r="DJ174" s="41"/>
      <c r="DK174" s="41"/>
      <c r="DL174" s="41"/>
      <c r="DM174" s="41"/>
      <c r="DN174" s="41"/>
      <c r="DO174" s="41"/>
      <c r="DP174" s="41"/>
      <c r="DQ174" s="41"/>
      <c r="DR174" s="41"/>
      <c r="DS174" s="41"/>
      <c r="DT174" s="41"/>
      <c r="DU174" s="41"/>
      <c r="DV174" s="41"/>
      <c r="DW174" s="41"/>
      <c r="DX174" s="41"/>
      <c r="DY174" s="41"/>
      <c r="DZ174" s="41"/>
      <c r="EA174" s="41"/>
      <c r="EB174" s="41"/>
      <c r="EC174" s="41"/>
      <c r="ED174" s="41"/>
      <c r="EE174" s="41"/>
      <c r="EF174" s="41"/>
      <c r="EG174" s="41"/>
      <c r="EH174" s="41"/>
      <c r="EI174" s="41"/>
      <c r="EJ174" s="41"/>
      <c r="EK174" s="41"/>
      <c r="EL174" s="41"/>
      <c r="EM174" s="41"/>
      <c r="EN174" s="41"/>
      <c r="EO174" s="41"/>
      <c r="EP174" s="41"/>
      <c r="EQ174" s="41"/>
      <c r="ER174" s="41"/>
      <c r="ES174" s="41"/>
      <c r="ET174" s="41"/>
      <c r="EU174" s="41"/>
      <c r="EV174" s="41"/>
      <c r="EW174" s="41"/>
      <c r="EX174" s="41"/>
      <c r="EY174" s="41"/>
      <c r="EZ174" s="41"/>
      <c r="FA174" s="41"/>
      <c r="FB174" s="41"/>
      <c r="FC174" s="41"/>
      <c r="FD174" s="41"/>
      <c r="FE174" s="41"/>
      <c r="FF174" s="41"/>
      <c r="FG174" s="41"/>
      <c r="FH174" s="41"/>
      <c r="FI174" s="41"/>
      <c r="FJ174" s="41"/>
      <c r="FK174" s="41"/>
      <c r="FL174" s="41"/>
      <c r="FM174" s="41"/>
      <c r="FN174" s="41"/>
      <c r="FO174" s="41"/>
      <c r="FP174" s="41"/>
      <c r="FQ174" s="41"/>
      <c r="FR174" s="41"/>
      <c r="FS174" s="41"/>
      <c r="FT174" s="41"/>
      <c r="FU174" s="41"/>
      <c r="FV174" s="41"/>
      <c r="FW174" s="41"/>
      <c r="FX174" s="41"/>
      <c r="FY174" s="41"/>
      <c r="FZ174" s="41"/>
      <c r="GA174" s="41"/>
      <c r="GB174" s="41"/>
      <c r="GC174" s="41"/>
      <c r="GD174" s="41"/>
      <c r="GE174" s="41"/>
      <c r="GF174" s="41"/>
      <c r="GG174" s="41"/>
      <c r="GH174" s="41"/>
      <c r="GI174" s="41"/>
      <c r="GJ174" s="41"/>
      <c r="GK174" s="41"/>
      <c r="GL174" s="41"/>
      <c r="GM174" s="41"/>
      <c r="GN174" s="41"/>
      <c r="GO174" s="41"/>
      <c r="GP174" s="41"/>
      <c r="GQ174" s="41"/>
      <c r="GR174" s="41"/>
      <c r="GS174" s="41"/>
      <c r="GT174" s="41"/>
      <c r="GU174" s="41"/>
      <c r="GV174" s="41"/>
      <c r="GW174" s="41"/>
      <c r="GX174" s="41"/>
      <c r="GY174" s="41"/>
      <c r="GZ174" s="41"/>
      <c r="HA174" s="41"/>
      <c r="HB174" s="41"/>
      <c r="HC174" s="41"/>
      <c r="HD174" s="41"/>
      <c r="HE174" s="41"/>
      <c r="HF174" s="41"/>
      <c r="HG174" s="41"/>
      <c r="HH174" s="41"/>
      <c r="HI174" s="41"/>
      <c r="HJ174" s="41"/>
      <c r="HK174" s="41"/>
      <c r="HL174" s="41"/>
      <c r="HM174" s="41"/>
      <c r="HN174" s="41"/>
      <c r="HO174" s="41"/>
      <c r="HP174" s="41"/>
    </row>
    <row r="175" spans="3:224" s="5" customFormat="1" ht="20.100000000000001" customHeight="1">
      <c r="C175" s="35">
        <v>15205006</v>
      </c>
      <c r="D175" s="36" t="s">
        <v>217</v>
      </c>
      <c r="E175" s="36">
        <v>1140003</v>
      </c>
      <c r="F175" s="36">
        <v>12031</v>
      </c>
      <c r="G175" s="36">
        <v>1</v>
      </c>
      <c r="H175" s="36">
        <v>30</v>
      </c>
      <c r="I175" s="39">
        <v>0.2</v>
      </c>
      <c r="J175" s="23">
        <v>10</v>
      </c>
      <c r="K175" s="36">
        <v>0</v>
      </c>
      <c r="L175" s="36">
        <v>2930</v>
      </c>
      <c r="M175" s="36">
        <f t="shared" si="13"/>
        <v>21</v>
      </c>
      <c r="N175" s="36">
        <v>42</v>
      </c>
      <c r="O175" s="36">
        <v>0</v>
      </c>
      <c r="P175" s="36">
        <v>0</v>
      </c>
      <c r="Q175" s="36">
        <f t="shared" si="14"/>
        <v>15</v>
      </c>
      <c r="R175" s="36">
        <v>29</v>
      </c>
      <c r="S175" s="36">
        <f t="shared" si="15"/>
        <v>0</v>
      </c>
      <c r="T175" s="36">
        <v>0</v>
      </c>
      <c r="U175" s="39">
        <v>0</v>
      </c>
      <c r="V175" s="36">
        <v>0</v>
      </c>
      <c r="W175" s="36">
        <v>0</v>
      </c>
      <c r="X175" s="36">
        <v>0</v>
      </c>
      <c r="Y175" s="39">
        <v>0</v>
      </c>
      <c r="Z175" s="39">
        <v>0</v>
      </c>
      <c r="AA175" s="39">
        <v>0</v>
      </c>
      <c r="AB175" s="39">
        <v>0</v>
      </c>
      <c r="AC175" s="39">
        <v>0</v>
      </c>
      <c r="AD175" s="39">
        <v>0</v>
      </c>
      <c r="AE175" s="39"/>
      <c r="AF175" s="41"/>
      <c r="AG175" s="41"/>
      <c r="AH175" s="41"/>
      <c r="AI175" s="41"/>
      <c r="AJ175" s="41"/>
      <c r="AK175" s="41"/>
      <c r="AL175" s="41"/>
      <c r="AM175" s="41"/>
      <c r="AN175" s="41"/>
      <c r="AO175" s="41"/>
      <c r="AP175" s="41"/>
      <c r="AQ175" s="41"/>
      <c r="AR175" s="41"/>
      <c r="AS175" s="41"/>
      <c r="AT175" s="41"/>
      <c r="AU175" s="41"/>
      <c r="AV175" s="41"/>
      <c r="AW175" s="41"/>
      <c r="AX175" s="41"/>
      <c r="AY175" s="41"/>
      <c r="AZ175" s="41"/>
      <c r="BA175" s="41"/>
      <c r="BB175" s="41"/>
      <c r="BC175" s="41"/>
      <c r="BD175" s="41"/>
      <c r="BE175" s="41"/>
      <c r="BF175" s="41"/>
      <c r="BG175" s="41"/>
      <c r="BH175" s="41"/>
      <c r="BI175" s="41"/>
      <c r="BJ175" s="41"/>
      <c r="BK175" s="41"/>
      <c r="BL175" s="41"/>
      <c r="BM175" s="41"/>
      <c r="BN175" s="41"/>
      <c r="BO175" s="41"/>
      <c r="BP175" s="41"/>
      <c r="BQ175" s="41"/>
      <c r="BR175" s="41"/>
      <c r="BS175" s="41"/>
      <c r="BT175" s="41"/>
      <c r="BU175" s="41"/>
      <c r="BV175" s="41"/>
      <c r="BW175" s="41"/>
      <c r="BX175" s="41"/>
      <c r="BY175" s="41"/>
      <c r="BZ175" s="41"/>
      <c r="CA175" s="41"/>
      <c r="CB175" s="41"/>
      <c r="CC175" s="41"/>
      <c r="CD175" s="41"/>
      <c r="CE175" s="41"/>
      <c r="CF175" s="41"/>
      <c r="CG175" s="41"/>
      <c r="CH175" s="41"/>
      <c r="CI175" s="41"/>
      <c r="CJ175" s="41"/>
      <c r="CK175" s="41"/>
      <c r="CL175" s="41"/>
      <c r="CM175" s="41"/>
      <c r="CN175" s="41"/>
      <c r="CO175" s="41"/>
      <c r="CP175" s="41"/>
      <c r="CQ175" s="41"/>
      <c r="CR175" s="41"/>
      <c r="CS175" s="41"/>
      <c r="CT175" s="41"/>
      <c r="CU175" s="41"/>
      <c r="CV175" s="41"/>
      <c r="CW175" s="41"/>
      <c r="CX175" s="41"/>
      <c r="CY175" s="41"/>
      <c r="CZ175" s="41"/>
      <c r="DA175" s="41"/>
      <c r="DB175" s="41"/>
      <c r="DC175" s="41"/>
      <c r="DD175" s="41"/>
      <c r="DE175" s="41"/>
      <c r="DF175" s="41"/>
      <c r="DG175" s="41"/>
      <c r="DH175" s="41"/>
      <c r="DI175" s="41"/>
      <c r="DJ175" s="41"/>
      <c r="DK175" s="41"/>
      <c r="DL175" s="41"/>
      <c r="DM175" s="41"/>
      <c r="DN175" s="41"/>
      <c r="DO175" s="41"/>
      <c r="DP175" s="41"/>
      <c r="DQ175" s="41"/>
      <c r="DR175" s="41"/>
      <c r="DS175" s="41"/>
      <c r="DT175" s="41"/>
      <c r="DU175" s="41"/>
      <c r="DV175" s="41"/>
      <c r="DW175" s="41"/>
      <c r="DX175" s="41"/>
      <c r="DY175" s="41"/>
      <c r="DZ175" s="41"/>
      <c r="EA175" s="41"/>
      <c r="EB175" s="41"/>
      <c r="EC175" s="41"/>
      <c r="ED175" s="41"/>
      <c r="EE175" s="41"/>
      <c r="EF175" s="41"/>
      <c r="EG175" s="41"/>
      <c r="EH175" s="41"/>
      <c r="EI175" s="41"/>
      <c r="EJ175" s="41"/>
      <c r="EK175" s="41"/>
      <c r="EL175" s="41"/>
      <c r="EM175" s="41"/>
      <c r="EN175" s="41"/>
      <c r="EO175" s="41"/>
      <c r="EP175" s="41"/>
      <c r="EQ175" s="41"/>
      <c r="ER175" s="41"/>
      <c r="ES175" s="41"/>
      <c r="ET175" s="41"/>
      <c r="EU175" s="41"/>
      <c r="EV175" s="41"/>
      <c r="EW175" s="41"/>
      <c r="EX175" s="41"/>
      <c r="EY175" s="41"/>
      <c r="EZ175" s="41"/>
      <c r="FA175" s="41"/>
      <c r="FB175" s="41"/>
      <c r="FC175" s="41"/>
      <c r="FD175" s="41"/>
      <c r="FE175" s="41"/>
      <c r="FF175" s="41"/>
      <c r="FG175" s="41"/>
      <c r="FH175" s="41"/>
      <c r="FI175" s="41"/>
      <c r="FJ175" s="41"/>
      <c r="FK175" s="41"/>
      <c r="FL175" s="41"/>
      <c r="FM175" s="41"/>
      <c r="FN175" s="41"/>
      <c r="FO175" s="41"/>
      <c r="FP175" s="41"/>
      <c r="FQ175" s="41"/>
      <c r="FR175" s="41"/>
      <c r="FS175" s="41"/>
      <c r="FT175" s="41"/>
      <c r="FU175" s="41"/>
      <c r="FV175" s="41"/>
      <c r="FW175" s="41"/>
      <c r="FX175" s="41"/>
      <c r="FY175" s="41"/>
      <c r="FZ175" s="41"/>
      <c r="GA175" s="41"/>
      <c r="GB175" s="41"/>
      <c r="GC175" s="41"/>
      <c r="GD175" s="41"/>
      <c r="GE175" s="41"/>
      <c r="GF175" s="41"/>
      <c r="GG175" s="41"/>
      <c r="GH175" s="41"/>
      <c r="GI175" s="41"/>
      <c r="GJ175" s="41"/>
      <c r="GK175" s="41"/>
      <c r="GL175" s="41"/>
      <c r="GM175" s="41"/>
      <c r="GN175" s="41"/>
      <c r="GO175" s="41"/>
      <c r="GP175" s="41"/>
      <c r="GQ175" s="41"/>
      <c r="GR175" s="41"/>
      <c r="GS175" s="41"/>
      <c r="GT175" s="41"/>
      <c r="GU175" s="41"/>
      <c r="GV175" s="41"/>
      <c r="GW175" s="41"/>
      <c r="GX175" s="41"/>
      <c r="GY175" s="41"/>
      <c r="GZ175" s="41"/>
      <c r="HA175" s="41"/>
      <c r="HB175" s="41"/>
      <c r="HC175" s="41"/>
      <c r="HD175" s="41"/>
      <c r="HE175" s="41"/>
      <c r="HF175" s="41"/>
      <c r="HG175" s="41"/>
      <c r="HH175" s="41"/>
      <c r="HI175" s="41"/>
      <c r="HJ175" s="41"/>
      <c r="HK175" s="41"/>
      <c r="HL175" s="41"/>
      <c r="HM175" s="41"/>
      <c r="HN175" s="41"/>
      <c r="HO175" s="41"/>
      <c r="HP175" s="41"/>
    </row>
    <row r="176" spans="3:224" s="4" customFormat="1" ht="20.100000000000001" customHeight="1">
      <c r="C176" s="17">
        <v>15205007</v>
      </c>
      <c r="D176" s="42" t="s">
        <v>218</v>
      </c>
      <c r="E176" s="19">
        <v>1140003</v>
      </c>
      <c r="F176" s="19">
        <v>0</v>
      </c>
      <c r="G176" s="19">
        <v>1</v>
      </c>
      <c r="H176" s="19">
        <v>30</v>
      </c>
      <c r="I176" s="26">
        <v>0.2</v>
      </c>
      <c r="J176" s="23">
        <v>10</v>
      </c>
      <c r="K176" s="19">
        <v>0</v>
      </c>
      <c r="L176" s="19">
        <v>3350</v>
      </c>
      <c r="M176" s="19">
        <f t="shared" ref="M176" si="27">ROUND(N176/2,0)</f>
        <v>25</v>
      </c>
      <c r="N176" s="19">
        <v>50</v>
      </c>
      <c r="O176" s="19">
        <v>0</v>
      </c>
      <c r="P176" s="19">
        <v>0</v>
      </c>
      <c r="Q176" s="19">
        <f t="shared" ref="Q176" si="28">ROUND(R176/2,0)</f>
        <v>18</v>
      </c>
      <c r="R176" s="19">
        <v>36</v>
      </c>
      <c r="S176" s="19">
        <f t="shared" ref="S176" si="29">ROUND(T176/2,0)</f>
        <v>0</v>
      </c>
      <c r="T176" s="19">
        <v>0</v>
      </c>
      <c r="U176" s="26">
        <v>0</v>
      </c>
      <c r="V176" s="19">
        <v>0</v>
      </c>
      <c r="W176" s="19">
        <v>0</v>
      </c>
      <c r="X176" s="19">
        <v>0</v>
      </c>
      <c r="Y176" s="26">
        <v>0</v>
      </c>
      <c r="Z176" s="26">
        <v>0</v>
      </c>
      <c r="AA176" s="26">
        <v>0</v>
      </c>
      <c r="AB176" s="26">
        <v>120501</v>
      </c>
      <c r="AC176" s="26">
        <v>1</v>
      </c>
      <c r="AD176" s="26">
        <v>1</v>
      </c>
      <c r="AE176" s="26"/>
      <c r="AF176" s="34"/>
      <c r="AG176" s="34"/>
      <c r="AH176" s="34"/>
      <c r="AI176" s="34"/>
      <c r="AJ176" s="34"/>
      <c r="AK176" s="34"/>
      <c r="AL176" s="34"/>
      <c r="AM176" s="34"/>
      <c r="AN176" s="34"/>
      <c r="AO176" s="34"/>
      <c r="AP176" s="34"/>
      <c r="AQ176" s="34"/>
      <c r="AR176" s="34"/>
      <c r="AS176" s="34"/>
      <c r="AT176" s="34"/>
      <c r="AU176" s="34"/>
      <c r="AV176" s="34"/>
      <c r="AW176" s="34"/>
      <c r="AX176" s="34"/>
      <c r="AY176" s="34"/>
      <c r="AZ176" s="34"/>
      <c r="BA176" s="34"/>
      <c r="BB176" s="34"/>
      <c r="BC176" s="34"/>
      <c r="BD176" s="34"/>
      <c r="BE176" s="34"/>
      <c r="BF176" s="34"/>
      <c r="BG176" s="34"/>
      <c r="BH176" s="34"/>
      <c r="BI176" s="34"/>
      <c r="BJ176" s="34"/>
      <c r="BK176" s="34"/>
      <c r="BL176" s="34"/>
      <c r="BM176" s="34"/>
      <c r="BN176" s="34"/>
      <c r="BO176" s="34"/>
      <c r="BP176" s="34"/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  <c r="CE176" s="34"/>
      <c r="CF176" s="34"/>
      <c r="CG176" s="34"/>
      <c r="CH176" s="34"/>
      <c r="CI176" s="34"/>
      <c r="CJ176" s="34"/>
      <c r="CK176" s="34"/>
      <c r="CL176" s="34"/>
      <c r="CM176" s="34"/>
      <c r="CN176" s="34"/>
      <c r="CO176" s="34"/>
      <c r="CP176" s="34"/>
      <c r="CQ176" s="34"/>
      <c r="CR176" s="34"/>
      <c r="CS176" s="34"/>
      <c r="CT176" s="34"/>
      <c r="CU176" s="34"/>
      <c r="CV176" s="34"/>
      <c r="CW176" s="34"/>
      <c r="CX176" s="34"/>
      <c r="CY176" s="34"/>
      <c r="CZ176" s="34"/>
      <c r="DA176" s="34"/>
      <c r="DB176" s="34"/>
      <c r="DC176" s="34"/>
      <c r="DD176" s="34"/>
      <c r="DE176" s="34"/>
      <c r="DF176" s="34"/>
      <c r="DG176" s="34"/>
      <c r="DH176" s="34"/>
      <c r="DI176" s="34"/>
      <c r="DJ176" s="34"/>
      <c r="DK176" s="34"/>
      <c r="DL176" s="34"/>
      <c r="DM176" s="34"/>
      <c r="DN176" s="34"/>
      <c r="DO176" s="34"/>
      <c r="DP176" s="34"/>
      <c r="DQ176" s="34"/>
      <c r="DR176" s="34"/>
      <c r="DS176" s="34"/>
      <c r="DT176" s="34"/>
      <c r="DU176" s="34"/>
      <c r="DV176" s="34"/>
      <c r="DW176" s="34"/>
      <c r="DX176" s="34"/>
      <c r="DY176" s="34"/>
      <c r="DZ176" s="34"/>
      <c r="EA176" s="34"/>
      <c r="EB176" s="34"/>
      <c r="EC176" s="34"/>
      <c r="ED176" s="34"/>
      <c r="EE176" s="34"/>
      <c r="EF176" s="34"/>
      <c r="EG176" s="34"/>
      <c r="EH176" s="34"/>
      <c r="EI176" s="34"/>
      <c r="EJ176" s="34"/>
      <c r="EK176" s="34"/>
      <c r="EL176" s="34"/>
      <c r="EM176" s="34"/>
      <c r="EN176" s="34"/>
      <c r="EO176" s="34"/>
      <c r="EP176" s="34"/>
      <c r="EQ176" s="34"/>
      <c r="ER176" s="34"/>
      <c r="ES176" s="34"/>
      <c r="ET176" s="34"/>
      <c r="EU176" s="34"/>
      <c r="EV176" s="34"/>
      <c r="EW176" s="34"/>
      <c r="EX176" s="34"/>
      <c r="EY176" s="34"/>
      <c r="EZ176" s="34"/>
      <c r="FA176" s="34"/>
      <c r="FB176" s="34"/>
      <c r="FC176" s="34"/>
      <c r="FD176" s="34"/>
      <c r="FE176" s="34"/>
      <c r="FF176" s="34"/>
      <c r="FG176" s="34"/>
      <c r="FH176" s="34"/>
      <c r="FI176" s="34"/>
      <c r="FJ176" s="34"/>
      <c r="FK176" s="34"/>
      <c r="FL176" s="34"/>
      <c r="FM176" s="34"/>
      <c r="FN176" s="34"/>
      <c r="FO176" s="34"/>
      <c r="FP176" s="34"/>
      <c r="FQ176" s="34"/>
      <c r="FR176" s="34"/>
      <c r="FS176" s="34"/>
      <c r="FT176" s="34"/>
      <c r="FU176" s="34"/>
      <c r="FV176" s="34"/>
      <c r="FW176" s="34"/>
      <c r="FX176" s="34"/>
      <c r="FY176" s="34"/>
      <c r="FZ176" s="34"/>
      <c r="GA176" s="34"/>
      <c r="GB176" s="34"/>
      <c r="GC176" s="34"/>
      <c r="GD176" s="34"/>
      <c r="GE176" s="34"/>
      <c r="GF176" s="34"/>
      <c r="GG176" s="34"/>
      <c r="GH176" s="34"/>
      <c r="GI176" s="34"/>
      <c r="GJ176" s="34"/>
      <c r="GK176" s="34"/>
      <c r="GL176" s="34"/>
      <c r="GM176" s="34"/>
      <c r="GN176" s="34"/>
      <c r="GO176" s="34"/>
      <c r="GP176" s="34"/>
      <c r="GQ176" s="34"/>
      <c r="GR176" s="34"/>
      <c r="GS176" s="34"/>
      <c r="GT176" s="34"/>
      <c r="GU176" s="34"/>
      <c r="GV176" s="34"/>
      <c r="GW176" s="34"/>
      <c r="GX176" s="34"/>
      <c r="GY176" s="34"/>
      <c r="GZ176" s="34"/>
      <c r="HA176" s="34"/>
      <c r="HB176" s="34"/>
      <c r="HC176" s="34"/>
      <c r="HD176" s="34"/>
      <c r="HE176" s="34"/>
      <c r="HF176" s="34"/>
      <c r="HG176" s="34"/>
      <c r="HH176" s="34"/>
      <c r="HI176" s="34"/>
      <c r="HJ176" s="34"/>
      <c r="HK176" s="34"/>
      <c r="HL176" s="34"/>
      <c r="HM176" s="34"/>
      <c r="HN176" s="34"/>
      <c r="HO176" s="34"/>
      <c r="HP176" s="34"/>
    </row>
    <row r="177" spans="3:224" ht="20.100000000000001" customHeight="1">
      <c r="C177" s="11">
        <v>15206001</v>
      </c>
      <c r="D177" s="14" t="s">
        <v>219</v>
      </c>
      <c r="E177" s="14">
        <v>1140002</v>
      </c>
      <c r="F177" s="14">
        <v>0</v>
      </c>
      <c r="G177" s="14">
        <v>1</v>
      </c>
      <c r="H177" s="14">
        <v>30</v>
      </c>
      <c r="I177" s="22">
        <v>0.2</v>
      </c>
      <c r="J177" s="23">
        <v>10</v>
      </c>
      <c r="K177" s="14">
        <v>0</v>
      </c>
      <c r="L177" s="14">
        <v>0</v>
      </c>
      <c r="M177" s="14">
        <f t="shared" si="13"/>
        <v>45</v>
      </c>
      <c r="N177" s="14">
        <v>90</v>
      </c>
      <c r="O177" s="14">
        <v>0</v>
      </c>
      <c r="P177" s="14">
        <v>0</v>
      </c>
      <c r="Q177" s="14">
        <f t="shared" si="14"/>
        <v>13</v>
      </c>
      <c r="R177" s="14">
        <v>25</v>
      </c>
      <c r="S177" s="14">
        <f t="shared" si="15"/>
        <v>0</v>
      </c>
      <c r="T177" s="14">
        <v>0</v>
      </c>
      <c r="U177" s="22">
        <v>0</v>
      </c>
      <c r="V177" s="14">
        <v>0</v>
      </c>
      <c r="W177" s="14">
        <v>0</v>
      </c>
      <c r="X177" s="14">
        <v>0</v>
      </c>
      <c r="Y177" s="22">
        <v>0</v>
      </c>
      <c r="Z177" s="22">
        <v>0</v>
      </c>
      <c r="AA177" s="22">
        <v>0</v>
      </c>
      <c r="AB177" s="22">
        <v>0</v>
      </c>
      <c r="AC177" s="22">
        <v>0</v>
      </c>
      <c r="AD177" s="22">
        <v>0</v>
      </c>
      <c r="AE177" s="22"/>
      <c r="GR177" s="6"/>
      <c r="GS177" s="6"/>
      <c r="GT177" s="6"/>
      <c r="GU177" s="6"/>
      <c r="GV177" s="6"/>
      <c r="GW177" s="6"/>
      <c r="GX177" s="6"/>
      <c r="GY177" s="6"/>
      <c r="GZ177" s="6"/>
      <c r="HA177" s="6"/>
      <c r="HB177" s="6"/>
      <c r="HC177" s="6"/>
      <c r="HD177" s="6"/>
      <c r="HE177" s="6"/>
      <c r="HF177" s="6"/>
      <c r="HG177" s="6"/>
      <c r="HH177" s="6"/>
      <c r="HI177" s="6"/>
      <c r="HJ177" s="6"/>
      <c r="HK177" s="6"/>
      <c r="HL177" s="6"/>
      <c r="HM177" s="6"/>
      <c r="HN177" s="6"/>
      <c r="HO177" s="6"/>
      <c r="HP177" s="6"/>
    </row>
    <row r="178" spans="3:224" ht="20.100000000000001" customHeight="1">
      <c r="C178" s="11">
        <v>15206002</v>
      </c>
      <c r="D178" s="14" t="s">
        <v>220</v>
      </c>
      <c r="E178" s="14">
        <v>1140002</v>
      </c>
      <c r="F178" s="14">
        <v>0</v>
      </c>
      <c r="G178" s="14">
        <v>1</v>
      </c>
      <c r="H178" s="14">
        <v>30</v>
      </c>
      <c r="I178" s="22">
        <v>0.2</v>
      </c>
      <c r="J178" s="23">
        <v>10</v>
      </c>
      <c r="K178" s="14">
        <v>0</v>
      </c>
      <c r="L178" s="14">
        <v>0</v>
      </c>
      <c r="M178" s="14">
        <f t="shared" si="13"/>
        <v>55</v>
      </c>
      <c r="N178" s="14">
        <v>110</v>
      </c>
      <c r="O178" s="14">
        <v>0</v>
      </c>
      <c r="P178" s="14">
        <v>0</v>
      </c>
      <c r="Q178" s="14">
        <f t="shared" si="14"/>
        <v>17</v>
      </c>
      <c r="R178" s="14">
        <v>34</v>
      </c>
      <c r="S178" s="14">
        <f t="shared" si="15"/>
        <v>0</v>
      </c>
      <c r="T178" s="14">
        <v>0</v>
      </c>
      <c r="U178" s="22">
        <v>0</v>
      </c>
      <c r="V178" s="14">
        <v>0</v>
      </c>
      <c r="W178" s="14">
        <v>0</v>
      </c>
      <c r="X178" s="14">
        <v>0</v>
      </c>
      <c r="Y178" s="22">
        <v>0</v>
      </c>
      <c r="Z178" s="22">
        <v>0</v>
      </c>
      <c r="AA178" s="22">
        <v>0</v>
      </c>
      <c r="AB178" s="22">
        <v>0</v>
      </c>
      <c r="AC178" s="22">
        <v>0</v>
      </c>
      <c r="AD178" s="22">
        <v>0</v>
      </c>
      <c r="AE178" s="22"/>
      <c r="GR178" s="6"/>
      <c r="GS178" s="6"/>
      <c r="GT178" s="6"/>
      <c r="GU178" s="6"/>
      <c r="GV178" s="6"/>
      <c r="GW178" s="6"/>
      <c r="GX178" s="6"/>
      <c r="GY178" s="6"/>
      <c r="GZ178" s="6"/>
      <c r="HA178" s="6"/>
      <c r="HB178" s="6"/>
      <c r="HC178" s="6"/>
      <c r="HD178" s="6"/>
      <c r="HE178" s="6"/>
      <c r="HF178" s="6"/>
      <c r="HG178" s="6"/>
      <c r="HH178" s="6"/>
      <c r="HI178" s="6"/>
      <c r="HJ178" s="6"/>
      <c r="HK178" s="6"/>
      <c r="HL178" s="6"/>
      <c r="HM178" s="6"/>
      <c r="HN178" s="6"/>
      <c r="HO178" s="6"/>
      <c r="HP178" s="6"/>
    </row>
    <row r="179" spans="3:224" ht="20.100000000000001" customHeight="1">
      <c r="C179" s="11">
        <v>15206003</v>
      </c>
      <c r="D179" s="37" t="s">
        <v>221</v>
      </c>
      <c r="E179" s="14">
        <v>1140002</v>
      </c>
      <c r="F179" s="14">
        <v>12051</v>
      </c>
      <c r="G179" s="14">
        <v>1</v>
      </c>
      <c r="H179" s="14">
        <v>30</v>
      </c>
      <c r="I179" s="22">
        <v>0.2</v>
      </c>
      <c r="J179" s="23">
        <v>10</v>
      </c>
      <c r="K179" s="14">
        <v>0</v>
      </c>
      <c r="L179" s="14">
        <v>0</v>
      </c>
      <c r="M179" s="14">
        <f t="shared" ref="M179" si="30">ROUND(N179/2,0)</f>
        <v>75</v>
      </c>
      <c r="N179" s="14">
        <v>150</v>
      </c>
      <c r="O179" s="14">
        <v>0</v>
      </c>
      <c r="P179" s="14">
        <v>0</v>
      </c>
      <c r="Q179" s="14">
        <f t="shared" ref="Q179" si="31">ROUND(R179/2,0)</f>
        <v>23</v>
      </c>
      <c r="R179" s="14">
        <v>45</v>
      </c>
      <c r="S179" s="14">
        <f t="shared" ref="S179" si="32">ROUND(T179/2,0)</f>
        <v>0</v>
      </c>
      <c r="T179" s="14">
        <v>0</v>
      </c>
      <c r="U179" s="22">
        <v>0</v>
      </c>
      <c r="V179" s="14">
        <v>0</v>
      </c>
      <c r="W179" s="14">
        <v>0</v>
      </c>
      <c r="X179" s="14">
        <v>0</v>
      </c>
      <c r="Y179" s="22">
        <v>0</v>
      </c>
      <c r="Z179" s="22">
        <v>0</v>
      </c>
      <c r="AA179" s="22">
        <v>0</v>
      </c>
      <c r="AB179" s="22">
        <v>100403</v>
      </c>
      <c r="AC179" s="22">
        <v>100</v>
      </c>
      <c r="AD179" s="22">
        <v>1</v>
      </c>
      <c r="AE179" s="22"/>
      <c r="GR179" s="6"/>
      <c r="GS179" s="6"/>
      <c r="GT179" s="6"/>
      <c r="GU179" s="6"/>
      <c r="GV179" s="6"/>
      <c r="GW179" s="6"/>
      <c r="GX179" s="6"/>
      <c r="GY179" s="6"/>
      <c r="GZ179" s="6"/>
      <c r="HA179" s="6"/>
      <c r="HB179" s="6"/>
      <c r="HC179" s="6"/>
      <c r="HD179" s="6"/>
      <c r="HE179" s="6"/>
      <c r="HF179" s="6"/>
      <c r="HG179" s="6"/>
      <c r="HH179" s="6"/>
      <c r="HI179" s="6"/>
      <c r="HJ179" s="6"/>
      <c r="HK179" s="6"/>
      <c r="HL179" s="6"/>
      <c r="HM179" s="6"/>
      <c r="HN179" s="6"/>
      <c r="HO179" s="6"/>
      <c r="HP179" s="6"/>
    </row>
    <row r="180" spans="3:224" ht="20.100000000000001" customHeight="1">
      <c r="C180" s="11">
        <v>15207001</v>
      </c>
      <c r="D180" s="14" t="s">
        <v>222</v>
      </c>
      <c r="E180" s="14">
        <v>1140002</v>
      </c>
      <c r="F180" s="14">
        <v>0</v>
      </c>
      <c r="G180" s="14">
        <v>1</v>
      </c>
      <c r="H180" s="14">
        <v>30</v>
      </c>
      <c r="I180" s="22">
        <v>0.2</v>
      </c>
      <c r="J180" s="23">
        <v>10</v>
      </c>
      <c r="K180" s="14">
        <v>0</v>
      </c>
      <c r="L180" s="14">
        <v>0</v>
      </c>
      <c r="M180" s="14">
        <f t="shared" si="13"/>
        <v>45</v>
      </c>
      <c r="N180" s="14">
        <v>90</v>
      </c>
      <c r="O180" s="14">
        <v>0</v>
      </c>
      <c r="P180" s="14">
        <v>0</v>
      </c>
      <c r="Q180" s="14">
        <f t="shared" si="14"/>
        <v>0</v>
      </c>
      <c r="R180" s="14">
        <v>0</v>
      </c>
      <c r="S180" s="14">
        <f t="shared" si="15"/>
        <v>13</v>
      </c>
      <c r="T180" s="14">
        <v>25</v>
      </c>
      <c r="U180" s="22">
        <v>0</v>
      </c>
      <c r="V180" s="14">
        <v>0</v>
      </c>
      <c r="W180" s="14">
        <v>0</v>
      </c>
      <c r="X180" s="14">
        <v>0</v>
      </c>
      <c r="Y180" s="22">
        <v>0</v>
      </c>
      <c r="Z180" s="22">
        <v>0</v>
      </c>
      <c r="AA180" s="22">
        <v>0</v>
      </c>
      <c r="AB180" s="22">
        <v>0</v>
      </c>
      <c r="AC180" s="22">
        <v>0</v>
      </c>
      <c r="AD180" s="22">
        <v>0</v>
      </c>
      <c r="AE180" s="22"/>
      <c r="GR180" s="6"/>
      <c r="GS180" s="6"/>
      <c r="GT180" s="6"/>
      <c r="GU180" s="6"/>
      <c r="GV180" s="6"/>
      <c r="GW180" s="6"/>
      <c r="GX180" s="6"/>
      <c r="GY180" s="6"/>
      <c r="GZ180" s="6"/>
      <c r="HA180" s="6"/>
      <c r="HB180" s="6"/>
      <c r="HC180" s="6"/>
      <c r="HD180" s="6"/>
      <c r="HE180" s="6"/>
      <c r="HF180" s="6"/>
      <c r="HG180" s="6"/>
      <c r="HH180" s="6"/>
      <c r="HI180" s="6"/>
      <c r="HJ180" s="6"/>
      <c r="HK180" s="6"/>
      <c r="HL180" s="6"/>
      <c r="HM180" s="6"/>
      <c r="HN180" s="6"/>
      <c r="HO180" s="6"/>
      <c r="HP180" s="6"/>
    </row>
    <row r="181" spans="3:224" ht="20.100000000000001" customHeight="1">
      <c r="C181" s="11">
        <v>15207002</v>
      </c>
      <c r="D181" s="14" t="s">
        <v>223</v>
      </c>
      <c r="E181" s="14">
        <v>1140002</v>
      </c>
      <c r="F181" s="14">
        <v>0</v>
      </c>
      <c r="G181" s="14">
        <v>1</v>
      </c>
      <c r="H181" s="14">
        <v>30</v>
      </c>
      <c r="I181" s="22">
        <v>0.2</v>
      </c>
      <c r="J181" s="23">
        <v>10</v>
      </c>
      <c r="K181" s="14">
        <v>0</v>
      </c>
      <c r="L181" s="14">
        <v>0</v>
      </c>
      <c r="M181" s="14">
        <f t="shared" si="13"/>
        <v>55</v>
      </c>
      <c r="N181" s="14">
        <v>110</v>
      </c>
      <c r="O181" s="14">
        <v>0</v>
      </c>
      <c r="P181" s="14">
        <v>0</v>
      </c>
      <c r="Q181" s="14">
        <f t="shared" si="14"/>
        <v>0</v>
      </c>
      <c r="R181" s="14">
        <v>0</v>
      </c>
      <c r="S181" s="14">
        <f t="shared" si="15"/>
        <v>17</v>
      </c>
      <c r="T181" s="14">
        <v>34</v>
      </c>
      <c r="U181" s="22">
        <v>0</v>
      </c>
      <c r="V181" s="14">
        <v>0</v>
      </c>
      <c r="W181" s="14">
        <v>0</v>
      </c>
      <c r="X181" s="14">
        <v>0</v>
      </c>
      <c r="Y181" s="22">
        <v>0</v>
      </c>
      <c r="Z181" s="22">
        <v>0</v>
      </c>
      <c r="AA181" s="22">
        <v>0</v>
      </c>
      <c r="AB181" s="22">
        <v>0</v>
      </c>
      <c r="AC181" s="22">
        <v>0</v>
      </c>
      <c r="AD181" s="22">
        <v>0</v>
      </c>
      <c r="AE181" s="22"/>
      <c r="GR181" s="6"/>
      <c r="GS181" s="6"/>
      <c r="GT181" s="6"/>
      <c r="GU181" s="6"/>
      <c r="GV181" s="6"/>
      <c r="GW181" s="6"/>
      <c r="GX181" s="6"/>
      <c r="GY181" s="6"/>
      <c r="GZ181" s="6"/>
      <c r="HA181" s="6"/>
      <c r="HB181" s="6"/>
      <c r="HC181" s="6"/>
      <c r="HD181" s="6"/>
      <c r="HE181" s="6"/>
      <c r="HF181" s="6"/>
      <c r="HG181" s="6"/>
      <c r="HH181" s="6"/>
      <c r="HI181" s="6"/>
      <c r="HJ181" s="6"/>
      <c r="HK181" s="6"/>
      <c r="HL181" s="6"/>
      <c r="HM181" s="6"/>
      <c r="HN181" s="6"/>
      <c r="HO181" s="6"/>
      <c r="HP181" s="6"/>
    </row>
    <row r="182" spans="3:224" s="4" customFormat="1" ht="20.100000000000001" customHeight="1">
      <c r="C182" s="17">
        <v>15207003</v>
      </c>
      <c r="D182" s="19" t="s">
        <v>224</v>
      </c>
      <c r="E182" s="19">
        <v>1140002</v>
      </c>
      <c r="F182" s="19">
        <v>0</v>
      </c>
      <c r="G182" s="19">
        <v>1</v>
      </c>
      <c r="H182" s="19">
        <v>30</v>
      </c>
      <c r="I182" s="26">
        <v>0.2</v>
      </c>
      <c r="J182" s="23">
        <v>10</v>
      </c>
      <c r="K182" s="19">
        <v>0</v>
      </c>
      <c r="L182" s="19">
        <v>0</v>
      </c>
      <c r="M182" s="19">
        <f t="shared" ref="M182" si="33">ROUND(N182/2,0)</f>
        <v>65</v>
      </c>
      <c r="N182" s="19">
        <v>130</v>
      </c>
      <c r="O182" s="19">
        <v>0</v>
      </c>
      <c r="P182" s="19">
        <v>0</v>
      </c>
      <c r="Q182" s="19">
        <f t="shared" ref="Q182" si="34">ROUND(R182/2,0)</f>
        <v>0</v>
      </c>
      <c r="R182" s="19">
        <v>0</v>
      </c>
      <c r="S182" s="19">
        <f t="shared" ref="S182" si="35">ROUND(T182/2,0)</f>
        <v>23</v>
      </c>
      <c r="T182" s="19">
        <v>46</v>
      </c>
      <c r="U182" s="26">
        <v>0</v>
      </c>
      <c r="V182" s="19">
        <v>0</v>
      </c>
      <c r="W182" s="19">
        <v>0</v>
      </c>
      <c r="X182" s="19">
        <v>0</v>
      </c>
      <c r="Y182" s="26">
        <v>0</v>
      </c>
      <c r="Z182" s="26">
        <v>0</v>
      </c>
      <c r="AA182" s="26">
        <v>0</v>
      </c>
      <c r="AB182" s="26">
        <v>100902</v>
      </c>
      <c r="AC182" s="26">
        <v>300</v>
      </c>
      <c r="AD182" s="26">
        <v>1</v>
      </c>
      <c r="AE182" s="26"/>
      <c r="AF182" s="34"/>
      <c r="AG182" s="34"/>
      <c r="AH182" s="34"/>
      <c r="AI182" s="34"/>
      <c r="AJ182" s="34"/>
      <c r="AK182" s="34"/>
      <c r="AL182" s="34"/>
      <c r="AM182" s="34"/>
      <c r="AN182" s="34"/>
      <c r="AO182" s="34"/>
      <c r="AP182" s="34"/>
      <c r="AQ182" s="34"/>
      <c r="AR182" s="34"/>
      <c r="AS182" s="34"/>
      <c r="AT182" s="34"/>
      <c r="AU182" s="34"/>
      <c r="AV182" s="34"/>
      <c r="AW182" s="34"/>
      <c r="AX182" s="34"/>
      <c r="AY182" s="34"/>
      <c r="AZ182" s="34"/>
      <c r="BA182" s="34"/>
      <c r="BB182" s="34"/>
      <c r="BC182" s="34"/>
      <c r="BD182" s="34"/>
      <c r="BE182" s="34"/>
      <c r="BF182" s="34"/>
      <c r="BG182" s="34"/>
      <c r="BH182" s="34"/>
      <c r="BI182" s="34"/>
      <c r="BJ182" s="34"/>
      <c r="BK182" s="34"/>
      <c r="BL182" s="34"/>
      <c r="BM182" s="34"/>
      <c r="BN182" s="34"/>
      <c r="BO182" s="34"/>
      <c r="BP182" s="34"/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  <c r="CE182" s="34"/>
      <c r="CF182" s="34"/>
      <c r="CG182" s="34"/>
      <c r="CH182" s="34"/>
      <c r="CI182" s="34"/>
      <c r="CJ182" s="34"/>
      <c r="CK182" s="34"/>
      <c r="CL182" s="34"/>
      <c r="CM182" s="34"/>
      <c r="CN182" s="34"/>
      <c r="CO182" s="34"/>
      <c r="CP182" s="34"/>
      <c r="CQ182" s="34"/>
      <c r="CR182" s="34"/>
      <c r="CS182" s="34"/>
      <c r="CT182" s="34"/>
      <c r="CU182" s="34"/>
      <c r="CV182" s="34"/>
      <c r="CW182" s="34"/>
      <c r="CX182" s="34"/>
      <c r="CY182" s="34"/>
      <c r="CZ182" s="34"/>
      <c r="DA182" s="34"/>
      <c r="DB182" s="34"/>
      <c r="DC182" s="34"/>
      <c r="DD182" s="34"/>
      <c r="DE182" s="34"/>
      <c r="DF182" s="34"/>
      <c r="DG182" s="34"/>
      <c r="DH182" s="34"/>
      <c r="DI182" s="34"/>
      <c r="DJ182" s="34"/>
      <c r="DK182" s="34"/>
      <c r="DL182" s="34"/>
      <c r="DM182" s="34"/>
      <c r="DN182" s="34"/>
      <c r="DO182" s="34"/>
      <c r="DP182" s="34"/>
      <c r="DQ182" s="34"/>
      <c r="DR182" s="34"/>
      <c r="DS182" s="34"/>
      <c r="DT182" s="34"/>
      <c r="DU182" s="34"/>
      <c r="DV182" s="34"/>
      <c r="DW182" s="34"/>
      <c r="DX182" s="34"/>
      <c r="DY182" s="34"/>
      <c r="DZ182" s="34"/>
      <c r="EA182" s="34"/>
      <c r="EB182" s="34"/>
      <c r="EC182" s="34"/>
      <c r="ED182" s="34"/>
      <c r="EE182" s="34"/>
      <c r="EF182" s="34"/>
      <c r="EG182" s="34"/>
      <c r="EH182" s="34"/>
      <c r="EI182" s="34"/>
      <c r="EJ182" s="34"/>
      <c r="EK182" s="34"/>
      <c r="EL182" s="34"/>
      <c r="EM182" s="34"/>
      <c r="EN182" s="34"/>
      <c r="EO182" s="34"/>
      <c r="EP182" s="34"/>
      <c r="EQ182" s="34"/>
      <c r="ER182" s="34"/>
      <c r="ES182" s="34"/>
      <c r="ET182" s="34"/>
      <c r="EU182" s="34"/>
      <c r="EV182" s="34"/>
      <c r="EW182" s="34"/>
      <c r="EX182" s="34"/>
      <c r="EY182" s="34"/>
      <c r="EZ182" s="34"/>
      <c r="FA182" s="34"/>
      <c r="FB182" s="34"/>
      <c r="FC182" s="34"/>
      <c r="FD182" s="34"/>
      <c r="FE182" s="34"/>
      <c r="FF182" s="34"/>
      <c r="FG182" s="34"/>
      <c r="FH182" s="34"/>
      <c r="FI182" s="34"/>
      <c r="FJ182" s="34"/>
      <c r="FK182" s="34"/>
      <c r="FL182" s="34"/>
      <c r="FM182" s="34"/>
      <c r="FN182" s="34"/>
      <c r="FO182" s="34"/>
      <c r="FP182" s="34"/>
      <c r="FQ182" s="34"/>
      <c r="FR182" s="34"/>
      <c r="FS182" s="34"/>
      <c r="FT182" s="34"/>
      <c r="FU182" s="34"/>
      <c r="FV182" s="34"/>
      <c r="FW182" s="34"/>
      <c r="FX182" s="34"/>
      <c r="FY182" s="34"/>
      <c r="FZ182" s="34"/>
      <c r="GA182" s="34"/>
      <c r="GB182" s="34"/>
      <c r="GC182" s="34"/>
      <c r="GD182" s="34"/>
      <c r="GE182" s="34"/>
      <c r="GF182" s="34"/>
      <c r="GG182" s="34"/>
      <c r="GH182" s="34"/>
      <c r="GI182" s="34"/>
      <c r="GJ182" s="34"/>
      <c r="GK182" s="34"/>
      <c r="GL182" s="34"/>
      <c r="GM182" s="34"/>
      <c r="GN182" s="34"/>
      <c r="GO182" s="34"/>
      <c r="GP182" s="34"/>
      <c r="GQ182" s="34"/>
      <c r="GR182" s="34"/>
      <c r="GS182" s="34"/>
      <c r="GT182" s="34"/>
      <c r="GU182" s="34"/>
      <c r="GV182" s="34"/>
      <c r="GW182" s="34"/>
      <c r="GX182" s="34"/>
      <c r="GY182" s="34"/>
      <c r="GZ182" s="34"/>
      <c r="HA182" s="34"/>
      <c r="HB182" s="34"/>
      <c r="HC182" s="34"/>
      <c r="HD182" s="34"/>
      <c r="HE182" s="34"/>
      <c r="HF182" s="34"/>
      <c r="HG182" s="34"/>
      <c r="HH182" s="34"/>
      <c r="HI182" s="34"/>
      <c r="HJ182" s="34"/>
      <c r="HK182" s="34"/>
      <c r="HL182" s="34"/>
      <c r="HM182" s="34"/>
      <c r="HN182" s="34"/>
      <c r="HO182" s="34"/>
      <c r="HP182" s="34"/>
    </row>
    <row r="183" spans="3:224" ht="20.100000000000001" customHeight="1">
      <c r="C183" s="11">
        <v>15208001</v>
      </c>
      <c r="D183" s="14" t="s">
        <v>151</v>
      </c>
      <c r="E183" s="14">
        <v>1140002</v>
      </c>
      <c r="F183" s="14">
        <v>0</v>
      </c>
      <c r="G183" s="14">
        <v>1</v>
      </c>
      <c r="H183" s="14">
        <v>30</v>
      </c>
      <c r="I183" s="22">
        <v>0.2</v>
      </c>
      <c r="J183" s="23">
        <v>10</v>
      </c>
      <c r="K183" s="14">
        <v>0</v>
      </c>
      <c r="L183" s="14">
        <v>0</v>
      </c>
      <c r="M183" s="14">
        <f t="shared" si="13"/>
        <v>10</v>
      </c>
      <c r="N183" s="14">
        <v>20</v>
      </c>
      <c r="O183" s="14">
        <v>0</v>
      </c>
      <c r="P183" s="14">
        <v>0</v>
      </c>
      <c r="Q183" s="14">
        <f t="shared" si="14"/>
        <v>0</v>
      </c>
      <c r="R183" s="14">
        <v>0</v>
      </c>
      <c r="S183" s="14">
        <f t="shared" si="15"/>
        <v>0</v>
      </c>
      <c r="T183" s="14">
        <v>0</v>
      </c>
      <c r="U183" s="22">
        <v>0</v>
      </c>
      <c r="V183" s="14">
        <v>0</v>
      </c>
      <c r="W183" s="14">
        <v>0</v>
      </c>
      <c r="X183" s="14">
        <v>0</v>
      </c>
      <c r="Y183" s="22">
        <v>0</v>
      </c>
      <c r="Z183" s="22">
        <v>0</v>
      </c>
      <c r="AA183" s="22">
        <v>0</v>
      </c>
      <c r="AB183" s="22">
        <v>0</v>
      </c>
      <c r="AC183" s="22">
        <v>0</v>
      </c>
      <c r="AD183" s="22">
        <v>0</v>
      </c>
      <c r="AE183" s="22"/>
      <c r="GR183" s="6"/>
      <c r="GS183" s="6"/>
      <c r="GT183" s="6"/>
      <c r="GU183" s="6"/>
      <c r="GV183" s="6"/>
      <c r="GW183" s="6"/>
      <c r="GX183" s="6"/>
      <c r="GY183" s="6"/>
      <c r="GZ183" s="6"/>
      <c r="HA183" s="6"/>
      <c r="HB183" s="6"/>
      <c r="HC183" s="6"/>
      <c r="HD183" s="6"/>
      <c r="HE183" s="6"/>
      <c r="HF183" s="6"/>
      <c r="HG183" s="6"/>
      <c r="HH183" s="6"/>
      <c r="HI183" s="6"/>
      <c r="HJ183" s="6"/>
      <c r="HK183" s="6"/>
      <c r="HL183" s="6"/>
      <c r="HM183" s="6"/>
      <c r="HN183" s="6"/>
      <c r="HO183" s="6"/>
      <c r="HP183" s="6"/>
    </row>
    <row r="184" spans="3:224" ht="20.100000000000001" customHeight="1">
      <c r="C184" s="11">
        <v>15208002</v>
      </c>
      <c r="D184" s="14" t="s">
        <v>225</v>
      </c>
      <c r="E184" s="14">
        <v>1140002</v>
      </c>
      <c r="F184" s="14">
        <v>0</v>
      </c>
      <c r="G184" s="14">
        <v>1</v>
      </c>
      <c r="H184" s="14">
        <v>30</v>
      </c>
      <c r="I184" s="22">
        <v>0.2</v>
      </c>
      <c r="J184" s="23">
        <v>10</v>
      </c>
      <c r="K184" s="14">
        <v>0</v>
      </c>
      <c r="L184" s="14">
        <v>0</v>
      </c>
      <c r="M184" s="14">
        <f t="shared" ref="M184:M273" si="36">ROUND(N184/2,0)</f>
        <v>13</v>
      </c>
      <c r="N184" s="14">
        <v>25</v>
      </c>
      <c r="O184" s="14">
        <v>0</v>
      </c>
      <c r="P184" s="14">
        <v>0</v>
      </c>
      <c r="Q184" s="14">
        <f t="shared" ref="Q184:Q273" si="37">ROUND(R184/2,0)</f>
        <v>0</v>
      </c>
      <c r="R184" s="14">
        <v>0</v>
      </c>
      <c r="S184" s="14">
        <f t="shared" ref="S184:S273" si="38">ROUND(T184/2,0)</f>
        <v>0</v>
      </c>
      <c r="T184" s="14">
        <v>0</v>
      </c>
      <c r="U184" s="22">
        <v>0</v>
      </c>
      <c r="V184" s="14">
        <v>0</v>
      </c>
      <c r="W184" s="14">
        <v>0</v>
      </c>
      <c r="X184" s="14">
        <v>0</v>
      </c>
      <c r="Y184" s="22">
        <v>0</v>
      </c>
      <c r="Z184" s="22">
        <v>0</v>
      </c>
      <c r="AA184" s="22">
        <v>0</v>
      </c>
      <c r="AB184" s="22">
        <v>0</v>
      </c>
      <c r="AC184" s="22">
        <v>0</v>
      </c>
      <c r="AD184" s="22">
        <v>0</v>
      </c>
      <c r="AE184" s="22"/>
      <c r="GR184" s="6"/>
      <c r="GS184" s="6"/>
      <c r="GT184" s="6"/>
      <c r="GU184" s="6"/>
      <c r="GV184" s="6"/>
      <c r="GW184" s="6"/>
      <c r="GX184" s="6"/>
      <c r="GY184" s="6"/>
      <c r="GZ184" s="6"/>
      <c r="HA184" s="6"/>
      <c r="HB184" s="6"/>
      <c r="HC184" s="6"/>
      <c r="HD184" s="6"/>
      <c r="HE184" s="6"/>
      <c r="HF184" s="6"/>
      <c r="HG184" s="6"/>
      <c r="HH184" s="6"/>
      <c r="HI184" s="6"/>
      <c r="HJ184" s="6"/>
      <c r="HK184" s="6"/>
      <c r="HL184" s="6"/>
      <c r="HM184" s="6"/>
      <c r="HN184" s="6"/>
      <c r="HO184" s="6"/>
      <c r="HP184" s="6"/>
    </row>
    <row r="185" spans="3:224" s="4" customFormat="1" ht="20.100000000000001" customHeight="1">
      <c r="C185" s="17">
        <v>15208003</v>
      </c>
      <c r="D185" s="42" t="s">
        <v>226</v>
      </c>
      <c r="E185" s="19">
        <v>1140002</v>
      </c>
      <c r="F185" s="19">
        <v>0</v>
      </c>
      <c r="G185" s="19">
        <v>1</v>
      </c>
      <c r="H185" s="19">
        <v>30</v>
      </c>
      <c r="I185" s="26">
        <v>0.2</v>
      </c>
      <c r="J185" s="23">
        <v>10</v>
      </c>
      <c r="K185" s="19">
        <v>0</v>
      </c>
      <c r="L185" s="19">
        <v>0</v>
      </c>
      <c r="M185" s="19">
        <f t="shared" ref="M185" si="39">ROUND(N185/2,0)</f>
        <v>15</v>
      </c>
      <c r="N185" s="19">
        <v>30</v>
      </c>
      <c r="O185" s="19">
        <v>0</v>
      </c>
      <c r="P185" s="19">
        <v>0</v>
      </c>
      <c r="Q185" s="19">
        <f t="shared" ref="Q185" si="40">ROUND(R185/2,0)</f>
        <v>0</v>
      </c>
      <c r="R185" s="19">
        <v>0</v>
      </c>
      <c r="S185" s="19">
        <f t="shared" ref="S185" si="41">ROUND(T185/2,0)</f>
        <v>0</v>
      </c>
      <c r="T185" s="19">
        <v>0</v>
      </c>
      <c r="U185" s="26">
        <v>0</v>
      </c>
      <c r="V185" s="19">
        <v>0</v>
      </c>
      <c r="W185" s="19">
        <v>0</v>
      </c>
      <c r="X185" s="19">
        <v>0</v>
      </c>
      <c r="Y185" s="26">
        <v>0</v>
      </c>
      <c r="Z185" s="26">
        <v>0</v>
      </c>
      <c r="AA185" s="26">
        <v>0</v>
      </c>
      <c r="AB185" s="26">
        <v>0</v>
      </c>
      <c r="AC185" s="26">
        <v>0</v>
      </c>
      <c r="AD185" s="26">
        <v>0</v>
      </c>
      <c r="AE185" s="26"/>
      <c r="AF185" s="34"/>
      <c r="AG185" s="34"/>
      <c r="AH185" s="34"/>
      <c r="AI185" s="34"/>
      <c r="AJ185" s="34"/>
      <c r="AK185" s="34"/>
      <c r="AL185" s="34"/>
      <c r="AM185" s="34"/>
      <c r="AN185" s="34"/>
      <c r="AO185" s="34"/>
      <c r="AP185" s="34"/>
      <c r="AQ185" s="34"/>
      <c r="AR185" s="34"/>
      <c r="AS185" s="34"/>
      <c r="AT185" s="34"/>
      <c r="AU185" s="34"/>
      <c r="AV185" s="34"/>
      <c r="AW185" s="34"/>
      <c r="AX185" s="34"/>
      <c r="AY185" s="34"/>
      <c r="AZ185" s="34"/>
      <c r="BA185" s="34"/>
      <c r="BB185" s="34"/>
      <c r="BC185" s="34"/>
      <c r="BD185" s="34"/>
      <c r="BE185" s="34"/>
      <c r="BF185" s="34"/>
      <c r="BG185" s="34"/>
      <c r="BH185" s="34"/>
      <c r="BI185" s="34"/>
      <c r="BJ185" s="34"/>
      <c r="BK185" s="34"/>
      <c r="BL185" s="34"/>
      <c r="BM185" s="34"/>
      <c r="BN185" s="34"/>
      <c r="BO185" s="34"/>
      <c r="BP185" s="34"/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  <c r="CE185" s="34"/>
      <c r="CF185" s="34"/>
      <c r="CG185" s="34"/>
      <c r="CH185" s="34"/>
      <c r="CI185" s="34"/>
      <c r="CJ185" s="34"/>
      <c r="CK185" s="34"/>
      <c r="CL185" s="34"/>
      <c r="CM185" s="34"/>
      <c r="CN185" s="34"/>
      <c r="CO185" s="34"/>
      <c r="CP185" s="34"/>
      <c r="CQ185" s="34"/>
      <c r="CR185" s="34"/>
      <c r="CS185" s="34"/>
      <c r="CT185" s="34"/>
      <c r="CU185" s="34"/>
      <c r="CV185" s="34"/>
      <c r="CW185" s="34"/>
      <c r="CX185" s="34"/>
      <c r="CY185" s="34"/>
      <c r="CZ185" s="34"/>
      <c r="DA185" s="34"/>
      <c r="DB185" s="34"/>
      <c r="DC185" s="34"/>
      <c r="DD185" s="34"/>
      <c r="DE185" s="34"/>
      <c r="DF185" s="34"/>
      <c r="DG185" s="34"/>
      <c r="DH185" s="34"/>
      <c r="DI185" s="34"/>
      <c r="DJ185" s="34"/>
      <c r="DK185" s="34"/>
      <c r="DL185" s="34"/>
      <c r="DM185" s="34"/>
      <c r="DN185" s="34"/>
      <c r="DO185" s="34"/>
      <c r="DP185" s="34"/>
      <c r="DQ185" s="34"/>
      <c r="DR185" s="34"/>
      <c r="DS185" s="34"/>
      <c r="DT185" s="34"/>
      <c r="DU185" s="34"/>
      <c r="DV185" s="34"/>
      <c r="DW185" s="34"/>
      <c r="DX185" s="34"/>
      <c r="DY185" s="34"/>
      <c r="DZ185" s="34"/>
      <c r="EA185" s="34"/>
      <c r="EB185" s="34"/>
      <c r="EC185" s="34"/>
      <c r="ED185" s="34"/>
      <c r="EE185" s="34"/>
      <c r="EF185" s="34"/>
      <c r="EG185" s="34"/>
      <c r="EH185" s="34"/>
      <c r="EI185" s="34"/>
      <c r="EJ185" s="34"/>
      <c r="EK185" s="34"/>
      <c r="EL185" s="34"/>
      <c r="EM185" s="34"/>
      <c r="EN185" s="34"/>
      <c r="EO185" s="34"/>
      <c r="EP185" s="34"/>
      <c r="EQ185" s="34"/>
      <c r="ER185" s="34"/>
      <c r="ES185" s="34"/>
      <c r="ET185" s="34"/>
      <c r="EU185" s="34"/>
      <c r="EV185" s="34"/>
      <c r="EW185" s="34"/>
      <c r="EX185" s="34"/>
      <c r="EY185" s="34"/>
      <c r="EZ185" s="34"/>
      <c r="FA185" s="34"/>
      <c r="FB185" s="34"/>
      <c r="FC185" s="34"/>
      <c r="FD185" s="34"/>
      <c r="FE185" s="34"/>
      <c r="FF185" s="34"/>
      <c r="FG185" s="34"/>
      <c r="FH185" s="34"/>
      <c r="FI185" s="34"/>
      <c r="FJ185" s="34"/>
      <c r="FK185" s="34"/>
      <c r="FL185" s="34"/>
      <c r="FM185" s="34"/>
      <c r="FN185" s="34"/>
      <c r="FO185" s="34"/>
      <c r="FP185" s="34"/>
      <c r="FQ185" s="34"/>
      <c r="FR185" s="34"/>
      <c r="FS185" s="34"/>
      <c r="FT185" s="34"/>
      <c r="FU185" s="34"/>
      <c r="FV185" s="34"/>
      <c r="FW185" s="34"/>
      <c r="FX185" s="34"/>
      <c r="FY185" s="34"/>
      <c r="FZ185" s="34"/>
      <c r="GA185" s="34"/>
      <c r="GB185" s="34"/>
      <c r="GC185" s="34"/>
      <c r="GD185" s="34"/>
      <c r="GE185" s="34"/>
      <c r="GF185" s="34"/>
      <c r="GG185" s="34"/>
      <c r="GH185" s="34"/>
      <c r="GI185" s="34"/>
      <c r="GJ185" s="34"/>
      <c r="GK185" s="34"/>
      <c r="GL185" s="34"/>
      <c r="GM185" s="34"/>
      <c r="GN185" s="34"/>
      <c r="GO185" s="34"/>
      <c r="GP185" s="34"/>
      <c r="GQ185" s="34"/>
      <c r="GR185" s="34"/>
      <c r="GS185" s="34"/>
      <c r="GT185" s="34"/>
      <c r="GU185" s="34"/>
      <c r="GV185" s="34"/>
      <c r="GW185" s="34"/>
      <c r="GX185" s="34"/>
      <c r="GY185" s="34"/>
      <c r="GZ185" s="34"/>
      <c r="HA185" s="34"/>
      <c r="HB185" s="34"/>
      <c r="HC185" s="34"/>
      <c r="HD185" s="34"/>
      <c r="HE185" s="34"/>
      <c r="HF185" s="34"/>
      <c r="HG185" s="34"/>
      <c r="HH185" s="34"/>
      <c r="HI185" s="34"/>
      <c r="HJ185" s="34"/>
      <c r="HK185" s="34"/>
      <c r="HL185" s="34"/>
      <c r="HM185" s="34"/>
      <c r="HN185" s="34"/>
      <c r="HO185" s="34"/>
      <c r="HP185" s="34"/>
    </row>
    <row r="186" spans="3:224" ht="20.100000000000001" customHeight="1">
      <c r="C186" s="11">
        <v>15209001</v>
      </c>
      <c r="D186" s="14" t="s">
        <v>227</v>
      </c>
      <c r="E186" s="14">
        <v>1140001</v>
      </c>
      <c r="F186" s="14">
        <v>0</v>
      </c>
      <c r="G186" s="14">
        <v>1</v>
      </c>
      <c r="H186" s="14">
        <v>30</v>
      </c>
      <c r="I186" s="22">
        <v>0.2</v>
      </c>
      <c r="J186" s="23">
        <v>10</v>
      </c>
      <c r="K186" s="14">
        <v>0</v>
      </c>
      <c r="L186" s="14">
        <v>2650</v>
      </c>
      <c r="M186" s="14">
        <f t="shared" si="36"/>
        <v>0</v>
      </c>
      <c r="N186" s="14">
        <v>0</v>
      </c>
      <c r="O186" s="14">
        <v>0</v>
      </c>
      <c r="P186" s="14">
        <v>0</v>
      </c>
      <c r="Q186" s="14">
        <f t="shared" si="37"/>
        <v>0</v>
      </c>
      <c r="R186" s="14">
        <v>0</v>
      </c>
      <c r="S186" s="14">
        <f t="shared" si="38"/>
        <v>0</v>
      </c>
      <c r="T186" s="14">
        <v>0</v>
      </c>
      <c r="U186" s="22">
        <v>0</v>
      </c>
      <c r="V186" s="14">
        <v>0</v>
      </c>
      <c r="W186" s="14">
        <v>0</v>
      </c>
      <c r="X186" s="14">
        <v>0</v>
      </c>
      <c r="Y186" s="22">
        <v>0</v>
      </c>
      <c r="Z186" s="22">
        <v>0</v>
      </c>
      <c r="AA186" s="22">
        <v>0</v>
      </c>
      <c r="AB186" s="22">
        <v>0</v>
      </c>
      <c r="AC186" s="22">
        <v>0</v>
      </c>
      <c r="AD186" s="22">
        <v>0</v>
      </c>
      <c r="AE186" s="22"/>
      <c r="GR186" s="6"/>
      <c r="GS186" s="6"/>
      <c r="GT186" s="6"/>
      <c r="GU186" s="6"/>
      <c r="GV186" s="6"/>
      <c r="GW186" s="6"/>
      <c r="GX186" s="6"/>
      <c r="GY186" s="6"/>
      <c r="GZ186" s="6"/>
      <c r="HA186" s="6"/>
      <c r="HB186" s="6"/>
      <c r="HC186" s="6"/>
      <c r="HD186" s="6"/>
      <c r="HE186" s="6"/>
      <c r="HF186" s="6"/>
      <c r="HG186" s="6"/>
      <c r="HH186" s="6"/>
      <c r="HI186" s="6"/>
      <c r="HJ186" s="6"/>
      <c r="HK186" s="6"/>
      <c r="HL186" s="6"/>
      <c r="HM186" s="6"/>
      <c r="HN186" s="6"/>
      <c r="HO186" s="6"/>
      <c r="HP186" s="6"/>
    </row>
    <row r="187" spans="3:224" ht="20.100000000000001" customHeight="1">
      <c r="C187" s="11">
        <v>15209002</v>
      </c>
      <c r="D187" s="14" t="s">
        <v>228</v>
      </c>
      <c r="E187" s="14">
        <v>1140001</v>
      </c>
      <c r="F187" s="14">
        <v>0</v>
      </c>
      <c r="G187" s="14">
        <v>1</v>
      </c>
      <c r="H187" s="14">
        <v>30</v>
      </c>
      <c r="I187" s="22">
        <v>0.2</v>
      </c>
      <c r="J187" s="23">
        <v>10</v>
      </c>
      <c r="K187" s="14">
        <v>0</v>
      </c>
      <c r="L187" s="14">
        <v>3150</v>
      </c>
      <c r="M187" s="14">
        <f t="shared" si="36"/>
        <v>0</v>
      </c>
      <c r="N187" s="14">
        <v>0</v>
      </c>
      <c r="O187" s="14">
        <v>0</v>
      </c>
      <c r="P187" s="14">
        <v>0</v>
      </c>
      <c r="Q187" s="14">
        <f t="shared" si="37"/>
        <v>0</v>
      </c>
      <c r="R187" s="14">
        <v>0</v>
      </c>
      <c r="S187" s="14">
        <f t="shared" si="38"/>
        <v>0</v>
      </c>
      <c r="T187" s="14">
        <v>0</v>
      </c>
      <c r="U187" s="22">
        <v>0</v>
      </c>
      <c r="V187" s="14">
        <v>0</v>
      </c>
      <c r="W187" s="14">
        <v>0</v>
      </c>
      <c r="X187" s="14">
        <v>0</v>
      </c>
      <c r="Y187" s="22">
        <v>0</v>
      </c>
      <c r="Z187" s="22">
        <v>0</v>
      </c>
      <c r="AA187" s="22">
        <v>0</v>
      </c>
      <c r="AB187" s="22">
        <v>0</v>
      </c>
      <c r="AC187" s="22">
        <v>0</v>
      </c>
      <c r="AD187" s="22">
        <v>0</v>
      </c>
      <c r="AE187" s="22"/>
      <c r="GR187" s="6"/>
      <c r="GS187" s="6"/>
      <c r="GT187" s="6"/>
      <c r="GU187" s="6"/>
      <c r="GV187" s="6"/>
      <c r="GW187" s="6"/>
      <c r="GX187" s="6"/>
      <c r="GY187" s="6"/>
      <c r="GZ187" s="6"/>
      <c r="HA187" s="6"/>
      <c r="HB187" s="6"/>
      <c r="HC187" s="6"/>
      <c r="HD187" s="6"/>
      <c r="HE187" s="6"/>
      <c r="HF187" s="6"/>
      <c r="HG187" s="6"/>
      <c r="HH187" s="6"/>
      <c r="HI187" s="6"/>
      <c r="HJ187" s="6"/>
      <c r="HK187" s="6"/>
      <c r="HL187" s="6"/>
      <c r="HM187" s="6"/>
      <c r="HN187" s="6"/>
      <c r="HO187" s="6"/>
      <c r="HP187" s="6"/>
    </row>
    <row r="188" spans="3:224" s="4" customFormat="1" ht="20.100000000000001" customHeight="1">
      <c r="C188" s="17">
        <v>15209003</v>
      </c>
      <c r="D188" s="19" t="s">
        <v>229</v>
      </c>
      <c r="E188" s="19">
        <v>1140001</v>
      </c>
      <c r="F188" s="19">
        <v>0</v>
      </c>
      <c r="G188" s="19">
        <v>1</v>
      </c>
      <c r="H188" s="19">
        <v>30</v>
      </c>
      <c r="I188" s="26">
        <v>0.2</v>
      </c>
      <c r="J188" s="23">
        <v>10</v>
      </c>
      <c r="K188" s="19">
        <v>0</v>
      </c>
      <c r="L188" s="19">
        <v>5250</v>
      </c>
      <c r="M188" s="19">
        <f t="shared" ref="M188" si="42">ROUND(N188/2,0)</f>
        <v>0</v>
      </c>
      <c r="N188" s="19">
        <v>0</v>
      </c>
      <c r="O188" s="19">
        <v>0</v>
      </c>
      <c r="P188" s="19">
        <v>0</v>
      </c>
      <c r="Q188" s="19">
        <f t="shared" ref="Q188" si="43">ROUND(R188/2,0)</f>
        <v>0</v>
      </c>
      <c r="R188" s="19">
        <v>0</v>
      </c>
      <c r="S188" s="19">
        <f t="shared" ref="S188" si="44">ROUND(T188/2,0)</f>
        <v>0</v>
      </c>
      <c r="T188" s="19">
        <v>0</v>
      </c>
      <c r="U188" s="26">
        <v>0</v>
      </c>
      <c r="V188" s="19">
        <v>0</v>
      </c>
      <c r="W188" s="19">
        <v>0</v>
      </c>
      <c r="X188" s="19">
        <v>0</v>
      </c>
      <c r="Y188" s="26">
        <v>0</v>
      </c>
      <c r="Z188" s="26">
        <v>0</v>
      </c>
      <c r="AA188" s="26">
        <v>0</v>
      </c>
      <c r="AB188" s="26">
        <v>200301</v>
      </c>
      <c r="AC188" s="26">
        <v>300</v>
      </c>
      <c r="AD188" s="26">
        <v>1</v>
      </c>
      <c r="AE188" s="26"/>
      <c r="AF188" s="34"/>
      <c r="AG188" s="34"/>
      <c r="AH188" s="34"/>
      <c r="AI188" s="34"/>
      <c r="AJ188" s="34"/>
      <c r="AK188" s="34"/>
      <c r="AL188" s="34"/>
      <c r="AM188" s="34"/>
      <c r="AN188" s="34"/>
      <c r="AO188" s="34"/>
      <c r="AP188" s="34"/>
      <c r="AQ188" s="34"/>
      <c r="AR188" s="34"/>
      <c r="AS188" s="34"/>
      <c r="AT188" s="34"/>
      <c r="AU188" s="34"/>
      <c r="AV188" s="34"/>
      <c r="AW188" s="34"/>
      <c r="AX188" s="34"/>
      <c r="AY188" s="34"/>
      <c r="AZ188" s="34"/>
      <c r="BA188" s="34"/>
      <c r="BB188" s="34"/>
      <c r="BC188" s="34"/>
      <c r="BD188" s="34"/>
      <c r="BE188" s="34"/>
      <c r="BF188" s="34"/>
      <c r="BG188" s="34"/>
      <c r="BH188" s="34"/>
      <c r="BI188" s="34"/>
      <c r="BJ188" s="34"/>
      <c r="BK188" s="34"/>
      <c r="BL188" s="34"/>
      <c r="BM188" s="34"/>
      <c r="BN188" s="34"/>
      <c r="BO188" s="34"/>
      <c r="BP188" s="34"/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  <c r="CE188" s="34"/>
      <c r="CF188" s="34"/>
      <c r="CG188" s="34"/>
      <c r="CH188" s="34"/>
      <c r="CI188" s="34"/>
      <c r="CJ188" s="34"/>
      <c r="CK188" s="34"/>
      <c r="CL188" s="34"/>
      <c r="CM188" s="34"/>
      <c r="CN188" s="34"/>
      <c r="CO188" s="34"/>
      <c r="CP188" s="34"/>
      <c r="CQ188" s="34"/>
      <c r="CR188" s="34"/>
      <c r="CS188" s="34"/>
      <c r="CT188" s="34"/>
      <c r="CU188" s="34"/>
      <c r="CV188" s="34"/>
      <c r="CW188" s="34"/>
      <c r="CX188" s="34"/>
      <c r="CY188" s="34"/>
      <c r="CZ188" s="34"/>
      <c r="DA188" s="34"/>
      <c r="DB188" s="34"/>
      <c r="DC188" s="34"/>
      <c r="DD188" s="34"/>
      <c r="DE188" s="34"/>
      <c r="DF188" s="34"/>
      <c r="DG188" s="34"/>
      <c r="DH188" s="34"/>
      <c r="DI188" s="34"/>
      <c r="DJ188" s="34"/>
      <c r="DK188" s="34"/>
      <c r="DL188" s="34"/>
      <c r="DM188" s="34"/>
      <c r="DN188" s="34"/>
      <c r="DO188" s="34"/>
      <c r="DP188" s="34"/>
      <c r="DQ188" s="34"/>
      <c r="DR188" s="34"/>
      <c r="DS188" s="34"/>
      <c r="DT188" s="34"/>
      <c r="DU188" s="34"/>
      <c r="DV188" s="34"/>
      <c r="DW188" s="34"/>
      <c r="DX188" s="34"/>
      <c r="DY188" s="34"/>
      <c r="DZ188" s="34"/>
      <c r="EA188" s="34"/>
      <c r="EB188" s="34"/>
      <c r="EC188" s="34"/>
      <c r="ED188" s="34"/>
      <c r="EE188" s="34"/>
      <c r="EF188" s="34"/>
      <c r="EG188" s="34"/>
      <c r="EH188" s="34"/>
      <c r="EI188" s="34"/>
      <c r="EJ188" s="34"/>
      <c r="EK188" s="34"/>
      <c r="EL188" s="34"/>
      <c r="EM188" s="34"/>
      <c r="EN188" s="34"/>
      <c r="EO188" s="34"/>
      <c r="EP188" s="34"/>
      <c r="EQ188" s="34"/>
      <c r="ER188" s="34"/>
      <c r="ES188" s="34"/>
      <c r="ET188" s="34"/>
      <c r="EU188" s="34"/>
      <c r="EV188" s="34"/>
      <c r="EW188" s="34"/>
      <c r="EX188" s="34"/>
      <c r="EY188" s="34"/>
      <c r="EZ188" s="34"/>
      <c r="FA188" s="34"/>
      <c r="FB188" s="34"/>
      <c r="FC188" s="34"/>
      <c r="FD188" s="34"/>
      <c r="FE188" s="34"/>
      <c r="FF188" s="34"/>
      <c r="FG188" s="34"/>
      <c r="FH188" s="34"/>
      <c r="FI188" s="34"/>
      <c r="FJ188" s="34"/>
      <c r="FK188" s="34"/>
      <c r="FL188" s="34"/>
      <c r="FM188" s="34"/>
      <c r="FN188" s="34"/>
      <c r="FO188" s="34"/>
      <c r="FP188" s="34"/>
      <c r="FQ188" s="34"/>
      <c r="FR188" s="34"/>
      <c r="FS188" s="34"/>
      <c r="FT188" s="34"/>
      <c r="FU188" s="34"/>
      <c r="FV188" s="34"/>
      <c r="FW188" s="34"/>
      <c r="FX188" s="34"/>
      <c r="FY188" s="34"/>
      <c r="FZ188" s="34"/>
      <c r="GA188" s="34"/>
      <c r="GB188" s="34"/>
      <c r="GC188" s="34"/>
      <c r="GD188" s="34"/>
      <c r="GE188" s="34"/>
      <c r="GF188" s="34"/>
      <c r="GG188" s="34"/>
      <c r="GH188" s="34"/>
      <c r="GI188" s="34"/>
      <c r="GJ188" s="34"/>
      <c r="GK188" s="34"/>
      <c r="GL188" s="34"/>
      <c r="GM188" s="34"/>
      <c r="GN188" s="34"/>
      <c r="GO188" s="34"/>
      <c r="GP188" s="34"/>
      <c r="GQ188" s="34"/>
      <c r="GR188" s="34"/>
      <c r="GS188" s="34"/>
      <c r="GT188" s="34"/>
      <c r="GU188" s="34"/>
      <c r="GV188" s="34"/>
      <c r="GW188" s="34"/>
      <c r="GX188" s="34"/>
      <c r="GY188" s="34"/>
      <c r="GZ188" s="34"/>
      <c r="HA188" s="34"/>
      <c r="HB188" s="34"/>
      <c r="HC188" s="34"/>
      <c r="HD188" s="34"/>
      <c r="HE188" s="34"/>
      <c r="HF188" s="34"/>
      <c r="HG188" s="34"/>
      <c r="HH188" s="34"/>
      <c r="HI188" s="34"/>
      <c r="HJ188" s="34"/>
      <c r="HK188" s="34"/>
      <c r="HL188" s="34"/>
      <c r="HM188" s="34"/>
      <c r="HN188" s="34"/>
      <c r="HO188" s="34"/>
      <c r="HP188" s="34"/>
    </row>
    <row r="189" spans="3:224" ht="20.100000000000001" customHeight="1">
      <c r="C189" s="11">
        <v>15210001</v>
      </c>
      <c r="D189" s="14" t="s">
        <v>230</v>
      </c>
      <c r="E189" s="14">
        <v>1140001</v>
      </c>
      <c r="F189" s="14">
        <v>0</v>
      </c>
      <c r="G189" s="14">
        <v>1</v>
      </c>
      <c r="H189" s="14">
        <v>30</v>
      </c>
      <c r="I189" s="22">
        <v>0.2</v>
      </c>
      <c r="J189" s="23">
        <v>10</v>
      </c>
      <c r="K189" s="14">
        <v>0</v>
      </c>
      <c r="L189" s="14">
        <v>0</v>
      </c>
      <c r="M189" s="14">
        <f t="shared" si="36"/>
        <v>128</v>
      </c>
      <c r="N189" s="14">
        <v>255</v>
      </c>
      <c r="O189" s="14">
        <v>0</v>
      </c>
      <c r="P189" s="14">
        <v>0</v>
      </c>
      <c r="Q189" s="14">
        <f t="shared" si="37"/>
        <v>0</v>
      </c>
      <c r="R189" s="14">
        <v>0</v>
      </c>
      <c r="S189" s="14">
        <f t="shared" si="38"/>
        <v>0</v>
      </c>
      <c r="T189" s="14">
        <v>0</v>
      </c>
      <c r="U189" s="22">
        <v>0</v>
      </c>
      <c r="V189" s="14">
        <v>0</v>
      </c>
      <c r="W189" s="14">
        <v>0</v>
      </c>
      <c r="X189" s="14">
        <v>0</v>
      </c>
      <c r="Y189" s="22">
        <v>0</v>
      </c>
      <c r="Z189" s="22">
        <v>0</v>
      </c>
      <c r="AA189" s="22">
        <v>0</v>
      </c>
      <c r="AB189" s="22">
        <v>0</v>
      </c>
      <c r="AC189" s="22">
        <v>0</v>
      </c>
      <c r="AD189" s="22">
        <v>0</v>
      </c>
      <c r="AE189" s="22"/>
      <c r="GR189" s="6"/>
      <c r="GS189" s="6"/>
      <c r="GT189" s="6"/>
      <c r="GU189" s="6"/>
      <c r="GV189" s="6"/>
      <c r="GW189" s="6"/>
      <c r="GX189" s="6"/>
      <c r="GY189" s="6"/>
      <c r="GZ189" s="6"/>
      <c r="HA189" s="6"/>
      <c r="HB189" s="6"/>
      <c r="HC189" s="6"/>
      <c r="HD189" s="6"/>
      <c r="HE189" s="6"/>
      <c r="HF189" s="6"/>
      <c r="HG189" s="6"/>
      <c r="HH189" s="6"/>
      <c r="HI189" s="6"/>
      <c r="HJ189" s="6"/>
      <c r="HK189" s="6"/>
      <c r="HL189" s="6"/>
      <c r="HM189" s="6"/>
      <c r="HN189" s="6"/>
      <c r="HO189" s="6"/>
      <c r="HP189" s="6"/>
    </row>
    <row r="190" spans="3:224" ht="20.100000000000001" customHeight="1">
      <c r="C190" s="11">
        <v>15210002</v>
      </c>
      <c r="D190" s="14" t="s">
        <v>231</v>
      </c>
      <c r="E190" s="14">
        <v>1140001</v>
      </c>
      <c r="F190" s="14">
        <v>0</v>
      </c>
      <c r="G190" s="14">
        <v>1</v>
      </c>
      <c r="H190" s="14">
        <v>30</v>
      </c>
      <c r="I190" s="22">
        <v>0.2</v>
      </c>
      <c r="J190" s="23">
        <v>10</v>
      </c>
      <c r="K190" s="14">
        <v>0</v>
      </c>
      <c r="L190" s="14">
        <v>0</v>
      </c>
      <c r="M190" s="14">
        <f t="shared" si="36"/>
        <v>158</v>
      </c>
      <c r="N190" s="14">
        <v>315</v>
      </c>
      <c r="O190" s="14">
        <v>0</v>
      </c>
      <c r="P190" s="14">
        <v>0</v>
      </c>
      <c r="Q190" s="14">
        <f t="shared" si="37"/>
        <v>0</v>
      </c>
      <c r="R190" s="14">
        <v>0</v>
      </c>
      <c r="S190" s="14">
        <f t="shared" si="38"/>
        <v>0</v>
      </c>
      <c r="T190" s="14">
        <v>0</v>
      </c>
      <c r="U190" s="22">
        <v>0</v>
      </c>
      <c r="V190" s="14">
        <v>0</v>
      </c>
      <c r="W190" s="14">
        <v>0</v>
      </c>
      <c r="X190" s="14">
        <v>0</v>
      </c>
      <c r="Y190" s="22">
        <v>0</v>
      </c>
      <c r="Z190" s="22">
        <v>0</v>
      </c>
      <c r="AA190" s="22">
        <v>0</v>
      </c>
      <c r="AB190" s="22">
        <v>0</v>
      </c>
      <c r="AC190" s="22">
        <v>0</v>
      </c>
      <c r="AD190" s="22">
        <v>0</v>
      </c>
      <c r="AE190" s="22"/>
      <c r="GR190" s="6"/>
      <c r="GS190" s="6"/>
      <c r="GT190" s="6"/>
      <c r="GU190" s="6"/>
      <c r="GV190" s="6"/>
      <c r="GW190" s="6"/>
      <c r="GX190" s="6"/>
      <c r="GY190" s="6"/>
      <c r="GZ190" s="6"/>
      <c r="HA190" s="6"/>
      <c r="HB190" s="6"/>
      <c r="HC190" s="6"/>
      <c r="HD190" s="6"/>
      <c r="HE190" s="6"/>
      <c r="HF190" s="6"/>
      <c r="HG190" s="6"/>
      <c r="HH190" s="6"/>
      <c r="HI190" s="6"/>
      <c r="HJ190" s="6"/>
      <c r="HK190" s="6"/>
      <c r="HL190" s="6"/>
      <c r="HM190" s="6"/>
      <c r="HN190" s="6"/>
      <c r="HO190" s="6"/>
      <c r="HP190" s="6"/>
    </row>
    <row r="191" spans="3:224" ht="20.100000000000001" customHeight="1">
      <c r="C191" s="11">
        <v>15210003</v>
      </c>
      <c r="D191" s="14" t="s">
        <v>232</v>
      </c>
      <c r="E191" s="14">
        <v>1140001</v>
      </c>
      <c r="F191" s="14">
        <v>0</v>
      </c>
      <c r="G191" s="14">
        <v>1</v>
      </c>
      <c r="H191" s="14">
        <v>30</v>
      </c>
      <c r="I191" s="22">
        <v>0.2</v>
      </c>
      <c r="J191" s="23">
        <v>10</v>
      </c>
      <c r="K191" s="14">
        <v>0</v>
      </c>
      <c r="L191" s="14">
        <v>0</v>
      </c>
      <c r="M191" s="14">
        <f t="shared" si="36"/>
        <v>128</v>
      </c>
      <c r="N191" s="14">
        <v>255</v>
      </c>
      <c r="O191" s="14">
        <v>0</v>
      </c>
      <c r="P191" s="14">
        <v>0</v>
      </c>
      <c r="Q191" s="14">
        <f t="shared" si="37"/>
        <v>0</v>
      </c>
      <c r="R191" s="14">
        <v>0</v>
      </c>
      <c r="S191" s="14">
        <f t="shared" si="38"/>
        <v>0</v>
      </c>
      <c r="T191" s="14">
        <v>0</v>
      </c>
      <c r="U191" s="22">
        <v>0</v>
      </c>
      <c r="V191" s="14">
        <v>0</v>
      </c>
      <c r="W191" s="14">
        <v>0</v>
      </c>
      <c r="X191" s="14">
        <v>0</v>
      </c>
      <c r="Y191" s="22">
        <v>0</v>
      </c>
      <c r="Z191" s="22">
        <v>0</v>
      </c>
      <c r="AA191" s="22">
        <v>0</v>
      </c>
      <c r="AB191" s="22">
        <v>0</v>
      </c>
      <c r="AC191" s="22">
        <v>0</v>
      </c>
      <c r="AD191" s="22">
        <v>0</v>
      </c>
      <c r="AE191" s="22"/>
      <c r="GR191" s="6"/>
      <c r="GS191" s="6"/>
      <c r="GT191" s="6"/>
      <c r="GU191" s="6"/>
      <c r="GV191" s="6"/>
      <c r="GW191" s="6"/>
      <c r="GX191" s="6"/>
      <c r="GY191" s="6"/>
      <c r="GZ191" s="6"/>
      <c r="HA191" s="6"/>
      <c r="HB191" s="6"/>
      <c r="HC191" s="6"/>
      <c r="HD191" s="6"/>
      <c r="HE191" s="6"/>
      <c r="HF191" s="6"/>
      <c r="HG191" s="6"/>
      <c r="HH191" s="6"/>
      <c r="HI191" s="6"/>
      <c r="HJ191" s="6"/>
      <c r="HK191" s="6"/>
      <c r="HL191" s="6"/>
      <c r="HM191" s="6"/>
      <c r="HN191" s="6"/>
      <c r="HO191" s="6"/>
      <c r="HP191" s="6"/>
    </row>
    <row r="192" spans="3:224" ht="20.100000000000001" customHeight="1">
      <c r="C192" s="11">
        <v>15210004</v>
      </c>
      <c r="D192" s="14" t="s">
        <v>233</v>
      </c>
      <c r="E192" s="14">
        <v>1140001</v>
      </c>
      <c r="F192" s="14">
        <v>0</v>
      </c>
      <c r="G192" s="14">
        <v>1</v>
      </c>
      <c r="H192" s="14">
        <v>30</v>
      </c>
      <c r="I192" s="22">
        <v>0.2</v>
      </c>
      <c r="J192" s="23">
        <v>10</v>
      </c>
      <c r="K192" s="14">
        <v>0</v>
      </c>
      <c r="L192" s="14">
        <v>0</v>
      </c>
      <c r="M192" s="14">
        <f t="shared" si="36"/>
        <v>158</v>
      </c>
      <c r="N192" s="14">
        <v>315</v>
      </c>
      <c r="O192" s="14">
        <v>0</v>
      </c>
      <c r="P192" s="14">
        <v>0</v>
      </c>
      <c r="Q192" s="14">
        <f t="shared" si="37"/>
        <v>0</v>
      </c>
      <c r="R192" s="14">
        <v>0</v>
      </c>
      <c r="S192" s="14">
        <f t="shared" si="38"/>
        <v>0</v>
      </c>
      <c r="T192" s="14">
        <v>0</v>
      </c>
      <c r="U192" s="22">
        <v>0</v>
      </c>
      <c r="V192" s="14">
        <v>0</v>
      </c>
      <c r="W192" s="14">
        <v>0</v>
      </c>
      <c r="X192" s="14">
        <v>0</v>
      </c>
      <c r="Y192" s="22">
        <v>0</v>
      </c>
      <c r="Z192" s="22">
        <v>0</v>
      </c>
      <c r="AA192" s="22">
        <v>0</v>
      </c>
      <c r="AB192" s="22">
        <v>0</v>
      </c>
      <c r="AC192" s="22">
        <v>0</v>
      </c>
      <c r="AD192" s="22">
        <v>0</v>
      </c>
      <c r="AE192" s="22"/>
      <c r="GR192" s="6"/>
      <c r="GS192" s="6"/>
      <c r="GT192" s="6"/>
      <c r="GU192" s="6"/>
      <c r="GV192" s="6"/>
      <c r="GW192" s="6"/>
      <c r="GX192" s="6"/>
      <c r="GY192" s="6"/>
      <c r="GZ192" s="6"/>
      <c r="HA192" s="6"/>
      <c r="HB192" s="6"/>
      <c r="HC192" s="6"/>
      <c r="HD192" s="6"/>
      <c r="HE192" s="6"/>
      <c r="HF192" s="6"/>
      <c r="HG192" s="6"/>
      <c r="HH192" s="6"/>
      <c r="HI192" s="6"/>
      <c r="HJ192" s="6"/>
      <c r="HK192" s="6"/>
      <c r="HL192" s="6"/>
      <c r="HM192" s="6"/>
      <c r="HN192" s="6"/>
      <c r="HO192" s="6"/>
      <c r="HP192" s="6"/>
    </row>
    <row r="193" spans="3:224" ht="20.100000000000001" customHeight="1">
      <c r="C193" s="11">
        <v>15210011</v>
      </c>
      <c r="D193" s="37" t="s">
        <v>234</v>
      </c>
      <c r="E193" s="14">
        <v>1140001</v>
      </c>
      <c r="F193" s="14">
        <v>12051</v>
      </c>
      <c r="G193" s="14">
        <v>1</v>
      </c>
      <c r="H193" s="14">
        <v>30</v>
      </c>
      <c r="I193" s="22">
        <v>0.2</v>
      </c>
      <c r="J193" s="23">
        <v>10</v>
      </c>
      <c r="K193" s="14">
        <v>0</v>
      </c>
      <c r="L193" s="14">
        <v>0</v>
      </c>
      <c r="M193" s="14">
        <f t="shared" ref="M193:M194" si="45">ROUND(N193/2,0)</f>
        <v>200</v>
      </c>
      <c r="N193" s="14">
        <v>400</v>
      </c>
      <c r="O193" s="14">
        <v>0</v>
      </c>
      <c r="P193" s="14">
        <v>0</v>
      </c>
      <c r="Q193" s="14">
        <f t="shared" ref="Q193:Q194" si="46">ROUND(R193/2,0)</f>
        <v>0</v>
      </c>
      <c r="R193" s="14">
        <v>0</v>
      </c>
      <c r="S193" s="14">
        <f t="shared" ref="S193:S194" si="47">ROUND(T193/2,0)</f>
        <v>0</v>
      </c>
      <c r="T193" s="14">
        <v>0</v>
      </c>
      <c r="U193" s="22">
        <v>0</v>
      </c>
      <c r="V193" s="14">
        <v>0</v>
      </c>
      <c r="W193" s="14">
        <v>0</v>
      </c>
      <c r="X193" s="14">
        <v>0</v>
      </c>
      <c r="Y193" s="22">
        <v>0</v>
      </c>
      <c r="Z193" s="22">
        <v>0</v>
      </c>
      <c r="AA193" s="22">
        <v>0</v>
      </c>
      <c r="AB193" s="22">
        <v>0</v>
      </c>
      <c r="AC193" s="22">
        <v>0</v>
      </c>
      <c r="AD193" s="22">
        <v>1</v>
      </c>
      <c r="AE193" s="22">
        <v>100001</v>
      </c>
      <c r="GR193" s="6"/>
      <c r="GS193" s="6"/>
      <c r="GT193" s="6"/>
      <c r="GU193" s="6"/>
      <c r="GV193" s="6"/>
      <c r="GW193" s="6"/>
      <c r="GX193" s="6"/>
      <c r="GY193" s="6"/>
      <c r="GZ193" s="6"/>
      <c r="HA193" s="6"/>
      <c r="HB193" s="6"/>
      <c r="HC193" s="6"/>
      <c r="HD193" s="6"/>
      <c r="HE193" s="6"/>
      <c r="HF193" s="6"/>
      <c r="HG193" s="6"/>
      <c r="HH193" s="6"/>
      <c r="HI193" s="6"/>
      <c r="HJ193" s="6"/>
      <c r="HK193" s="6"/>
      <c r="HL193" s="6"/>
      <c r="HM193" s="6"/>
      <c r="HN193" s="6"/>
      <c r="HO193" s="6"/>
      <c r="HP193" s="6"/>
    </row>
    <row r="194" spans="3:224" ht="20.100000000000001" customHeight="1">
      <c r="C194" s="11">
        <v>15210012</v>
      </c>
      <c r="D194" s="37" t="s">
        <v>235</v>
      </c>
      <c r="E194" s="14">
        <v>1140001</v>
      </c>
      <c r="F194" s="14">
        <v>12051</v>
      </c>
      <c r="G194" s="14">
        <v>1</v>
      </c>
      <c r="H194" s="14">
        <v>30</v>
      </c>
      <c r="I194" s="22">
        <v>0.2</v>
      </c>
      <c r="J194" s="23">
        <v>10</v>
      </c>
      <c r="K194" s="14">
        <v>0</v>
      </c>
      <c r="L194" s="14">
        <v>0</v>
      </c>
      <c r="M194" s="14">
        <f t="shared" si="45"/>
        <v>200</v>
      </c>
      <c r="N194" s="14">
        <v>400</v>
      </c>
      <c r="O194" s="14">
        <v>0</v>
      </c>
      <c r="P194" s="14">
        <v>0</v>
      </c>
      <c r="Q194" s="14">
        <f t="shared" si="46"/>
        <v>0</v>
      </c>
      <c r="R194" s="14">
        <v>0</v>
      </c>
      <c r="S194" s="14">
        <f t="shared" si="47"/>
        <v>0</v>
      </c>
      <c r="T194" s="14">
        <v>0</v>
      </c>
      <c r="U194" s="22">
        <v>0</v>
      </c>
      <c r="V194" s="14">
        <v>0</v>
      </c>
      <c r="W194" s="14">
        <v>0</v>
      </c>
      <c r="X194" s="14">
        <v>0</v>
      </c>
      <c r="Y194" s="22">
        <v>0</v>
      </c>
      <c r="Z194" s="22">
        <v>0</v>
      </c>
      <c r="AA194" s="22">
        <v>0</v>
      </c>
      <c r="AB194" s="22">
        <v>200103</v>
      </c>
      <c r="AC194" s="22">
        <v>500</v>
      </c>
      <c r="AD194" s="22">
        <v>0</v>
      </c>
      <c r="AE194" s="22">
        <v>0</v>
      </c>
      <c r="GR194" s="6"/>
      <c r="GS194" s="6"/>
      <c r="GT194" s="6"/>
      <c r="GU194" s="6"/>
      <c r="GV194" s="6"/>
      <c r="GW194" s="6"/>
      <c r="GX194" s="6"/>
      <c r="GY194" s="6"/>
      <c r="GZ194" s="6"/>
      <c r="HA194" s="6"/>
      <c r="HB194" s="6"/>
      <c r="HC194" s="6"/>
      <c r="HD194" s="6"/>
      <c r="HE194" s="6"/>
      <c r="HF194" s="6"/>
      <c r="HG194" s="6"/>
      <c r="HH194" s="6"/>
      <c r="HI194" s="6"/>
      <c r="HJ194" s="6"/>
      <c r="HK194" s="6"/>
      <c r="HL194" s="6"/>
      <c r="HM194" s="6"/>
      <c r="HN194" s="6"/>
      <c r="HO194" s="6"/>
      <c r="HP194" s="6"/>
    </row>
    <row r="195" spans="3:224" ht="20.100000000000001" customHeight="1">
      <c r="C195" s="11">
        <v>15210111</v>
      </c>
      <c r="D195" s="37" t="s">
        <v>234</v>
      </c>
      <c r="E195" s="14">
        <v>1140001</v>
      </c>
      <c r="F195" s="14">
        <v>12051</v>
      </c>
      <c r="G195" s="14">
        <v>1</v>
      </c>
      <c r="H195" s="14">
        <v>30</v>
      </c>
      <c r="I195" s="22">
        <v>0.2</v>
      </c>
      <c r="J195" s="23">
        <v>10</v>
      </c>
      <c r="K195" s="14">
        <v>0</v>
      </c>
      <c r="L195" s="14">
        <v>0</v>
      </c>
      <c r="M195" s="14">
        <f t="shared" ref="M195:M199" si="48">ROUND(N195/2,0)</f>
        <v>200</v>
      </c>
      <c r="N195" s="14">
        <v>400</v>
      </c>
      <c r="O195" s="14">
        <v>0</v>
      </c>
      <c r="P195" s="14">
        <v>0</v>
      </c>
      <c r="Q195" s="14">
        <f t="shared" ref="Q195:Q199" si="49">ROUND(R195/2,0)</f>
        <v>0</v>
      </c>
      <c r="R195" s="14">
        <v>0</v>
      </c>
      <c r="S195" s="14">
        <f t="shared" ref="S195:S199" si="50">ROUND(T195/2,0)</f>
        <v>0</v>
      </c>
      <c r="T195" s="14">
        <v>0</v>
      </c>
      <c r="U195" s="22">
        <v>0</v>
      </c>
      <c r="V195" s="14">
        <v>0</v>
      </c>
      <c r="W195" s="14">
        <v>0</v>
      </c>
      <c r="X195" s="14">
        <v>0</v>
      </c>
      <c r="Y195" s="22">
        <v>0</v>
      </c>
      <c r="Z195" s="22">
        <v>0</v>
      </c>
      <c r="AA195" s="22">
        <v>0</v>
      </c>
      <c r="AB195" s="22">
        <v>200103</v>
      </c>
      <c r="AC195" s="22">
        <v>500</v>
      </c>
      <c r="AD195" s="22">
        <v>1</v>
      </c>
      <c r="AE195" s="22">
        <v>100002</v>
      </c>
      <c r="GR195" s="6"/>
      <c r="GS195" s="6"/>
      <c r="GT195" s="6"/>
      <c r="GU195" s="6"/>
      <c r="GV195" s="6"/>
      <c r="GW195" s="6"/>
      <c r="GX195" s="6"/>
      <c r="GY195" s="6"/>
      <c r="GZ195" s="6"/>
      <c r="HA195" s="6"/>
      <c r="HB195" s="6"/>
      <c r="HC195" s="6"/>
      <c r="HD195" s="6"/>
      <c r="HE195" s="6"/>
      <c r="HF195" s="6"/>
      <c r="HG195" s="6"/>
      <c r="HH195" s="6"/>
      <c r="HI195" s="6"/>
      <c r="HJ195" s="6"/>
      <c r="HK195" s="6"/>
      <c r="HL195" s="6"/>
      <c r="HM195" s="6"/>
      <c r="HN195" s="6"/>
      <c r="HO195" s="6"/>
      <c r="HP195" s="6"/>
    </row>
    <row r="196" spans="3:224" ht="20.100000000000001" customHeight="1">
      <c r="C196" s="11">
        <v>15210112</v>
      </c>
      <c r="D196" s="37" t="s">
        <v>235</v>
      </c>
      <c r="E196" s="14">
        <v>1140001</v>
      </c>
      <c r="F196" s="14">
        <v>12051</v>
      </c>
      <c r="G196" s="14">
        <v>1</v>
      </c>
      <c r="H196" s="14">
        <v>30</v>
      </c>
      <c r="I196" s="22">
        <v>0.2</v>
      </c>
      <c r="J196" s="23">
        <v>10</v>
      </c>
      <c r="K196" s="14">
        <v>0</v>
      </c>
      <c r="L196" s="14">
        <v>0</v>
      </c>
      <c r="M196" s="14">
        <f t="shared" si="48"/>
        <v>200</v>
      </c>
      <c r="N196" s="14">
        <v>400</v>
      </c>
      <c r="O196" s="14">
        <v>0</v>
      </c>
      <c r="P196" s="14">
        <v>0</v>
      </c>
      <c r="Q196" s="14">
        <f t="shared" si="49"/>
        <v>0</v>
      </c>
      <c r="R196" s="14">
        <v>0</v>
      </c>
      <c r="S196" s="14">
        <f t="shared" si="50"/>
        <v>0</v>
      </c>
      <c r="T196" s="14">
        <v>0</v>
      </c>
      <c r="U196" s="22">
        <v>0</v>
      </c>
      <c r="V196" s="14">
        <v>0</v>
      </c>
      <c r="W196" s="14">
        <v>0</v>
      </c>
      <c r="X196" s="14">
        <v>0</v>
      </c>
      <c r="Y196" s="22">
        <v>0</v>
      </c>
      <c r="Z196" s="22">
        <v>0</v>
      </c>
      <c r="AA196" s="22">
        <v>0</v>
      </c>
      <c r="AB196" s="22">
        <v>202203</v>
      </c>
      <c r="AC196" s="22">
        <v>500</v>
      </c>
      <c r="AD196" s="22">
        <v>1</v>
      </c>
      <c r="AE196" s="43"/>
      <c r="GR196" s="6"/>
      <c r="GS196" s="6"/>
      <c r="GT196" s="6"/>
      <c r="GU196" s="6"/>
      <c r="GV196" s="6"/>
      <c r="GW196" s="6"/>
      <c r="GX196" s="6"/>
      <c r="GY196" s="6"/>
      <c r="GZ196" s="6"/>
      <c r="HA196" s="6"/>
      <c r="HB196" s="6"/>
      <c r="HC196" s="6"/>
      <c r="HD196" s="6"/>
      <c r="HE196" s="6"/>
      <c r="HF196" s="6"/>
      <c r="HG196" s="6"/>
      <c r="HH196" s="6"/>
      <c r="HI196" s="6"/>
      <c r="HJ196" s="6"/>
      <c r="HK196" s="6"/>
      <c r="HL196" s="6"/>
      <c r="HM196" s="6"/>
      <c r="HN196" s="6"/>
      <c r="HO196" s="6"/>
      <c r="HP196" s="6"/>
    </row>
    <row r="197" spans="3:224" ht="20.100000000000001" customHeight="1">
      <c r="C197" s="11">
        <v>15210201</v>
      </c>
      <c r="D197" s="14" t="s">
        <v>236</v>
      </c>
      <c r="E197" s="14">
        <v>1140001</v>
      </c>
      <c r="F197" s="14">
        <v>0</v>
      </c>
      <c r="G197" s="14">
        <v>1</v>
      </c>
      <c r="H197" s="14">
        <v>30</v>
      </c>
      <c r="I197" s="22">
        <v>0.2</v>
      </c>
      <c r="J197" s="23">
        <v>10</v>
      </c>
      <c r="K197" s="14">
        <v>0</v>
      </c>
      <c r="L197" s="14">
        <v>0</v>
      </c>
      <c r="M197" s="14">
        <f t="shared" si="48"/>
        <v>128</v>
      </c>
      <c r="N197" s="14">
        <v>255</v>
      </c>
      <c r="O197" s="14">
        <v>0</v>
      </c>
      <c r="P197" s="14">
        <v>0</v>
      </c>
      <c r="Q197" s="14">
        <f t="shared" si="49"/>
        <v>0</v>
      </c>
      <c r="R197" s="14">
        <v>0</v>
      </c>
      <c r="S197" s="14">
        <f t="shared" si="50"/>
        <v>0</v>
      </c>
      <c r="T197" s="14">
        <v>0</v>
      </c>
      <c r="U197" s="22">
        <v>0</v>
      </c>
      <c r="V197" s="14">
        <v>0</v>
      </c>
      <c r="W197" s="14">
        <v>0</v>
      </c>
      <c r="X197" s="14">
        <v>0</v>
      </c>
      <c r="Y197" s="22">
        <v>0</v>
      </c>
      <c r="Z197" s="22">
        <v>0</v>
      </c>
      <c r="AA197" s="22">
        <v>0</v>
      </c>
      <c r="AB197" s="22">
        <v>0</v>
      </c>
      <c r="AC197" s="22">
        <v>0</v>
      </c>
      <c r="AD197" s="22">
        <v>0</v>
      </c>
      <c r="AE197" s="22"/>
      <c r="GR197" s="6"/>
      <c r="GS197" s="6"/>
      <c r="GT197" s="6"/>
      <c r="GU197" s="6"/>
      <c r="GV197" s="6"/>
      <c r="GW197" s="6"/>
      <c r="GX197" s="6"/>
      <c r="GY197" s="6"/>
      <c r="GZ197" s="6"/>
      <c r="HA197" s="6"/>
      <c r="HB197" s="6"/>
      <c r="HC197" s="6"/>
      <c r="HD197" s="6"/>
      <c r="HE197" s="6"/>
      <c r="HF197" s="6"/>
      <c r="HG197" s="6"/>
      <c r="HH197" s="6"/>
      <c r="HI197" s="6"/>
      <c r="HJ197" s="6"/>
      <c r="HK197" s="6"/>
      <c r="HL197" s="6"/>
      <c r="HM197" s="6"/>
      <c r="HN197" s="6"/>
      <c r="HO197" s="6"/>
      <c r="HP197" s="6"/>
    </row>
    <row r="198" spans="3:224" ht="20.100000000000001" customHeight="1">
      <c r="C198" s="11">
        <v>15210202</v>
      </c>
      <c r="D198" s="14" t="s">
        <v>237</v>
      </c>
      <c r="E198" s="14">
        <v>1140001</v>
      </c>
      <c r="F198" s="14">
        <v>0</v>
      </c>
      <c r="G198" s="14">
        <v>1</v>
      </c>
      <c r="H198" s="14">
        <v>30</v>
      </c>
      <c r="I198" s="22">
        <v>0.2</v>
      </c>
      <c r="J198" s="23">
        <v>10</v>
      </c>
      <c r="K198" s="14">
        <v>0</v>
      </c>
      <c r="L198" s="14">
        <v>0</v>
      </c>
      <c r="M198" s="14">
        <f t="shared" si="48"/>
        <v>158</v>
      </c>
      <c r="N198" s="14">
        <v>315</v>
      </c>
      <c r="O198" s="14">
        <v>0</v>
      </c>
      <c r="P198" s="14">
        <v>0</v>
      </c>
      <c r="Q198" s="14">
        <f t="shared" si="49"/>
        <v>0</v>
      </c>
      <c r="R198" s="14">
        <v>0</v>
      </c>
      <c r="S198" s="14">
        <f t="shared" si="50"/>
        <v>0</v>
      </c>
      <c r="T198" s="14">
        <v>0</v>
      </c>
      <c r="U198" s="22">
        <v>0</v>
      </c>
      <c r="V198" s="14">
        <v>0</v>
      </c>
      <c r="W198" s="14">
        <v>0</v>
      </c>
      <c r="X198" s="14">
        <v>0</v>
      </c>
      <c r="Y198" s="22">
        <v>0</v>
      </c>
      <c r="Z198" s="22">
        <v>0</v>
      </c>
      <c r="AA198" s="22">
        <v>0</v>
      </c>
      <c r="AB198" s="22">
        <v>0</v>
      </c>
      <c r="AC198" s="22">
        <v>0</v>
      </c>
      <c r="AD198" s="22">
        <v>0</v>
      </c>
      <c r="AE198" s="22"/>
      <c r="GR198" s="6"/>
      <c r="GS198" s="6"/>
      <c r="GT198" s="6"/>
      <c r="GU198" s="6"/>
      <c r="GV198" s="6"/>
      <c r="GW198" s="6"/>
      <c r="GX198" s="6"/>
      <c r="GY198" s="6"/>
      <c r="GZ198" s="6"/>
      <c r="HA198" s="6"/>
      <c r="HB198" s="6"/>
      <c r="HC198" s="6"/>
      <c r="HD198" s="6"/>
      <c r="HE198" s="6"/>
      <c r="HF198" s="6"/>
      <c r="HG198" s="6"/>
      <c r="HH198" s="6"/>
      <c r="HI198" s="6"/>
      <c r="HJ198" s="6"/>
      <c r="HK198" s="6"/>
      <c r="HL198" s="6"/>
      <c r="HM198" s="6"/>
      <c r="HN198" s="6"/>
      <c r="HO198" s="6"/>
      <c r="HP198" s="6"/>
    </row>
    <row r="199" spans="3:224" ht="20.100000000000001" customHeight="1">
      <c r="C199" s="11">
        <v>15210211</v>
      </c>
      <c r="D199" s="37" t="s">
        <v>238</v>
      </c>
      <c r="E199" s="14">
        <v>1140001</v>
      </c>
      <c r="F199" s="14">
        <v>12051</v>
      </c>
      <c r="G199" s="14">
        <v>1</v>
      </c>
      <c r="H199" s="14">
        <v>30</v>
      </c>
      <c r="I199" s="22">
        <v>0.2</v>
      </c>
      <c r="J199" s="23">
        <v>10</v>
      </c>
      <c r="K199" s="14">
        <v>0</v>
      </c>
      <c r="L199" s="14">
        <v>0</v>
      </c>
      <c r="M199" s="14">
        <f t="shared" si="48"/>
        <v>200</v>
      </c>
      <c r="N199" s="14">
        <v>400</v>
      </c>
      <c r="O199" s="14">
        <v>0</v>
      </c>
      <c r="P199" s="14">
        <v>0</v>
      </c>
      <c r="Q199" s="14">
        <f t="shared" si="49"/>
        <v>0</v>
      </c>
      <c r="R199" s="14">
        <v>0</v>
      </c>
      <c r="S199" s="14">
        <f t="shared" si="50"/>
        <v>0</v>
      </c>
      <c r="T199" s="14">
        <v>0</v>
      </c>
      <c r="U199" s="22">
        <v>0</v>
      </c>
      <c r="V199" s="14">
        <v>0</v>
      </c>
      <c r="W199" s="14">
        <v>0</v>
      </c>
      <c r="X199" s="14">
        <v>0</v>
      </c>
      <c r="Y199" s="22">
        <v>0</v>
      </c>
      <c r="Z199" s="22">
        <v>0</v>
      </c>
      <c r="AA199" s="22">
        <v>0</v>
      </c>
      <c r="AB199" s="22">
        <v>0</v>
      </c>
      <c r="AC199" s="22">
        <v>0</v>
      </c>
      <c r="AD199" s="22">
        <v>1</v>
      </c>
      <c r="AE199" s="22"/>
      <c r="GR199" s="6"/>
      <c r="GS199" s="6"/>
      <c r="GT199" s="6"/>
      <c r="GU199" s="6"/>
      <c r="GV199" s="6"/>
      <c r="GW199" s="6"/>
      <c r="GX199" s="6"/>
      <c r="GY199" s="6"/>
      <c r="GZ199" s="6"/>
      <c r="HA199" s="6"/>
      <c r="HB199" s="6"/>
      <c r="HC199" s="6"/>
      <c r="HD199" s="6"/>
      <c r="HE199" s="6"/>
      <c r="HF199" s="6"/>
      <c r="HG199" s="6"/>
      <c r="HH199" s="6"/>
      <c r="HI199" s="6"/>
      <c r="HJ199" s="6"/>
      <c r="HK199" s="6"/>
      <c r="HL199" s="6"/>
      <c r="HM199" s="6"/>
      <c r="HN199" s="6"/>
      <c r="HO199" s="6"/>
      <c r="HP199" s="6"/>
    </row>
    <row r="200" spans="3:224" s="5" customFormat="1" ht="20.100000000000001" customHeight="1">
      <c r="C200" s="35">
        <v>15211001</v>
      </c>
      <c r="D200" s="36" t="s">
        <v>239</v>
      </c>
      <c r="E200" s="36">
        <v>1140003</v>
      </c>
      <c r="F200" s="36">
        <v>0</v>
      </c>
      <c r="G200" s="36">
        <v>1</v>
      </c>
      <c r="H200" s="36">
        <v>30</v>
      </c>
      <c r="I200" s="39">
        <v>0.2</v>
      </c>
      <c r="J200" s="23">
        <v>10</v>
      </c>
      <c r="K200" s="14">
        <v>0</v>
      </c>
      <c r="L200" s="36">
        <v>1940</v>
      </c>
      <c r="M200" s="36">
        <f t="shared" si="36"/>
        <v>0</v>
      </c>
      <c r="N200" s="36">
        <v>0</v>
      </c>
      <c r="O200" s="36">
        <v>0</v>
      </c>
      <c r="P200" s="36">
        <v>0</v>
      </c>
      <c r="Q200" s="36">
        <f t="shared" si="37"/>
        <v>23</v>
      </c>
      <c r="R200" s="36">
        <v>45</v>
      </c>
      <c r="S200" s="36">
        <f t="shared" si="38"/>
        <v>23</v>
      </c>
      <c r="T200" s="36">
        <v>45</v>
      </c>
      <c r="U200" s="39">
        <v>0</v>
      </c>
      <c r="V200" s="36">
        <v>0</v>
      </c>
      <c r="W200" s="36">
        <v>0</v>
      </c>
      <c r="X200" s="36">
        <v>0</v>
      </c>
      <c r="Y200" s="39">
        <v>0</v>
      </c>
      <c r="Z200" s="39">
        <v>0</v>
      </c>
      <c r="AA200" s="39">
        <v>0</v>
      </c>
      <c r="AB200" s="39">
        <v>0</v>
      </c>
      <c r="AC200" s="39">
        <v>0</v>
      </c>
      <c r="AD200" s="39">
        <v>0</v>
      </c>
      <c r="AE200" s="44"/>
      <c r="AF200" s="41"/>
      <c r="AG200" s="41"/>
      <c r="AH200" s="41"/>
      <c r="AI200" s="41"/>
      <c r="AJ200" s="41"/>
      <c r="AK200" s="41"/>
      <c r="AL200" s="41"/>
      <c r="AM200" s="41"/>
      <c r="AN200" s="41"/>
      <c r="AO200" s="41"/>
      <c r="AP200" s="41"/>
      <c r="AQ200" s="41"/>
      <c r="AR200" s="41"/>
      <c r="AS200" s="41"/>
      <c r="AT200" s="41"/>
      <c r="AU200" s="41"/>
      <c r="AV200" s="41"/>
      <c r="AW200" s="41"/>
      <c r="AX200" s="41"/>
      <c r="AY200" s="41"/>
      <c r="AZ200" s="41"/>
      <c r="BA200" s="41"/>
      <c r="BB200" s="41"/>
      <c r="BC200" s="41"/>
      <c r="BD200" s="41"/>
      <c r="BE200" s="41"/>
      <c r="BF200" s="41"/>
      <c r="BG200" s="41"/>
      <c r="BH200" s="41"/>
      <c r="BI200" s="41"/>
      <c r="BJ200" s="41"/>
      <c r="BK200" s="41"/>
      <c r="BL200" s="41"/>
      <c r="BM200" s="41"/>
      <c r="BN200" s="41"/>
      <c r="BO200" s="41"/>
      <c r="BP200" s="41"/>
      <c r="BQ200" s="41"/>
      <c r="BR200" s="41"/>
      <c r="BS200" s="41"/>
      <c r="BT200" s="41"/>
      <c r="BU200" s="41"/>
      <c r="BV200" s="41"/>
      <c r="BW200" s="41"/>
      <c r="BX200" s="41"/>
      <c r="BY200" s="41"/>
      <c r="BZ200" s="41"/>
      <c r="CA200" s="41"/>
      <c r="CB200" s="41"/>
      <c r="CC200" s="41"/>
      <c r="CD200" s="41"/>
      <c r="CE200" s="41"/>
      <c r="CF200" s="41"/>
      <c r="CG200" s="41"/>
      <c r="CH200" s="41"/>
      <c r="CI200" s="41"/>
      <c r="CJ200" s="41"/>
      <c r="CK200" s="41"/>
      <c r="CL200" s="41"/>
      <c r="CM200" s="41"/>
      <c r="CN200" s="41"/>
      <c r="CO200" s="41"/>
      <c r="CP200" s="41"/>
      <c r="CQ200" s="41"/>
      <c r="CR200" s="41"/>
      <c r="CS200" s="41"/>
      <c r="CT200" s="41"/>
      <c r="CU200" s="41"/>
      <c r="CV200" s="41"/>
      <c r="CW200" s="41"/>
      <c r="CX200" s="41"/>
      <c r="CY200" s="41"/>
      <c r="CZ200" s="41"/>
      <c r="DA200" s="41"/>
      <c r="DB200" s="41"/>
      <c r="DC200" s="41"/>
      <c r="DD200" s="41"/>
      <c r="DE200" s="41"/>
      <c r="DF200" s="41"/>
      <c r="DG200" s="41"/>
      <c r="DH200" s="41"/>
      <c r="DI200" s="41"/>
      <c r="DJ200" s="41"/>
      <c r="DK200" s="41"/>
      <c r="DL200" s="41"/>
      <c r="DM200" s="41"/>
      <c r="DN200" s="41"/>
      <c r="DO200" s="41"/>
      <c r="DP200" s="41"/>
      <c r="DQ200" s="41"/>
      <c r="DR200" s="41"/>
      <c r="DS200" s="41"/>
      <c r="DT200" s="41"/>
      <c r="DU200" s="41"/>
      <c r="DV200" s="41"/>
      <c r="DW200" s="41"/>
      <c r="DX200" s="41"/>
      <c r="DY200" s="41"/>
      <c r="DZ200" s="41"/>
      <c r="EA200" s="41"/>
      <c r="EB200" s="41"/>
      <c r="EC200" s="41"/>
      <c r="ED200" s="41"/>
      <c r="EE200" s="41"/>
      <c r="EF200" s="41"/>
      <c r="EG200" s="41"/>
      <c r="EH200" s="41"/>
      <c r="EI200" s="41"/>
      <c r="EJ200" s="41"/>
      <c r="EK200" s="41"/>
      <c r="EL200" s="41"/>
      <c r="EM200" s="41"/>
      <c r="EN200" s="41"/>
      <c r="EO200" s="41"/>
      <c r="EP200" s="41"/>
      <c r="EQ200" s="41"/>
      <c r="ER200" s="41"/>
      <c r="ES200" s="41"/>
      <c r="ET200" s="41"/>
      <c r="EU200" s="41"/>
      <c r="EV200" s="41"/>
      <c r="EW200" s="41"/>
      <c r="EX200" s="41"/>
      <c r="EY200" s="41"/>
      <c r="EZ200" s="41"/>
      <c r="FA200" s="41"/>
      <c r="FB200" s="41"/>
      <c r="FC200" s="41"/>
      <c r="FD200" s="41"/>
      <c r="FE200" s="41"/>
      <c r="FF200" s="41"/>
      <c r="FG200" s="41"/>
      <c r="FH200" s="41"/>
      <c r="FI200" s="41"/>
      <c r="FJ200" s="41"/>
      <c r="FK200" s="41"/>
      <c r="FL200" s="41"/>
      <c r="FM200" s="41"/>
      <c r="FN200" s="41"/>
      <c r="FO200" s="41"/>
      <c r="FP200" s="41"/>
      <c r="FQ200" s="41"/>
      <c r="FR200" s="41"/>
      <c r="FS200" s="41"/>
      <c r="FT200" s="41"/>
      <c r="FU200" s="41"/>
      <c r="FV200" s="41"/>
      <c r="FW200" s="41"/>
      <c r="FX200" s="41"/>
      <c r="FY200" s="41"/>
      <c r="FZ200" s="41"/>
      <c r="GA200" s="41"/>
      <c r="GB200" s="41"/>
      <c r="GC200" s="41"/>
      <c r="GD200" s="41"/>
      <c r="GE200" s="41"/>
      <c r="GF200" s="41"/>
      <c r="GG200" s="41"/>
      <c r="GH200" s="41"/>
      <c r="GI200" s="41"/>
      <c r="GJ200" s="41"/>
      <c r="GK200" s="41"/>
      <c r="GL200" s="41"/>
      <c r="GM200" s="41"/>
      <c r="GN200" s="41"/>
      <c r="GO200" s="41"/>
      <c r="GP200" s="41"/>
      <c r="GQ200" s="41"/>
      <c r="GR200" s="41"/>
      <c r="GS200" s="41"/>
      <c r="GT200" s="41"/>
      <c r="GU200" s="41"/>
      <c r="GV200" s="41"/>
      <c r="GW200" s="41"/>
      <c r="GX200" s="41"/>
      <c r="GY200" s="41"/>
      <c r="GZ200" s="41"/>
      <c r="HA200" s="41"/>
      <c r="HB200" s="41"/>
      <c r="HC200" s="41"/>
      <c r="HD200" s="41"/>
      <c r="HE200" s="41"/>
      <c r="HF200" s="41"/>
      <c r="HG200" s="41"/>
      <c r="HH200" s="41"/>
      <c r="HI200" s="41"/>
      <c r="HJ200" s="41"/>
      <c r="HK200" s="41"/>
      <c r="HL200" s="41"/>
      <c r="HM200" s="41"/>
      <c r="HN200" s="41"/>
      <c r="HO200" s="41"/>
      <c r="HP200" s="41"/>
    </row>
    <row r="201" spans="3:224" s="5" customFormat="1" ht="20.100000000000001" customHeight="1">
      <c r="C201" s="35">
        <v>15211002</v>
      </c>
      <c r="D201" s="36" t="s">
        <v>240</v>
      </c>
      <c r="E201" s="36">
        <v>1140003</v>
      </c>
      <c r="F201" s="36">
        <v>12011</v>
      </c>
      <c r="G201" s="36">
        <v>1</v>
      </c>
      <c r="H201" s="36">
        <v>30</v>
      </c>
      <c r="I201" s="39">
        <v>0.2</v>
      </c>
      <c r="J201" s="23">
        <v>10</v>
      </c>
      <c r="K201" s="14">
        <v>0</v>
      </c>
      <c r="L201" s="36">
        <v>2340</v>
      </c>
      <c r="M201" s="36">
        <f t="shared" si="36"/>
        <v>0</v>
      </c>
      <c r="N201" s="36">
        <v>0</v>
      </c>
      <c r="O201" s="36">
        <v>0</v>
      </c>
      <c r="P201" s="36">
        <v>0</v>
      </c>
      <c r="Q201" s="36">
        <f t="shared" si="37"/>
        <v>28</v>
      </c>
      <c r="R201" s="36">
        <v>56</v>
      </c>
      <c r="S201" s="36">
        <f t="shared" si="38"/>
        <v>28</v>
      </c>
      <c r="T201" s="36">
        <v>56</v>
      </c>
      <c r="U201" s="39">
        <v>0</v>
      </c>
      <c r="V201" s="36">
        <v>0</v>
      </c>
      <c r="W201" s="36">
        <v>0</v>
      </c>
      <c r="X201" s="36">
        <v>0</v>
      </c>
      <c r="Y201" s="39">
        <v>0</v>
      </c>
      <c r="Z201" s="39">
        <v>0</v>
      </c>
      <c r="AA201" s="39">
        <v>0</v>
      </c>
      <c r="AB201" s="39">
        <v>0</v>
      </c>
      <c r="AC201" s="39">
        <v>0</v>
      </c>
      <c r="AD201" s="39">
        <v>0</v>
      </c>
      <c r="AE201" s="44"/>
      <c r="AF201" s="41"/>
      <c r="AG201" s="41"/>
      <c r="AH201" s="41"/>
      <c r="AI201" s="41"/>
      <c r="AJ201" s="41"/>
      <c r="AK201" s="41"/>
      <c r="AL201" s="41"/>
      <c r="AM201" s="41"/>
      <c r="AN201" s="41"/>
      <c r="AO201" s="41"/>
      <c r="AP201" s="41"/>
      <c r="AQ201" s="41"/>
      <c r="AR201" s="41"/>
      <c r="AS201" s="41"/>
      <c r="AT201" s="41"/>
      <c r="AU201" s="41"/>
      <c r="AV201" s="41"/>
      <c r="AW201" s="41"/>
      <c r="AX201" s="41"/>
      <c r="AY201" s="41"/>
      <c r="AZ201" s="41"/>
      <c r="BA201" s="41"/>
      <c r="BB201" s="41"/>
      <c r="BC201" s="41"/>
      <c r="BD201" s="41"/>
      <c r="BE201" s="41"/>
      <c r="BF201" s="41"/>
      <c r="BG201" s="41"/>
      <c r="BH201" s="41"/>
      <c r="BI201" s="41"/>
      <c r="BJ201" s="41"/>
      <c r="BK201" s="41"/>
      <c r="BL201" s="41"/>
      <c r="BM201" s="41"/>
      <c r="BN201" s="41"/>
      <c r="BO201" s="41"/>
      <c r="BP201" s="41"/>
      <c r="BQ201" s="41"/>
      <c r="BR201" s="41"/>
      <c r="BS201" s="41"/>
      <c r="BT201" s="41"/>
      <c r="BU201" s="41"/>
      <c r="BV201" s="41"/>
      <c r="BW201" s="41"/>
      <c r="BX201" s="41"/>
      <c r="BY201" s="41"/>
      <c r="BZ201" s="41"/>
      <c r="CA201" s="41"/>
      <c r="CB201" s="41"/>
      <c r="CC201" s="41"/>
      <c r="CD201" s="41"/>
      <c r="CE201" s="41"/>
      <c r="CF201" s="41"/>
      <c r="CG201" s="41"/>
      <c r="CH201" s="41"/>
      <c r="CI201" s="41"/>
      <c r="CJ201" s="41"/>
      <c r="CK201" s="41"/>
      <c r="CL201" s="41"/>
      <c r="CM201" s="41"/>
      <c r="CN201" s="41"/>
      <c r="CO201" s="41"/>
      <c r="CP201" s="41"/>
      <c r="CQ201" s="41"/>
      <c r="CR201" s="41"/>
      <c r="CS201" s="41"/>
      <c r="CT201" s="41"/>
      <c r="CU201" s="41"/>
      <c r="CV201" s="41"/>
      <c r="CW201" s="41"/>
      <c r="CX201" s="41"/>
      <c r="CY201" s="41"/>
      <c r="CZ201" s="41"/>
      <c r="DA201" s="41"/>
      <c r="DB201" s="41"/>
      <c r="DC201" s="41"/>
      <c r="DD201" s="41"/>
      <c r="DE201" s="41"/>
      <c r="DF201" s="41"/>
      <c r="DG201" s="41"/>
      <c r="DH201" s="41"/>
      <c r="DI201" s="41"/>
      <c r="DJ201" s="41"/>
      <c r="DK201" s="41"/>
      <c r="DL201" s="41"/>
      <c r="DM201" s="41"/>
      <c r="DN201" s="41"/>
      <c r="DO201" s="41"/>
      <c r="DP201" s="41"/>
      <c r="DQ201" s="41"/>
      <c r="DR201" s="41"/>
      <c r="DS201" s="41"/>
      <c r="DT201" s="41"/>
      <c r="DU201" s="41"/>
      <c r="DV201" s="41"/>
      <c r="DW201" s="41"/>
      <c r="DX201" s="41"/>
      <c r="DY201" s="41"/>
      <c r="DZ201" s="41"/>
      <c r="EA201" s="41"/>
      <c r="EB201" s="41"/>
      <c r="EC201" s="41"/>
      <c r="ED201" s="41"/>
      <c r="EE201" s="41"/>
      <c r="EF201" s="41"/>
      <c r="EG201" s="41"/>
      <c r="EH201" s="41"/>
      <c r="EI201" s="41"/>
      <c r="EJ201" s="41"/>
      <c r="EK201" s="41"/>
      <c r="EL201" s="41"/>
      <c r="EM201" s="41"/>
      <c r="EN201" s="41"/>
      <c r="EO201" s="41"/>
      <c r="EP201" s="41"/>
      <c r="EQ201" s="41"/>
      <c r="ER201" s="41"/>
      <c r="ES201" s="41"/>
      <c r="ET201" s="41"/>
      <c r="EU201" s="41"/>
      <c r="EV201" s="41"/>
      <c r="EW201" s="41"/>
      <c r="EX201" s="41"/>
      <c r="EY201" s="41"/>
      <c r="EZ201" s="41"/>
      <c r="FA201" s="41"/>
      <c r="FB201" s="41"/>
      <c r="FC201" s="41"/>
      <c r="FD201" s="41"/>
      <c r="FE201" s="41"/>
      <c r="FF201" s="41"/>
      <c r="FG201" s="41"/>
      <c r="FH201" s="41"/>
      <c r="FI201" s="41"/>
      <c r="FJ201" s="41"/>
      <c r="FK201" s="41"/>
      <c r="FL201" s="41"/>
      <c r="FM201" s="41"/>
      <c r="FN201" s="41"/>
      <c r="FO201" s="41"/>
      <c r="FP201" s="41"/>
      <c r="FQ201" s="41"/>
      <c r="FR201" s="41"/>
      <c r="FS201" s="41"/>
      <c r="FT201" s="41"/>
      <c r="FU201" s="41"/>
      <c r="FV201" s="41"/>
      <c r="FW201" s="41"/>
      <c r="FX201" s="41"/>
      <c r="FY201" s="41"/>
      <c r="FZ201" s="41"/>
      <c r="GA201" s="41"/>
      <c r="GB201" s="41"/>
      <c r="GC201" s="41"/>
      <c r="GD201" s="41"/>
      <c r="GE201" s="41"/>
      <c r="GF201" s="41"/>
      <c r="GG201" s="41"/>
      <c r="GH201" s="41"/>
      <c r="GI201" s="41"/>
      <c r="GJ201" s="41"/>
      <c r="GK201" s="41"/>
      <c r="GL201" s="41"/>
      <c r="GM201" s="41"/>
      <c r="GN201" s="41"/>
      <c r="GO201" s="41"/>
      <c r="GP201" s="41"/>
      <c r="GQ201" s="41"/>
      <c r="GR201" s="41"/>
      <c r="GS201" s="41"/>
      <c r="GT201" s="41"/>
      <c r="GU201" s="41"/>
      <c r="GV201" s="41"/>
      <c r="GW201" s="41"/>
      <c r="GX201" s="41"/>
      <c r="GY201" s="41"/>
      <c r="GZ201" s="41"/>
      <c r="HA201" s="41"/>
      <c r="HB201" s="41"/>
      <c r="HC201" s="41"/>
      <c r="HD201" s="41"/>
      <c r="HE201" s="41"/>
      <c r="HF201" s="41"/>
      <c r="HG201" s="41"/>
      <c r="HH201" s="41"/>
      <c r="HI201" s="41"/>
      <c r="HJ201" s="41"/>
      <c r="HK201" s="41"/>
      <c r="HL201" s="41"/>
      <c r="HM201" s="41"/>
      <c r="HN201" s="41"/>
      <c r="HO201" s="41"/>
      <c r="HP201" s="41"/>
    </row>
    <row r="202" spans="3:224" s="5" customFormat="1" ht="20.100000000000001" customHeight="1">
      <c r="C202" s="35">
        <v>15211003</v>
      </c>
      <c r="D202" s="36" t="s">
        <v>241</v>
      </c>
      <c r="E202" s="36">
        <v>1140003</v>
      </c>
      <c r="F202" s="36">
        <v>0</v>
      </c>
      <c r="G202" s="36">
        <v>1</v>
      </c>
      <c r="H202" s="36">
        <v>30</v>
      </c>
      <c r="I202" s="39">
        <v>0.2</v>
      </c>
      <c r="J202" s="23">
        <v>10</v>
      </c>
      <c r="K202" s="14">
        <v>0</v>
      </c>
      <c r="L202" s="36">
        <v>970</v>
      </c>
      <c r="M202" s="36">
        <f t="shared" si="36"/>
        <v>0</v>
      </c>
      <c r="N202" s="36">
        <v>0</v>
      </c>
      <c r="O202" s="36">
        <v>0</v>
      </c>
      <c r="P202" s="36">
        <v>0</v>
      </c>
      <c r="Q202" s="36">
        <f t="shared" si="37"/>
        <v>17</v>
      </c>
      <c r="R202" s="36">
        <v>34</v>
      </c>
      <c r="S202" s="36">
        <f t="shared" si="38"/>
        <v>17</v>
      </c>
      <c r="T202" s="36">
        <v>34</v>
      </c>
      <c r="U202" s="39">
        <v>0</v>
      </c>
      <c r="V202" s="36">
        <v>0</v>
      </c>
      <c r="W202" s="36">
        <v>0</v>
      </c>
      <c r="X202" s="36">
        <v>0</v>
      </c>
      <c r="Y202" s="39">
        <v>0</v>
      </c>
      <c r="Z202" s="39">
        <v>0</v>
      </c>
      <c r="AA202" s="39">
        <v>0</v>
      </c>
      <c r="AB202" s="39">
        <v>0</v>
      </c>
      <c r="AC202" s="39">
        <v>0</v>
      </c>
      <c r="AD202" s="39">
        <v>0</v>
      </c>
      <c r="AE202" s="44"/>
      <c r="AF202" s="41"/>
      <c r="AG202" s="41"/>
      <c r="AH202" s="41"/>
      <c r="AI202" s="41"/>
      <c r="AJ202" s="41"/>
      <c r="AK202" s="41"/>
      <c r="AL202" s="41"/>
      <c r="AM202" s="41"/>
      <c r="AN202" s="41"/>
      <c r="AO202" s="41"/>
      <c r="AP202" s="41"/>
      <c r="AQ202" s="41"/>
      <c r="AR202" s="41"/>
      <c r="AS202" s="41"/>
      <c r="AT202" s="41"/>
      <c r="AU202" s="41"/>
      <c r="AV202" s="41"/>
      <c r="AW202" s="41"/>
      <c r="AX202" s="41"/>
      <c r="AY202" s="41"/>
      <c r="AZ202" s="41"/>
      <c r="BA202" s="41"/>
      <c r="BB202" s="41"/>
      <c r="BC202" s="41"/>
      <c r="BD202" s="41"/>
      <c r="BE202" s="41"/>
      <c r="BF202" s="41"/>
      <c r="BG202" s="41"/>
      <c r="BH202" s="41"/>
      <c r="BI202" s="41"/>
      <c r="BJ202" s="41"/>
      <c r="BK202" s="41"/>
      <c r="BL202" s="41"/>
      <c r="BM202" s="41"/>
      <c r="BN202" s="41"/>
      <c r="BO202" s="41"/>
      <c r="BP202" s="41"/>
      <c r="BQ202" s="41"/>
      <c r="BR202" s="41"/>
      <c r="BS202" s="41"/>
      <c r="BT202" s="41"/>
      <c r="BU202" s="41"/>
      <c r="BV202" s="41"/>
      <c r="BW202" s="41"/>
      <c r="BX202" s="41"/>
      <c r="BY202" s="41"/>
      <c r="BZ202" s="41"/>
      <c r="CA202" s="41"/>
      <c r="CB202" s="41"/>
      <c r="CC202" s="41"/>
      <c r="CD202" s="41"/>
      <c r="CE202" s="41"/>
      <c r="CF202" s="41"/>
      <c r="CG202" s="41"/>
      <c r="CH202" s="41"/>
      <c r="CI202" s="41"/>
      <c r="CJ202" s="41"/>
      <c r="CK202" s="41"/>
      <c r="CL202" s="41"/>
      <c r="CM202" s="41"/>
      <c r="CN202" s="41"/>
      <c r="CO202" s="41"/>
      <c r="CP202" s="41"/>
      <c r="CQ202" s="41"/>
      <c r="CR202" s="41"/>
      <c r="CS202" s="41"/>
      <c r="CT202" s="41"/>
      <c r="CU202" s="41"/>
      <c r="CV202" s="41"/>
      <c r="CW202" s="41"/>
      <c r="CX202" s="41"/>
      <c r="CY202" s="41"/>
      <c r="CZ202" s="41"/>
      <c r="DA202" s="41"/>
      <c r="DB202" s="41"/>
      <c r="DC202" s="41"/>
      <c r="DD202" s="41"/>
      <c r="DE202" s="41"/>
      <c r="DF202" s="41"/>
      <c r="DG202" s="41"/>
      <c r="DH202" s="41"/>
      <c r="DI202" s="41"/>
      <c r="DJ202" s="41"/>
      <c r="DK202" s="41"/>
      <c r="DL202" s="41"/>
      <c r="DM202" s="41"/>
      <c r="DN202" s="41"/>
      <c r="DO202" s="41"/>
      <c r="DP202" s="41"/>
      <c r="DQ202" s="41"/>
      <c r="DR202" s="41"/>
      <c r="DS202" s="41"/>
      <c r="DT202" s="41"/>
      <c r="DU202" s="41"/>
      <c r="DV202" s="41"/>
      <c r="DW202" s="41"/>
      <c r="DX202" s="41"/>
      <c r="DY202" s="41"/>
      <c r="DZ202" s="41"/>
      <c r="EA202" s="41"/>
      <c r="EB202" s="41"/>
      <c r="EC202" s="41"/>
      <c r="ED202" s="41"/>
      <c r="EE202" s="41"/>
      <c r="EF202" s="41"/>
      <c r="EG202" s="41"/>
      <c r="EH202" s="41"/>
      <c r="EI202" s="41"/>
      <c r="EJ202" s="41"/>
      <c r="EK202" s="41"/>
      <c r="EL202" s="41"/>
      <c r="EM202" s="41"/>
      <c r="EN202" s="41"/>
      <c r="EO202" s="41"/>
      <c r="EP202" s="41"/>
      <c r="EQ202" s="41"/>
      <c r="ER202" s="41"/>
      <c r="ES202" s="41"/>
      <c r="ET202" s="41"/>
      <c r="EU202" s="41"/>
      <c r="EV202" s="41"/>
      <c r="EW202" s="41"/>
      <c r="EX202" s="41"/>
      <c r="EY202" s="41"/>
      <c r="EZ202" s="41"/>
      <c r="FA202" s="41"/>
      <c r="FB202" s="41"/>
      <c r="FC202" s="41"/>
      <c r="FD202" s="41"/>
      <c r="FE202" s="41"/>
      <c r="FF202" s="41"/>
      <c r="FG202" s="41"/>
      <c r="FH202" s="41"/>
      <c r="FI202" s="41"/>
      <c r="FJ202" s="41"/>
      <c r="FK202" s="41"/>
      <c r="FL202" s="41"/>
      <c r="FM202" s="41"/>
      <c r="FN202" s="41"/>
      <c r="FO202" s="41"/>
      <c r="FP202" s="41"/>
      <c r="FQ202" s="41"/>
      <c r="FR202" s="41"/>
      <c r="FS202" s="41"/>
      <c r="FT202" s="41"/>
      <c r="FU202" s="41"/>
      <c r="FV202" s="41"/>
      <c r="FW202" s="41"/>
      <c r="FX202" s="41"/>
      <c r="FY202" s="41"/>
      <c r="FZ202" s="41"/>
      <c r="GA202" s="41"/>
      <c r="GB202" s="41"/>
      <c r="GC202" s="41"/>
      <c r="GD202" s="41"/>
      <c r="GE202" s="41"/>
      <c r="GF202" s="41"/>
      <c r="GG202" s="41"/>
      <c r="GH202" s="41"/>
      <c r="GI202" s="41"/>
      <c r="GJ202" s="41"/>
      <c r="GK202" s="41"/>
      <c r="GL202" s="41"/>
      <c r="GM202" s="41"/>
      <c r="GN202" s="41"/>
      <c r="GO202" s="41"/>
      <c r="GP202" s="41"/>
      <c r="GQ202" s="41"/>
      <c r="GR202" s="41"/>
      <c r="GS202" s="41"/>
      <c r="GT202" s="41"/>
      <c r="GU202" s="41"/>
      <c r="GV202" s="41"/>
      <c r="GW202" s="41"/>
      <c r="GX202" s="41"/>
      <c r="GY202" s="41"/>
      <c r="GZ202" s="41"/>
      <c r="HA202" s="41"/>
      <c r="HB202" s="41"/>
      <c r="HC202" s="41"/>
      <c r="HD202" s="41"/>
      <c r="HE202" s="41"/>
      <c r="HF202" s="41"/>
      <c r="HG202" s="41"/>
      <c r="HH202" s="41"/>
      <c r="HI202" s="41"/>
      <c r="HJ202" s="41"/>
      <c r="HK202" s="41"/>
      <c r="HL202" s="41"/>
      <c r="HM202" s="41"/>
      <c r="HN202" s="41"/>
      <c r="HO202" s="41"/>
      <c r="HP202" s="41"/>
    </row>
    <row r="203" spans="3:224" s="5" customFormat="1" ht="20.100000000000001" customHeight="1">
      <c r="C203" s="35">
        <v>15211004</v>
      </c>
      <c r="D203" s="36" t="s">
        <v>242</v>
      </c>
      <c r="E203" s="36">
        <v>1140003</v>
      </c>
      <c r="F203" s="36">
        <v>12021</v>
      </c>
      <c r="G203" s="36">
        <v>1</v>
      </c>
      <c r="H203" s="36">
        <v>30</v>
      </c>
      <c r="I203" s="39">
        <v>0.2</v>
      </c>
      <c r="J203" s="23">
        <v>10</v>
      </c>
      <c r="K203" s="14">
        <v>0</v>
      </c>
      <c r="L203" s="36">
        <v>1180</v>
      </c>
      <c r="M203" s="36">
        <f t="shared" si="36"/>
        <v>0</v>
      </c>
      <c r="N203" s="36">
        <v>0</v>
      </c>
      <c r="O203" s="36">
        <v>0</v>
      </c>
      <c r="P203" s="36">
        <v>0</v>
      </c>
      <c r="Q203" s="36">
        <f t="shared" si="37"/>
        <v>21</v>
      </c>
      <c r="R203" s="36">
        <v>42</v>
      </c>
      <c r="S203" s="36">
        <f t="shared" si="38"/>
        <v>21</v>
      </c>
      <c r="T203" s="36">
        <v>42</v>
      </c>
      <c r="U203" s="39">
        <v>0</v>
      </c>
      <c r="V203" s="36">
        <v>0</v>
      </c>
      <c r="W203" s="36">
        <v>0</v>
      </c>
      <c r="X203" s="36">
        <v>0</v>
      </c>
      <c r="Y203" s="39">
        <v>0</v>
      </c>
      <c r="Z203" s="39">
        <v>0</v>
      </c>
      <c r="AA203" s="39">
        <v>0</v>
      </c>
      <c r="AB203" s="39">
        <v>0</v>
      </c>
      <c r="AC203" s="39">
        <v>0</v>
      </c>
      <c r="AD203" s="39">
        <v>0</v>
      </c>
      <c r="AE203" s="44"/>
      <c r="AF203" s="41"/>
      <c r="AG203" s="41"/>
      <c r="AH203" s="41"/>
      <c r="AI203" s="41"/>
      <c r="AJ203" s="41"/>
      <c r="AK203" s="41"/>
      <c r="AL203" s="41"/>
      <c r="AM203" s="41"/>
      <c r="AN203" s="41"/>
      <c r="AO203" s="41"/>
      <c r="AP203" s="41"/>
      <c r="AQ203" s="41"/>
      <c r="AR203" s="41"/>
      <c r="AS203" s="41"/>
      <c r="AT203" s="41"/>
      <c r="AU203" s="41"/>
      <c r="AV203" s="41"/>
      <c r="AW203" s="41"/>
      <c r="AX203" s="41"/>
      <c r="AY203" s="41"/>
      <c r="AZ203" s="41"/>
      <c r="BA203" s="41"/>
      <c r="BB203" s="41"/>
      <c r="BC203" s="41"/>
      <c r="BD203" s="41"/>
      <c r="BE203" s="41"/>
      <c r="BF203" s="41"/>
      <c r="BG203" s="41"/>
      <c r="BH203" s="41"/>
      <c r="BI203" s="41"/>
      <c r="BJ203" s="41"/>
      <c r="BK203" s="41"/>
      <c r="BL203" s="41"/>
      <c r="BM203" s="41"/>
      <c r="BN203" s="41"/>
      <c r="BO203" s="41"/>
      <c r="BP203" s="41"/>
      <c r="BQ203" s="41"/>
      <c r="BR203" s="41"/>
      <c r="BS203" s="41"/>
      <c r="BT203" s="41"/>
      <c r="BU203" s="41"/>
      <c r="BV203" s="41"/>
      <c r="BW203" s="41"/>
      <c r="BX203" s="41"/>
      <c r="BY203" s="41"/>
      <c r="BZ203" s="41"/>
      <c r="CA203" s="41"/>
      <c r="CB203" s="41"/>
      <c r="CC203" s="41"/>
      <c r="CD203" s="41"/>
      <c r="CE203" s="41"/>
      <c r="CF203" s="41"/>
      <c r="CG203" s="41"/>
      <c r="CH203" s="41"/>
      <c r="CI203" s="41"/>
      <c r="CJ203" s="41"/>
      <c r="CK203" s="41"/>
      <c r="CL203" s="41"/>
      <c r="CM203" s="41"/>
      <c r="CN203" s="41"/>
      <c r="CO203" s="41"/>
      <c r="CP203" s="41"/>
      <c r="CQ203" s="41"/>
      <c r="CR203" s="41"/>
      <c r="CS203" s="41"/>
      <c r="CT203" s="41"/>
      <c r="CU203" s="41"/>
      <c r="CV203" s="41"/>
      <c r="CW203" s="41"/>
      <c r="CX203" s="41"/>
      <c r="CY203" s="41"/>
      <c r="CZ203" s="41"/>
      <c r="DA203" s="41"/>
      <c r="DB203" s="41"/>
      <c r="DC203" s="41"/>
      <c r="DD203" s="41"/>
      <c r="DE203" s="41"/>
      <c r="DF203" s="41"/>
      <c r="DG203" s="41"/>
      <c r="DH203" s="41"/>
      <c r="DI203" s="41"/>
      <c r="DJ203" s="41"/>
      <c r="DK203" s="41"/>
      <c r="DL203" s="41"/>
      <c r="DM203" s="41"/>
      <c r="DN203" s="41"/>
      <c r="DO203" s="41"/>
      <c r="DP203" s="41"/>
      <c r="DQ203" s="41"/>
      <c r="DR203" s="41"/>
      <c r="DS203" s="41"/>
      <c r="DT203" s="41"/>
      <c r="DU203" s="41"/>
      <c r="DV203" s="41"/>
      <c r="DW203" s="41"/>
      <c r="DX203" s="41"/>
      <c r="DY203" s="41"/>
      <c r="DZ203" s="41"/>
      <c r="EA203" s="41"/>
      <c r="EB203" s="41"/>
      <c r="EC203" s="41"/>
      <c r="ED203" s="41"/>
      <c r="EE203" s="41"/>
      <c r="EF203" s="41"/>
      <c r="EG203" s="41"/>
      <c r="EH203" s="41"/>
      <c r="EI203" s="41"/>
      <c r="EJ203" s="41"/>
      <c r="EK203" s="41"/>
      <c r="EL203" s="41"/>
      <c r="EM203" s="41"/>
      <c r="EN203" s="41"/>
      <c r="EO203" s="41"/>
      <c r="EP203" s="41"/>
      <c r="EQ203" s="41"/>
      <c r="ER203" s="41"/>
      <c r="ES203" s="41"/>
      <c r="ET203" s="41"/>
      <c r="EU203" s="41"/>
      <c r="EV203" s="41"/>
      <c r="EW203" s="41"/>
      <c r="EX203" s="41"/>
      <c r="EY203" s="41"/>
      <c r="EZ203" s="41"/>
      <c r="FA203" s="41"/>
      <c r="FB203" s="41"/>
      <c r="FC203" s="41"/>
      <c r="FD203" s="41"/>
      <c r="FE203" s="41"/>
      <c r="FF203" s="41"/>
      <c r="FG203" s="41"/>
      <c r="FH203" s="41"/>
      <c r="FI203" s="41"/>
      <c r="FJ203" s="41"/>
      <c r="FK203" s="41"/>
      <c r="FL203" s="41"/>
      <c r="FM203" s="41"/>
      <c r="FN203" s="41"/>
      <c r="FO203" s="41"/>
      <c r="FP203" s="41"/>
      <c r="FQ203" s="41"/>
      <c r="FR203" s="41"/>
      <c r="FS203" s="41"/>
      <c r="FT203" s="41"/>
      <c r="FU203" s="41"/>
      <c r="FV203" s="41"/>
      <c r="FW203" s="41"/>
      <c r="FX203" s="41"/>
      <c r="FY203" s="41"/>
      <c r="FZ203" s="41"/>
      <c r="GA203" s="41"/>
      <c r="GB203" s="41"/>
      <c r="GC203" s="41"/>
      <c r="GD203" s="41"/>
      <c r="GE203" s="41"/>
      <c r="GF203" s="41"/>
      <c r="GG203" s="41"/>
      <c r="GH203" s="41"/>
      <c r="GI203" s="41"/>
      <c r="GJ203" s="41"/>
      <c r="GK203" s="41"/>
      <c r="GL203" s="41"/>
      <c r="GM203" s="41"/>
      <c r="GN203" s="41"/>
      <c r="GO203" s="41"/>
      <c r="GP203" s="41"/>
      <c r="GQ203" s="41"/>
      <c r="GR203" s="41"/>
      <c r="GS203" s="41"/>
      <c r="GT203" s="41"/>
      <c r="GU203" s="41"/>
      <c r="GV203" s="41"/>
      <c r="GW203" s="41"/>
      <c r="GX203" s="41"/>
      <c r="GY203" s="41"/>
      <c r="GZ203" s="41"/>
      <c r="HA203" s="41"/>
      <c r="HB203" s="41"/>
      <c r="HC203" s="41"/>
      <c r="HD203" s="41"/>
      <c r="HE203" s="41"/>
      <c r="HF203" s="41"/>
      <c r="HG203" s="41"/>
      <c r="HH203" s="41"/>
      <c r="HI203" s="41"/>
      <c r="HJ203" s="41"/>
      <c r="HK203" s="41"/>
      <c r="HL203" s="41"/>
      <c r="HM203" s="41"/>
      <c r="HN203" s="41"/>
      <c r="HO203" s="41"/>
      <c r="HP203" s="41"/>
    </row>
    <row r="204" spans="3:224" s="5" customFormat="1" ht="20.100000000000001" customHeight="1">
      <c r="C204" s="35">
        <v>15211005</v>
      </c>
      <c r="D204" s="36" t="s">
        <v>243</v>
      </c>
      <c r="E204" s="36">
        <v>1140003</v>
      </c>
      <c r="F204" s="36">
        <v>0</v>
      </c>
      <c r="G204" s="36">
        <v>1</v>
      </c>
      <c r="H204" s="36">
        <v>30</v>
      </c>
      <c r="I204" s="39">
        <v>0.2</v>
      </c>
      <c r="J204" s="23">
        <v>10</v>
      </c>
      <c r="K204" s="14">
        <v>0</v>
      </c>
      <c r="L204" s="36">
        <v>2920</v>
      </c>
      <c r="M204" s="36">
        <f t="shared" si="36"/>
        <v>0</v>
      </c>
      <c r="N204" s="36">
        <v>0</v>
      </c>
      <c r="O204" s="36">
        <v>0</v>
      </c>
      <c r="P204" s="36">
        <v>0</v>
      </c>
      <c r="Q204" s="36">
        <f t="shared" si="37"/>
        <v>28</v>
      </c>
      <c r="R204" s="36">
        <v>56</v>
      </c>
      <c r="S204" s="36">
        <f t="shared" si="38"/>
        <v>28</v>
      </c>
      <c r="T204" s="36">
        <v>56</v>
      </c>
      <c r="U204" s="39">
        <v>0</v>
      </c>
      <c r="V204" s="36">
        <v>0</v>
      </c>
      <c r="W204" s="36">
        <v>0</v>
      </c>
      <c r="X204" s="36">
        <v>0</v>
      </c>
      <c r="Y204" s="39">
        <v>0</v>
      </c>
      <c r="Z204" s="39">
        <v>0</v>
      </c>
      <c r="AA204" s="39">
        <v>0</v>
      </c>
      <c r="AB204" s="39">
        <v>0</v>
      </c>
      <c r="AC204" s="39">
        <v>0</v>
      </c>
      <c r="AD204" s="39">
        <v>0</v>
      </c>
      <c r="AE204" s="44"/>
      <c r="AF204" s="41"/>
      <c r="AG204" s="41"/>
      <c r="AH204" s="41"/>
      <c r="AI204" s="41"/>
      <c r="AJ204" s="41"/>
      <c r="AK204" s="41"/>
      <c r="AL204" s="41"/>
      <c r="AM204" s="41"/>
      <c r="AN204" s="41"/>
      <c r="AO204" s="41"/>
      <c r="AP204" s="41"/>
      <c r="AQ204" s="41"/>
      <c r="AR204" s="41"/>
      <c r="AS204" s="41"/>
      <c r="AT204" s="41"/>
      <c r="AU204" s="41"/>
      <c r="AV204" s="41"/>
      <c r="AW204" s="41"/>
      <c r="AX204" s="41"/>
      <c r="AY204" s="41"/>
      <c r="AZ204" s="41"/>
      <c r="BA204" s="41"/>
      <c r="BB204" s="41"/>
      <c r="BC204" s="41"/>
      <c r="BD204" s="41"/>
      <c r="BE204" s="41"/>
      <c r="BF204" s="41"/>
      <c r="BG204" s="41"/>
      <c r="BH204" s="41"/>
      <c r="BI204" s="41"/>
      <c r="BJ204" s="41"/>
      <c r="BK204" s="41"/>
      <c r="BL204" s="41"/>
      <c r="BM204" s="41"/>
      <c r="BN204" s="41"/>
      <c r="BO204" s="41"/>
      <c r="BP204" s="41"/>
      <c r="BQ204" s="41"/>
      <c r="BR204" s="41"/>
      <c r="BS204" s="41"/>
      <c r="BT204" s="41"/>
      <c r="BU204" s="41"/>
      <c r="BV204" s="41"/>
      <c r="BW204" s="41"/>
      <c r="BX204" s="41"/>
      <c r="BY204" s="41"/>
      <c r="BZ204" s="41"/>
      <c r="CA204" s="41"/>
      <c r="CB204" s="41"/>
      <c r="CC204" s="41"/>
      <c r="CD204" s="41"/>
      <c r="CE204" s="41"/>
      <c r="CF204" s="41"/>
      <c r="CG204" s="41"/>
      <c r="CH204" s="41"/>
      <c r="CI204" s="41"/>
      <c r="CJ204" s="41"/>
      <c r="CK204" s="41"/>
      <c r="CL204" s="41"/>
      <c r="CM204" s="41"/>
      <c r="CN204" s="41"/>
      <c r="CO204" s="41"/>
      <c r="CP204" s="41"/>
      <c r="CQ204" s="41"/>
      <c r="CR204" s="41"/>
      <c r="CS204" s="41"/>
      <c r="CT204" s="41"/>
      <c r="CU204" s="41"/>
      <c r="CV204" s="41"/>
      <c r="CW204" s="41"/>
      <c r="CX204" s="41"/>
      <c r="CY204" s="41"/>
      <c r="CZ204" s="41"/>
      <c r="DA204" s="41"/>
      <c r="DB204" s="41"/>
      <c r="DC204" s="41"/>
      <c r="DD204" s="41"/>
      <c r="DE204" s="41"/>
      <c r="DF204" s="41"/>
      <c r="DG204" s="41"/>
      <c r="DH204" s="41"/>
      <c r="DI204" s="41"/>
      <c r="DJ204" s="41"/>
      <c r="DK204" s="41"/>
      <c r="DL204" s="41"/>
      <c r="DM204" s="41"/>
      <c r="DN204" s="41"/>
      <c r="DO204" s="41"/>
      <c r="DP204" s="41"/>
      <c r="DQ204" s="41"/>
      <c r="DR204" s="41"/>
      <c r="DS204" s="41"/>
      <c r="DT204" s="41"/>
      <c r="DU204" s="41"/>
      <c r="DV204" s="41"/>
      <c r="DW204" s="41"/>
      <c r="DX204" s="41"/>
      <c r="DY204" s="41"/>
      <c r="DZ204" s="41"/>
      <c r="EA204" s="41"/>
      <c r="EB204" s="41"/>
      <c r="EC204" s="41"/>
      <c r="ED204" s="41"/>
      <c r="EE204" s="41"/>
      <c r="EF204" s="41"/>
      <c r="EG204" s="41"/>
      <c r="EH204" s="41"/>
      <c r="EI204" s="41"/>
      <c r="EJ204" s="41"/>
      <c r="EK204" s="41"/>
      <c r="EL204" s="41"/>
      <c r="EM204" s="41"/>
      <c r="EN204" s="41"/>
      <c r="EO204" s="41"/>
      <c r="EP204" s="41"/>
      <c r="EQ204" s="41"/>
      <c r="ER204" s="41"/>
      <c r="ES204" s="41"/>
      <c r="ET204" s="41"/>
      <c r="EU204" s="41"/>
      <c r="EV204" s="41"/>
      <c r="EW204" s="41"/>
      <c r="EX204" s="41"/>
      <c r="EY204" s="41"/>
      <c r="EZ204" s="41"/>
      <c r="FA204" s="41"/>
      <c r="FB204" s="41"/>
      <c r="FC204" s="41"/>
      <c r="FD204" s="41"/>
      <c r="FE204" s="41"/>
      <c r="FF204" s="41"/>
      <c r="FG204" s="41"/>
      <c r="FH204" s="41"/>
      <c r="FI204" s="41"/>
      <c r="FJ204" s="41"/>
      <c r="FK204" s="41"/>
      <c r="FL204" s="41"/>
      <c r="FM204" s="41"/>
      <c r="FN204" s="41"/>
      <c r="FO204" s="41"/>
      <c r="FP204" s="41"/>
      <c r="FQ204" s="41"/>
      <c r="FR204" s="41"/>
      <c r="FS204" s="41"/>
      <c r="FT204" s="41"/>
      <c r="FU204" s="41"/>
      <c r="FV204" s="41"/>
      <c r="FW204" s="41"/>
      <c r="FX204" s="41"/>
      <c r="FY204" s="41"/>
      <c r="FZ204" s="41"/>
      <c r="GA204" s="41"/>
      <c r="GB204" s="41"/>
      <c r="GC204" s="41"/>
      <c r="GD204" s="41"/>
      <c r="GE204" s="41"/>
      <c r="GF204" s="41"/>
      <c r="GG204" s="41"/>
      <c r="GH204" s="41"/>
      <c r="GI204" s="41"/>
      <c r="GJ204" s="41"/>
      <c r="GK204" s="41"/>
      <c r="GL204" s="41"/>
      <c r="GM204" s="41"/>
      <c r="GN204" s="41"/>
      <c r="GO204" s="41"/>
      <c r="GP204" s="41"/>
      <c r="GQ204" s="41"/>
      <c r="GR204" s="41"/>
      <c r="GS204" s="41"/>
      <c r="GT204" s="41"/>
      <c r="GU204" s="41"/>
      <c r="GV204" s="41"/>
      <c r="GW204" s="41"/>
      <c r="GX204" s="41"/>
      <c r="GY204" s="41"/>
      <c r="GZ204" s="41"/>
      <c r="HA204" s="41"/>
      <c r="HB204" s="41"/>
      <c r="HC204" s="41"/>
      <c r="HD204" s="41"/>
      <c r="HE204" s="41"/>
      <c r="HF204" s="41"/>
      <c r="HG204" s="41"/>
      <c r="HH204" s="41"/>
      <c r="HI204" s="41"/>
      <c r="HJ204" s="41"/>
      <c r="HK204" s="41"/>
      <c r="HL204" s="41"/>
      <c r="HM204" s="41"/>
      <c r="HN204" s="41"/>
      <c r="HO204" s="41"/>
      <c r="HP204" s="41"/>
    </row>
    <row r="205" spans="3:224" s="5" customFormat="1" ht="20.100000000000001" customHeight="1">
      <c r="C205" s="35">
        <v>15211006</v>
      </c>
      <c r="D205" s="36" t="s">
        <v>244</v>
      </c>
      <c r="E205" s="36">
        <v>1140003</v>
      </c>
      <c r="F205" s="36">
        <v>12031</v>
      </c>
      <c r="G205" s="36">
        <v>1</v>
      </c>
      <c r="H205" s="36">
        <v>30</v>
      </c>
      <c r="I205" s="39">
        <v>0.2</v>
      </c>
      <c r="J205" s="23">
        <v>10</v>
      </c>
      <c r="K205" s="14">
        <v>0</v>
      </c>
      <c r="L205" s="36">
        <v>3510</v>
      </c>
      <c r="M205" s="36">
        <f t="shared" si="36"/>
        <v>0</v>
      </c>
      <c r="N205" s="36">
        <v>0</v>
      </c>
      <c r="O205" s="36">
        <v>0</v>
      </c>
      <c r="P205" s="36">
        <v>0</v>
      </c>
      <c r="Q205" s="36">
        <f t="shared" si="37"/>
        <v>35</v>
      </c>
      <c r="R205" s="36">
        <v>70</v>
      </c>
      <c r="S205" s="36">
        <f t="shared" si="38"/>
        <v>35</v>
      </c>
      <c r="T205" s="36">
        <v>70</v>
      </c>
      <c r="U205" s="39">
        <v>0</v>
      </c>
      <c r="V205" s="36">
        <v>0</v>
      </c>
      <c r="W205" s="36">
        <v>0</v>
      </c>
      <c r="X205" s="36">
        <v>0</v>
      </c>
      <c r="Y205" s="39">
        <v>0</v>
      </c>
      <c r="Z205" s="39">
        <v>0</v>
      </c>
      <c r="AA205" s="39">
        <v>0</v>
      </c>
      <c r="AB205" s="39">
        <v>0</v>
      </c>
      <c r="AC205" s="39">
        <v>0</v>
      </c>
      <c r="AD205" s="39">
        <v>0</v>
      </c>
      <c r="AE205" s="44"/>
      <c r="AF205" s="41"/>
      <c r="AG205" s="41"/>
      <c r="AH205" s="41"/>
      <c r="AI205" s="41"/>
      <c r="AJ205" s="41"/>
      <c r="AK205" s="41"/>
      <c r="AL205" s="41"/>
      <c r="AM205" s="41"/>
      <c r="AN205" s="41"/>
      <c r="AO205" s="41"/>
      <c r="AP205" s="41"/>
      <c r="AQ205" s="41"/>
      <c r="AR205" s="41"/>
      <c r="AS205" s="41"/>
      <c r="AT205" s="41"/>
      <c r="AU205" s="41"/>
      <c r="AV205" s="41"/>
      <c r="AW205" s="41"/>
      <c r="AX205" s="41"/>
      <c r="AY205" s="41"/>
      <c r="AZ205" s="41"/>
      <c r="BA205" s="41"/>
      <c r="BB205" s="41"/>
      <c r="BC205" s="41"/>
      <c r="BD205" s="41"/>
      <c r="BE205" s="41"/>
      <c r="BF205" s="41"/>
      <c r="BG205" s="41"/>
      <c r="BH205" s="41"/>
      <c r="BI205" s="41"/>
      <c r="BJ205" s="41"/>
      <c r="BK205" s="41"/>
      <c r="BL205" s="41"/>
      <c r="BM205" s="41"/>
      <c r="BN205" s="41"/>
      <c r="BO205" s="41"/>
      <c r="BP205" s="41"/>
      <c r="BQ205" s="41"/>
      <c r="BR205" s="41"/>
      <c r="BS205" s="41"/>
      <c r="BT205" s="41"/>
      <c r="BU205" s="41"/>
      <c r="BV205" s="41"/>
      <c r="BW205" s="41"/>
      <c r="BX205" s="41"/>
      <c r="BY205" s="41"/>
      <c r="BZ205" s="41"/>
      <c r="CA205" s="41"/>
      <c r="CB205" s="41"/>
      <c r="CC205" s="41"/>
      <c r="CD205" s="41"/>
      <c r="CE205" s="41"/>
      <c r="CF205" s="41"/>
      <c r="CG205" s="41"/>
      <c r="CH205" s="41"/>
      <c r="CI205" s="41"/>
      <c r="CJ205" s="41"/>
      <c r="CK205" s="41"/>
      <c r="CL205" s="41"/>
      <c r="CM205" s="41"/>
      <c r="CN205" s="41"/>
      <c r="CO205" s="41"/>
      <c r="CP205" s="41"/>
      <c r="CQ205" s="41"/>
      <c r="CR205" s="41"/>
      <c r="CS205" s="41"/>
      <c r="CT205" s="41"/>
      <c r="CU205" s="41"/>
      <c r="CV205" s="41"/>
      <c r="CW205" s="41"/>
      <c r="CX205" s="41"/>
      <c r="CY205" s="41"/>
      <c r="CZ205" s="41"/>
      <c r="DA205" s="41"/>
      <c r="DB205" s="41"/>
      <c r="DC205" s="41"/>
      <c r="DD205" s="41"/>
      <c r="DE205" s="41"/>
      <c r="DF205" s="41"/>
      <c r="DG205" s="41"/>
      <c r="DH205" s="41"/>
      <c r="DI205" s="41"/>
      <c r="DJ205" s="41"/>
      <c r="DK205" s="41"/>
      <c r="DL205" s="41"/>
      <c r="DM205" s="41"/>
      <c r="DN205" s="41"/>
      <c r="DO205" s="41"/>
      <c r="DP205" s="41"/>
      <c r="DQ205" s="41"/>
      <c r="DR205" s="41"/>
      <c r="DS205" s="41"/>
      <c r="DT205" s="41"/>
      <c r="DU205" s="41"/>
      <c r="DV205" s="41"/>
      <c r="DW205" s="41"/>
      <c r="DX205" s="41"/>
      <c r="DY205" s="41"/>
      <c r="DZ205" s="41"/>
      <c r="EA205" s="41"/>
      <c r="EB205" s="41"/>
      <c r="EC205" s="41"/>
      <c r="ED205" s="41"/>
      <c r="EE205" s="41"/>
      <c r="EF205" s="41"/>
      <c r="EG205" s="41"/>
      <c r="EH205" s="41"/>
      <c r="EI205" s="41"/>
      <c r="EJ205" s="41"/>
      <c r="EK205" s="41"/>
      <c r="EL205" s="41"/>
      <c r="EM205" s="41"/>
      <c r="EN205" s="41"/>
      <c r="EO205" s="41"/>
      <c r="EP205" s="41"/>
      <c r="EQ205" s="41"/>
      <c r="ER205" s="41"/>
      <c r="ES205" s="41"/>
      <c r="ET205" s="41"/>
      <c r="EU205" s="41"/>
      <c r="EV205" s="41"/>
      <c r="EW205" s="41"/>
      <c r="EX205" s="41"/>
      <c r="EY205" s="41"/>
      <c r="EZ205" s="41"/>
      <c r="FA205" s="41"/>
      <c r="FB205" s="41"/>
      <c r="FC205" s="41"/>
      <c r="FD205" s="41"/>
      <c r="FE205" s="41"/>
      <c r="FF205" s="41"/>
      <c r="FG205" s="41"/>
      <c r="FH205" s="41"/>
      <c r="FI205" s="41"/>
      <c r="FJ205" s="41"/>
      <c r="FK205" s="41"/>
      <c r="FL205" s="41"/>
      <c r="FM205" s="41"/>
      <c r="FN205" s="41"/>
      <c r="FO205" s="41"/>
      <c r="FP205" s="41"/>
      <c r="FQ205" s="41"/>
      <c r="FR205" s="41"/>
      <c r="FS205" s="41"/>
      <c r="FT205" s="41"/>
      <c r="FU205" s="41"/>
      <c r="FV205" s="41"/>
      <c r="FW205" s="41"/>
      <c r="FX205" s="41"/>
      <c r="FY205" s="41"/>
      <c r="FZ205" s="41"/>
      <c r="GA205" s="41"/>
      <c r="GB205" s="41"/>
      <c r="GC205" s="41"/>
      <c r="GD205" s="41"/>
      <c r="GE205" s="41"/>
      <c r="GF205" s="41"/>
      <c r="GG205" s="41"/>
      <c r="GH205" s="41"/>
      <c r="GI205" s="41"/>
      <c r="GJ205" s="41"/>
      <c r="GK205" s="41"/>
      <c r="GL205" s="41"/>
      <c r="GM205" s="41"/>
      <c r="GN205" s="41"/>
      <c r="GO205" s="41"/>
      <c r="GP205" s="41"/>
      <c r="GQ205" s="41"/>
      <c r="GR205" s="41"/>
      <c r="GS205" s="41"/>
      <c r="GT205" s="41"/>
      <c r="GU205" s="41"/>
      <c r="GV205" s="41"/>
      <c r="GW205" s="41"/>
      <c r="GX205" s="41"/>
      <c r="GY205" s="41"/>
      <c r="GZ205" s="41"/>
      <c r="HA205" s="41"/>
      <c r="HB205" s="41"/>
      <c r="HC205" s="41"/>
      <c r="HD205" s="41"/>
      <c r="HE205" s="41"/>
      <c r="HF205" s="41"/>
      <c r="HG205" s="41"/>
      <c r="HH205" s="41"/>
      <c r="HI205" s="41"/>
      <c r="HJ205" s="41"/>
      <c r="HK205" s="41"/>
      <c r="HL205" s="41"/>
      <c r="HM205" s="41"/>
      <c r="HN205" s="41"/>
      <c r="HO205" s="41"/>
      <c r="HP205" s="41"/>
    </row>
    <row r="206" spans="3:224" ht="20.100000000000001" customHeight="1">
      <c r="C206" s="11">
        <v>15211011</v>
      </c>
      <c r="D206" s="37" t="s">
        <v>245</v>
      </c>
      <c r="E206" s="14">
        <v>1140003</v>
      </c>
      <c r="F206" s="14">
        <v>12011</v>
      </c>
      <c r="G206" s="14">
        <v>1</v>
      </c>
      <c r="H206" s="14">
        <v>30</v>
      </c>
      <c r="I206" s="22">
        <v>0.2</v>
      </c>
      <c r="J206" s="23">
        <v>10</v>
      </c>
      <c r="K206" s="14">
        <v>0</v>
      </c>
      <c r="L206" s="14">
        <v>2690</v>
      </c>
      <c r="M206" s="14">
        <f t="shared" si="36"/>
        <v>0</v>
      </c>
      <c r="N206" s="14">
        <v>0</v>
      </c>
      <c r="O206" s="14">
        <v>0</v>
      </c>
      <c r="P206" s="14">
        <v>0</v>
      </c>
      <c r="Q206" s="14">
        <v>36</v>
      </c>
      <c r="R206" s="14">
        <v>73</v>
      </c>
      <c r="S206" s="14">
        <v>36</v>
      </c>
      <c r="T206" s="14">
        <v>73</v>
      </c>
      <c r="U206" s="22">
        <v>0</v>
      </c>
      <c r="V206" s="14">
        <v>0</v>
      </c>
      <c r="W206" s="14">
        <v>0</v>
      </c>
      <c r="X206" s="14">
        <v>0</v>
      </c>
      <c r="Y206" s="22">
        <v>0</v>
      </c>
      <c r="Z206" s="22">
        <v>0</v>
      </c>
      <c r="AA206" s="22">
        <v>0</v>
      </c>
      <c r="AB206" s="22">
        <v>203603</v>
      </c>
      <c r="AC206" s="22">
        <v>500</v>
      </c>
      <c r="AD206" s="22">
        <v>1</v>
      </c>
      <c r="AE206" s="43"/>
      <c r="GR206" s="6"/>
      <c r="GS206" s="6"/>
      <c r="GT206" s="6"/>
      <c r="GU206" s="6"/>
      <c r="GV206" s="6"/>
      <c r="GW206" s="6"/>
      <c r="GX206" s="6"/>
      <c r="GY206" s="6"/>
      <c r="GZ206" s="6"/>
      <c r="HA206" s="6"/>
      <c r="HB206" s="6"/>
      <c r="HC206" s="6"/>
      <c r="HD206" s="6"/>
      <c r="HE206" s="6"/>
      <c r="HF206" s="6"/>
      <c r="HG206" s="6"/>
      <c r="HH206" s="6"/>
      <c r="HI206" s="6"/>
      <c r="HJ206" s="6"/>
      <c r="HK206" s="6"/>
      <c r="HL206" s="6"/>
      <c r="HM206" s="6"/>
      <c r="HN206" s="6"/>
      <c r="HO206" s="6"/>
      <c r="HP206" s="6"/>
    </row>
    <row r="207" spans="3:224" ht="20.100000000000001" customHeight="1">
      <c r="C207" s="11">
        <v>15211012</v>
      </c>
      <c r="D207" s="37" t="s">
        <v>246</v>
      </c>
      <c r="E207" s="14">
        <v>1140003</v>
      </c>
      <c r="F207" s="14">
        <v>12021</v>
      </c>
      <c r="G207" s="14">
        <v>1</v>
      </c>
      <c r="H207" s="14">
        <v>30</v>
      </c>
      <c r="I207" s="22">
        <v>0.2</v>
      </c>
      <c r="J207" s="23">
        <v>10</v>
      </c>
      <c r="K207" s="14">
        <v>0</v>
      </c>
      <c r="L207" s="14">
        <v>1360</v>
      </c>
      <c r="M207" s="14">
        <f t="shared" si="36"/>
        <v>0</v>
      </c>
      <c r="N207" s="14">
        <v>0</v>
      </c>
      <c r="O207" s="14">
        <v>0</v>
      </c>
      <c r="P207" s="14">
        <v>0</v>
      </c>
      <c r="Q207" s="14">
        <v>27</v>
      </c>
      <c r="R207" s="14">
        <v>55</v>
      </c>
      <c r="S207" s="14">
        <v>27</v>
      </c>
      <c r="T207" s="14">
        <v>55</v>
      </c>
      <c r="U207" s="22">
        <v>0</v>
      </c>
      <c r="V207" s="14">
        <v>0</v>
      </c>
      <c r="W207" s="14">
        <v>0</v>
      </c>
      <c r="X207" s="14">
        <v>0</v>
      </c>
      <c r="Y207" s="22">
        <v>0</v>
      </c>
      <c r="Z207" s="22">
        <v>0</v>
      </c>
      <c r="AA207" s="22">
        <v>0</v>
      </c>
      <c r="AB207" s="22">
        <v>202703</v>
      </c>
      <c r="AC207" s="22">
        <v>1000</v>
      </c>
      <c r="AD207" s="22">
        <v>1</v>
      </c>
      <c r="AE207" s="43"/>
      <c r="GR207" s="6"/>
      <c r="GS207" s="6"/>
      <c r="GT207" s="6"/>
      <c r="GU207" s="6"/>
      <c r="GV207" s="6"/>
      <c r="GW207" s="6"/>
      <c r="GX207" s="6"/>
      <c r="GY207" s="6"/>
      <c r="GZ207" s="6"/>
      <c r="HA207" s="6"/>
      <c r="HB207" s="6"/>
      <c r="HC207" s="6"/>
      <c r="HD207" s="6"/>
      <c r="HE207" s="6"/>
      <c r="HF207" s="6"/>
      <c r="HG207" s="6"/>
      <c r="HH207" s="6"/>
      <c r="HI207" s="6"/>
      <c r="HJ207" s="6"/>
      <c r="HK207" s="6"/>
      <c r="HL207" s="6"/>
      <c r="HM207" s="6"/>
      <c r="HN207" s="6"/>
      <c r="HO207" s="6"/>
      <c r="HP207" s="6"/>
    </row>
    <row r="208" spans="3:224" ht="20.100000000000001" customHeight="1">
      <c r="C208" s="11">
        <v>15211013</v>
      </c>
      <c r="D208" s="37" t="s">
        <v>247</v>
      </c>
      <c r="E208" s="14">
        <v>1140003</v>
      </c>
      <c r="F208" s="14">
        <v>12031</v>
      </c>
      <c r="G208" s="14">
        <v>1</v>
      </c>
      <c r="H208" s="14">
        <v>30</v>
      </c>
      <c r="I208" s="22">
        <v>0.2</v>
      </c>
      <c r="J208" s="23">
        <v>10</v>
      </c>
      <c r="K208" s="14">
        <v>0</v>
      </c>
      <c r="L208" s="14">
        <v>4030</v>
      </c>
      <c r="M208" s="14">
        <f t="shared" si="36"/>
        <v>0</v>
      </c>
      <c r="N208" s="14">
        <v>0</v>
      </c>
      <c r="O208" s="14">
        <v>0</v>
      </c>
      <c r="P208" s="14">
        <v>0</v>
      </c>
      <c r="Q208" s="14">
        <v>46</v>
      </c>
      <c r="R208" s="14">
        <v>91</v>
      </c>
      <c r="S208" s="14">
        <v>46</v>
      </c>
      <c r="T208" s="14">
        <v>91</v>
      </c>
      <c r="U208" s="22">
        <v>0</v>
      </c>
      <c r="V208" s="14">
        <v>0</v>
      </c>
      <c r="W208" s="14">
        <v>0</v>
      </c>
      <c r="X208" s="14">
        <v>0</v>
      </c>
      <c r="Y208" s="22">
        <v>0</v>
      </c>
      <c r="Z208" s="22">
        <v>0</v>
      </c>
      <c r="AA208" s="22">
        <v>0</v>
      </c>
      <c r="AB208" s="22">
        <v>0</v>
      </c>
      <c r="AC208" s="22">
        <v>0</v>
      </c>
      <c r="AD208" s="22">
        <v>0</v>
      </c>
      <c r="AE208" s="43"/>
      <c r="GR208" s="6"/>
      <c r="GS208" s="6"/>
      <c r="GT208" s="6"/>
      <c r="GU208" s="6"/>
      <c r="GV208" s="6"/>
      <c r="GW208" s="6"/>
      <c r="GX208" s="6"/>
      <c r="GY208" s="6"/>
      <c r="GZ208" s="6"/>
      <c r="HA208" s="6"/>
      <c r="HB208" s="6"/>
      <c r="HC208" s="6"/>
      <c r="HD208" s="6"/>
      <c r="HE208" s="6"/>
      <c r="HF208" s="6"/>
      <c r="HG208" s="6"/>
      <c r="HH208" s="6"/>
      <c r="HI208" s="6"/>
      <c r="HJ208" s="6"/>
      <c r="HK208" s="6"/>
      <c r="HL208" s="6"/>
      <c r="HM208" s="6"/>
      <c r="HN208" s="6"/>
      <c r="HO208" s="6"/>
      <c r="HP208" s="6"/>
    </row>
    <row r="209" spans="3:224" ht="20.100000000000001" customHeight="1">
      <c r="C209" s="11">
        <v>15301001</v>
      </c>
      <c r="D209" s="14" t="s">
        <v>248</v>
      </c>
      <c r="E209" s="14">
        <v>1140003</v>
      </c>
      <c r="F209" s="14">
        <v>0</v>
      </c>
      <c r="G209" s="14">
        <v>1</v>
      </c>
      <c r="H209" s="14">
        <v>40</v>
      </c>
      <c r="I209" s="22">
        <v>0.2</v>
      </c>
      <c r="J209" s="23">
        <v>15</v>
      </c>
      <c r="K209" s="14">
        <v>0</v>
      </c>
      <c r="L209" s="14">
        <v>0</v>
      </c>
      <c r="M209" s="14">
        <f t="shared" si="36"/>
        <v>23</v>
      </c>
      <c r="N209" s="14">
        <v>45</v>
      </c>
      <c r="O209" s="14">
        <v>0</v>
      </c>
      <c r="P209" s="14">
        <v>0</v>
      </c>
      <c r="Q209" s="14">
        <f t="shared" si="37"/>
        <v>14</v>
      </c>
      <c r="R209" s="14">
        <v>28</v>
      </c>
      <c r="S209" s="14">
        <f t="shared" si="38"/>
        <v>14</v>
      </c>
      <c r="T209" s="14">
        <v>28</v>
      </c>
      <c r="U209" s="22">
        <v>0</v>
      </c>
      <c r="V209" s="14">
        <v>0</v>
      </c>
      <c r="W209" s="14">
        <v>0</v>
      </c>
      <c r="X209" s="14">
        <v>0</v>
      </c>
      <c r="Y209" s="22">
        <v>0</v>
      </c>
      <c r="Z209" s="22">
        <v>0</v>
      </c>
      <c r="AA209" s="22">
        <v>0</v>
      </c>
      <c r="AB209" s="22">
        <v>0</v>
      </c>
      <c r="AC209" s="22">
        <v>0</v>
      </c>
      <c r="AD209" s="22">
        <v>0</v>
      </c>
      <c r="AE209" s="43"/>
      <c r="GR209" s="6"/>
      <c r="GS209" s="6"/>
      <c r="GT209" s="6"/>
      <c r="GU209" s="6"/>
      <c r="GV209" s="6"/>
      <c r="GW209" s="6"/>
      <c r="GX209" s="6"/>
      <c r="GY209" s="6"/>
      <c r="GZ209" s="6"/>
      <c r="HA209" s="6"/>
      <c r="HB209" s="6"/>
      <c r="HC209" s="6"/>
      <c r="HD209" s="6"/>
      <c r="HE209" s="6"/>
      <c r="HF209" s="6"/>
      <c r="HG209" s="6"/>
      <c r="HH209" s="6"/>
      <c r="HI209" s="6"/>
      <c r="HJ209" s="6"/>
      <c r="HK209" s="6"/>
      <c r="HL209" s="6"/>
      <c r="HM209" s="6"/>
      <c r="HN209" s="6"/>
      <c r="HO209" s="6"/>
      <c r="HP209" s="6"/>
    </row>
    <row r="210" spans="3:224" ht="20.100000000000001" customHeight="1">
      <c r="C210" s="11">
        <v>15301002</v>
      </c>
      <c r="D210" s="45" t="s">
        <v>249</v>
      </c>
      <c r="E210" s="14">
        <v>1140003</v>
      </c>
      <c r="F210" s="14">
        <v>13011</v>
      </c>
      <c r="G210" s="14">
        <v>1</v>
      </c>
      <c r="H210" s="14">
        <v>40</v>
      </c>
      <c r="I210" s="22">
        <v>0.2</v>
      </c>
      <c r="J210" s="23">
        <v>15</v>
      </c>
      <c r="K210" s="14">
        <v>0</v>
      </c>
      <c r="L210" s="14">
        <v>0</v>
      </c>
      <c r="M210" s="14">
        <f t="shared" si="36"/>
        <v>28</v>
      </c>
      <c r="N210" s="14">
        <v>55</v>
      </c>
      <c r="O210" s="14">
        <v>0</v>
      </c>
      <c r="P210" s="14">
        <v>0</v>
      </c>
      <c r="Q210" s="14">
        <f t="shared" si="37"/>
        <v>17</v>
      </c>
      <c r="R210" s="14">
        <v>33</v>
      </c>
      <c r="S210" s="14">
        <f t="shared" si="38"/>
        <v>17</v>
      </c>
      <c r="T210" s="14">
        <v>33</v>
      </c>
      <c r="U210" s="22">
        <v>0</v>
      </c>
      <c r="V210" s="14">
        <v>0</v>
      </c>
      <c r="W210" s="14">
        <v>0</v>
      </c>
      <c r="X210" s="14">
        <v>0</v>
      </c>
      <c r="Y210" s="22">
        <v>0</v>
      </c>
      <c r="Z210" s="22">
        <v>0</v>
      </c>
      <c r="AA210" s="22">
        <v>0</v>
      </c>
      <c r="AB210" s="22">
        <v>0</v>
      </c>
      <c r="AC210" s="22">
        <v>0</v>
      </c>
      <c r="AD210" s="22">
        <v>0</v>
      </c>
      <c r="AE210" s="43"/>
      <c r="GR210" s="6"/>
      <c r="GS210" s="6"/>
      <c r="GT210" s="6"/>
      <c r="GU210" s="6"/>
      <c r="GV210" s="6"/>
      <c r="GW210" s="6"/>
      <c r="GX210" s="6"/>
      <c r="GY210" s="6"/>
      <c r="GZ210" s="6"/>
      <c r="HA210" s="6"/>
      <c r="HB210" s="6"/>
      <c r="HC210" s="6"/>
      <c r="HD210" s="6"/>
      <c r="HE210" s="6"/>
      <c r="HF210" s="6"/>
      <c r="HG210" s="6"/>
      <c r="HH210" s="6"/>
      <c r="HI210" s="6"/>
      <c r="HJ210" s="6"/>
      <c r="HK210" s="6"/>
      <c r="HL210" s="6"/>
      <c r="HM210" s="6"/>
      <c r="HN210" s="6"/>
      <c r="HO210" s="6"/>
      <c r="HP210" s="6"/>
    </row>
    <row r="211" spans="3:224" ht="20.100000000000001" customHeight="1">
      <c r="C211" s="11">
        <v>15301003</v>
      </c>
      <c r="D211" s="14" t="s">
        <v>250</v>
      </c>
      <c r="E211" s="14">
        <v>1140003</v>
      </c>
      <c r="F211" s="14">
        <v>0</v>
      </c>
      <c r="G211" s="14">
        <v>1</v>
      </c>
      <c r="H211" s="14">
        <v>40</v>
      </c>
      <c r="I211" s="22">
        <v>0.2</v>
      </c>
      <c r="J211" s="23">
        <v>15</v>
      </c>
      <c r="K211" s="14">
        <v>0</v>
      </c>
      <c r="L211" s="14">
        <v>0</v>
      </c>
      <c r="M211" s="14">
        <f t="shared" si="36"/>
        <v>31</v>
      </c>
      <c r="N211" s="14">
        <v>61</v>
      </c>
      <c r="O211" s="14">
        <v>0</v>
      </c>
      <c r="P211" s="14">
        <v>0</v>
      </c>
      <c r="Q211" s="14">
        <f t="shared" si="37"/>
        <v>11</v>
      </c>
      <c r="R211" s="14">
        <v>21</v>
      </c>
      <c r="S211" s="14">
        <f t="shared" si="38"/>
        <v>11</v>
      </c>
      <c r="T211" s="14">
        <v>21</v>
      </c>
      <c r="U211" s="22">
        <v>0</v>
      </c>
      <c r="V211" s="14">
        <v>0</v>
      </c>
      <c r="W211" s="14">
        <v>0</v>
      </c>
      <c r="X211" s="14">
        <v>0</v>
      </c>
      <c r="Y211" s="22">
        <v>0</v>
      </c>
      <c r="Z211" s="22">
        <v>0</v>
      </c>
      <c r="AA211" s="22">
        <v>0</v>
      </c>
      <c r="AB211" s="22">
        <v>0</v>
      </c>
      <c r="AC211" s="22">
        <v>0</v>
      </c>
      <c r="AD211" s="22">
        <v>0</v>
      </c>
      <c r="AE211" s="43"/>
      <c r="GR211" s="6"/>
      <c r="GS211" s="6"/>
      <c r="GT211" s="6"/>
      <c r="GU211" s="6"/>
      <c r="GV211" s="6"/>
      <c r="GW211" s="6"/>
      <c r="GX211" s="6"/>
      <c r="GY211" s="6"/>
      <c r="GZ211" s="6"/>
      <c r="HA211" s="6"/>
      <c r="HB211" s="6"/>
      <c r="HC211" s="6"/>
      <c r="HD211" s="6"/>
      <c r="HE211" s="6"/>
      <c r="HF211" s="6"/>
      <c r="HG211" s="6"/>
      <c r="HH211" s="6"/>
      <c r="HI211" s="6"/>
      <c r="HJ211" s="6"/>
      <c r="HK211" s="6"/>
      <c r="HL211" s="6"/>
      <c r="HM211" s="6"/>
      <c r="HN211" s="6"/>
      <c r="HO211" s="6"/>
      <c r="HP211" s="6"/>
    </row>
    <row r="212" spans="3:224" ht="20.100000000000001" customHeight="1">
      <c r="C212" s="11">
        <v>15301004</v>
      </c>
      <c r="D212" s="45" t="s">
        <v>251</v>
      </c>
      <c r="E212" s="14">
        <v>1140003</v>
      </c>
      <c r="F212" s="14">
        <v>13021</v>
      </c>
      <c r="G212" s="14">
        <v>1</v>
      </c>
      <c r="H212" s="14">
        <v>40</v>
      </c>
      <c r="I212" s="22">
        <v>0.2</v>
      </c>
      <c r="J212" s="23">
        <v>15</v>
      </c>
      <c r="K212" s="14">
        <v>0</v>
      </c>
      <c r="L212" s="14">
        <v>0</v>
      </c>
      <c r="M212" s="14">
        <f t="shared" si="36"/>
        <v>37</v>
      </c>
      <c r="N212" s="14">
        <v>74</v>
      </c>
      <c r="O212" s="14">
        <v>0</v>
      </c>
      <c r="P212" s="14">
        <v>0</v>
      </c>
      <c r="Q212" s="14">
        <f t="shared" si="37"/>
        <v>13</v>
      </c>
      <c r="R212" s="14">
        <v>25</v>
      </c>
      <c r="S212" s="14">
        <f t="shared" si="38"/>
        <v>13</v>
      </c>
      <c r="T212" s="14">
        <v>25</v>
      </c>
      <c r="U212" s="22">
        <v>0</v>
      </c>
      <c r="V212" s="14">
        <v>0</v>
      </c>
      <c r="W212" s="14">
        <v>0</v>
      </c>
      <c r="X212" s="14">
        <v>0</v>
      </c>
      <c r="Y212" s="22">
        <v>0</v>
      </c>
      <c r="Z212" s="22">
        <v>0</v>
      </c>
      <c r="AA212" s="22">
        <v>0</v>
      </c>
      <c r="AB212" s="22">
        <v>0</v>
      </c>
      <c r="AC212" s="22">
        <v>0</v>
      </c>
      <c r="AD212" s="22">
        <v>0</v>
      </c>
      <c r="AE212" s="43"/>
      <c r="GR212" s="6"/>
      <c r="GS212" s="6"/>
      <c r="GT212" s="6"/>
      <c r="GU212" s="6"/>
      <c r="GV212" s="6"/>
      <c r="GW212" s="6"/>
      <c r="GX212" s="6"/>
      <c r="GY212" s="6"/>
      <c r="GZ212" s="6"/>
      <c r="HA212" s="6"/>
      <c r="HB212" s="6"/>
      <c r="HC212" s="6"/>
      <c r="HD212" s="6"/>
      <c r="HE212" s="6"/>
      <c r="HF212" s="6"/>
      <c r="HG212" s="6"/>
      <c r="HH212" s="6"/>
      <c r="HI212" s="6"/>
      <c r="HJ212" s="6"/>
      <c r="HK212" s="6"/>
      <c r="HL212" s="6"/>
      <c r="HM212" s="6"/>
      <c r="HN212" s="6"/>
      <c r="HO212" s="6"/>
      <c r="HP212" s="6"/>
    </row>
    <row r="213" spans="3:224" ht="20.100000000000001" customHeight="1">
      <c r="C213" s="11">
        <v>15301005</v>
      </c>
      <c r="D213" s="14" t="s">
        <v>252</v>
      </c>
      <c r="E213" s="14">
        <v>1140003</v>
      </c>
      <c r="F213" s="14">
        <v>0</v>
      </c>
      <c r="G213" s="14">
        <v>1</v>
      </c>
      <c r="H213" s="14">
        <v>40</v>
      </c>
      <c r="I213" s="22">
        <v>0.2</v>
      </c>
      <c r="J213" s="23">
        <v>15</v>
      </c>
      <c r="K213" s="14">
        <v>0</v>
      </c>
      <c r="L213" s="14">
        <v>0</v>
      </c>
      <c r="M213" s="14">
        <f t="shared" si="36"/>
        <v>17</v>
      </c>
      <c r="N213" s="14">
        <v>34</v>
      </c>
      <c r="O213" s="14">
        <v>0</v>
      </c>
      <c r="P213" s="14">
        <v>0</v>
      </c>
      <c r="Q213" s="14">
        <f t="shared" si="37"/>
        <v>18</v>
      </c>
      <c r="R213" s="14">
        <v>35</v>
      </c>
      <c r="S213" s="14">
        <f t="shared" si="38"/>
        <v>18</v>
      </c>
      <c r="T213" s="14">
        <v>35</v>
      </c>
      <c r="U213" s="22">
        <v>0</v>
      </c>
      <c r="V213" s="14">
        <v>0</v>
      </c>
      <c r="W213" s="14">
        <v>0</v>
      </c>
      <c r="X213" s="14">
        <v>0</v>
      </c>
      <c r="Y213" s="22">
        <v>0</v>
      </c>
      <c r="Z213" s="22">
        <v>0</v>
      </c>
      <c r="AA213" s="22">
        <v>0</v>
      </c>
      <c r="AB213" s="22">
        <v>0</v>
      </c>
      <c r="AC213" s="22">
        <v>0</v>
      </c>
      <c r="AD213" s="22">
        <v>0</v>
      </c>
      <c r="AE213" s="43"/>
      <c r="GR213" s="6"/>
      <c r="GS213" s="6"/>
      <c r="GT213" s="6"/>
      <c r="GU213" s="6"/>
      <c r="GV213" s="6"/>
      <c r="GW213" s="6"/>
      <c r="GX213" s="6"/>
      <c r="GY213" s="6"/>
      <c r="GZ213" s="6"/>
      <c r="HA213" s="6"/>
      <c r="HB213" s="6"/>
      <c r="HC213" s="6"/>
      <c r="HD213" s="6"/>
      <c r="HE213" s="6"/>
      <c r="HF213" s="6"/>
      <c r="HG213" s="6"/>
      <c r="HH213" s="6"/>
      <c r="HI213" s="6"/>
      <c r="HJ213" s="6"/>
      <c r="HK213" s="6"/>
      <c r="HL213" s="6"/>
      <c r="HM213" s="6"/>
      <c r="HN213" s="6"/>
      <c r="HO213" s="6"/>
      <c r="HP213" s="6"/>
    </row>
    <row r="214" spans="3:224" ht="20.100000000000001" customHeight="1">
      <c r="C214" s="11">
        <v>15301006</v>
      </c>
      <c r="D214" s="45" t="s">
        <v>253</v>
      </c>
      <c r="E214" s="14">
        <v>1140003</v>
      </c>
      <c r="F214" s="14">
        <v>13031</v>
      </c>
      <c r="G214" s="14">
        <v>1</v>
      </c>
      <c r="H214" s="14">
        <v>40</v>
      </c>
      <c r="I214" s="22">
        <v>0.2</v>
      </c>
      <c r="J214" s="23">
        <v>15</v>
      </c>
      <c r="K214" s="14">
        <v>0</v>
      </c>
      <c r="L214" s="14">
        <v>0</v>
      </c>
      <c r="M214" s="14">
        <f t="shared" si="36"/>
        <v>21</v>
      </c>
      <c r="N214" s="14">
        <v>41</v>
      </c>
      <c r="O214" s="14">
        <v>0</v>
      </c>
      <c r="P214" s="14">
        <v>0</v>
      </c>
      <c r="Q214" s="14">
        <f t="shared" si="37"/>
        <v>21</v>
      </c>
      <c r="R214" s="14">
        <v>41</v>
      </c>
      <c r="S214" s="14">
        <f t="shared" si="38"/>
        <v>21</v>
      </c>
      <c r="T214" s="14">
        <v>41</v>
      </c>
      <c r="U214" s="22">
        <v>0</v>
      </c>
      <c r="V214" s="14">
        <v>0</v>
      </c>
      <c r="W214" s="14">
        <v>0</v>
      </c>
      <c r="X214" s="14">
        <v>0</v>
      </c>
      <c r="Y214" s="22">
        <v>0</v>
      </c>
      <c r="Z214" s="22">
        <v>0</v>
      </c>
      <c r="AA214" s="22">
        <v>0</v>
      </c>
      <c r="AB214" s="22">
        <v>0</v>
      </c>
      <c r="AC214" s="22">
        <v>0</v>
      </c>
      <c r="AD214" s="22">
        <v>0</v>
      </c>
      <c r="AE214" s="43"/>
      <c r="GR214" s="6"/>
      <c r="GS214" s="6"/>
      <c r="GT214" s="6"/>
      <c r="GU214" s="6"/>
      <c r="GV214" s="6"/>
      <c r="GW214" s="6"/>
      <c r="GX214" s="6"/>
      <c r="GY214" s="6"/>
      <c r="GZ214" s="6"/>
      <c r="HA214" s="6"/>
      <c r="HB214" s="6"/>
      <c r="HC214" s="6"/>
      <c r="HD214" s="6"/>
      <c r="HE214" s="6"/>
      <c r="HF214" s="6"/>
      <c r="HG214" s="6"/>
      <c r="HH214" s="6"/>
      <c r="HI214" s="6"/>
      <c r="HJ214" s="6"/>
      <c r="HK214" s="6"/>
      <c r="HL214" s="6"/>
      <c r="HM214" s="6"/>
      <c r="HN214" s="6"/>
      <c r="HO214" s="6"/>
      <c r="HP214" s="6"/>
    </row>
    <row r="215" spans="3:224" ht="20.100000000000001" customHeight="1">
      <c r="C215" s="11">
        <v>15302001</v>
      </c>
      <c r="D215" s="14" t="s">
        <v>254</v>
      </c>
      <c r="E215" s="14">
        <v>1140003</v>
      </c>
      <c r="F215" s="14">
        <v>0</v>
      </c>
      <c r="G215" s="14">
        <v>1</v>
      </c>
      <c r="H215" s="14">
        <v>40</v>
      </c>
      <c r="I215" s="22">
        <v>0.2</v>
      </c>
      <c r="J215" s="23">
        <v>15</v>
      </c>
      <c r="K215" s="14">
        <v>0</v>
      </c>
      <c r="L215" s="14">
        <v>0</v>
      </c>
      <c r="M215" s="14">
        <f t="shared" si="36"/>
        <v>28</v>
      </c>
      <c r="N215" s="14">
        <v>55</v>
      </c>
      <c r="O215" s="14">
        <v>0</v>
      </c>
      <c r="P215" s="14">
        <v>0</v>
      </c>
      <c r="Q215" s="14">
        <f t="shared" si="37"/>
        <v>0</v>
      </c>
      <c r="R215" s="14">
        <v>0</v>
      </c>
      <c r="S215" s="14">
        <f t="shared" si="38"/>
        <v>39</v>
      </c>
      <c r="T215" s="14">
        <v>78</v>
      </c>
      <c r="U215" s="22">
        <v>0</v>
      </c>
      <c r="V215" s="14">
        <v>0</v>
      </c>
      <c r="W215" s="14">
        <v>0</v>
      </c>
      <c r="X215" s="14">
        <v>0</v>
      </c>
      <c r="Y215" s="22">
        <v>0</v>
      </c>
      <c r="Z215" s="22">
        <v>0</v>
      </c>
      <c r="AA215" s="22">
        <v>0</v>
      </c>
      <c r="AB215" s="22">
        <v>0</v>
      </c>
      <c r="AC215" s="22">
        <v>0</v>
      </c>
      <c r="AD215" s="22">
        <v>0</v>
      </c>
      <c r="AE215" s="43"/>
      <c r="GR215" s="6"/>
      <c r="GS215" s="6"/>
      <c r="GT215" s="6"/>
      <c r="GU215" s="6"/>
      <c r="GV215" s="6"/>
      <c r="GW215" s="6"/>
      <c r="GX215" s="6"/>
      <c r="GY215" s="6"/>
      <c r="GZ215" s="6"/>
      <c r="HA215" s="6"/>
      <c r="HB215" s="6"/>
      <c r="HC215" s="6"/>
      <c r="HD215" s="6"/>
      <c r="HE215" s="6"/>
      <c r="HF215" s="6"/>
      <c r="HG215" s="6"/>
      <c r="HH215" s="6"/>
      <c r="HI215" s="6"/>
      <c r="HJ215" s="6"/>
      <c r="HK215" s="6"/>
      <c r="HL215" s="6"/>
      <c r="HM215" s="6"/>
      <c r="HN215" s="6"/>
      <c r="HO215" s="6"/>
      <c r="HP215" s="6"/>
    </row>
    <row r="216" spans="3:224" ht="20.100000000000001" customHeight="1">
      <c r="C216" s="11">
        <v>15302002</v>
      </c>
      <c r="D216" s="14" t="s">
        <v>255</v>
      </c>
      <c r="E216" s="14">
        <v>1140003</v>
      </c>
      <c r="F216" s="14">
        <v>13011</v>
      </c>
      <c r="G216" s="14">
        <v>1</v>
      </c>
      <c r="H216" s="14">
        <v>40</v>
      </c>
      <c r="I216" s="22">
        <v>0.2</v>
      </c>
      <c r="J216" s="23">
        <v>15</v>
      </c>
      <c r="K216" s="14">
        <v>0</v>
      </c>
      <c r="L216" s="14">
        <v>0</v>
      </c>
      <c r="M216" s="14">
        <f t="shared" si="36"/>
        <v>36</v>
      </c>
      <c r="N216" s="14">
        <v>72</v>
      </c>
      <c r="O216" s="14">
        <v>0</v>
      </c>
      <c r="P216" s="14">
        <v>0</v>
      </c>
      <c r="Q216" s="14">
        <f t="shared" si="37"/>
        <v>0</v>
      </c>
      <c r="R216" s="14">
        <v>0</v>
      </c>
      <c r="S216" s="14">
        <f t="shared" si="38"/>
        <v>50</v>
      </c>
      <c r="T216" s="14">
        <v>99</v>
      </c>
      <c r="U216" s="22">
        <v>0</v>
      </c>
      <c r="V216" s="14">
        <v>0</v>
      </c>
      <c r="W216" s="14">
        <v>0</v>
      </c>
      <c r="X216" s="14">
        <v>0</v>
      </c>
      <c r="Y216" s="22">
        <v>0</v>
      </c>
      <c r="Z216" s="22">
        <v>0</v>
      </c>
      <c r="AA216" s="22">
        <v>0</v>
      </c>
      <c r="AB216" s="22">
        <v>0</v>
      </c>
      <c r="AC216" s="22">
        <v>0</v>
      </c>
      <c r="AD216" s="22">
        <v>0</v>
      </c>
      <c r="AE216" s="43"/>
      <c r="GR216" s="6"/>
      <c r="GS216" s="6"/>
      <c r="GT216" s="6"/>
      <c r="GU216" s="6"/>
      <c r="GV216" s="6"/>
      <c r="GW216" s="6"/>
      <c r="GX216" s="6"/>
      <c r="GY216" s="6"/>
      <c r="GZ216" s="6"/>
      <c r="HA216" s="6"/>
      <c r="HB216" s="6"/>
      <c r="HC216" s="6"/>
      <c r="HD216" s="6"/>
      <c r="HE216" s="6"/>
      <c r="HF216" s="6"/>
      <c r="HG216" s="6"/>
      <c r="HH216" s="6"/>
      <c r="HI216" s="6"/>
      <c r="HJ216" s="6"/>
      <c r="HK216" s="6"/>
      <c r="HL216" s="6"/>
      <c r="HM216" s="6"/>
      <c r="HN216" s="6"/>
      <c r="HO216" s="6"/>
      <c r="HP216" s="6"/>
    </row>
    <row r="217" spans="3:224" ht="20.100000000000001" customHeight="1">
      <c r="C217" s="11">
        <v>15302003</v>
      </c>
      <c r="D217" s="14" t="s">
        <v>256</v>
      </c>
      <c r="E217" s="14">
        <v>1140003</v>
      </c>
      <c r="F217" s="14">
        <v>0</v>
      </c>
      <c r="G217" s="14">
        <v>1</v>
      </c>
      <c r="H217" s="14">
        <v>40</v>
      </c>
      <c r="I217" s="22">
        <v>0.2</v>
      </c>
      <c r="J217" s="23">
        <v>15</v>
      </c>
      <c r="K217" s="14">
        <v>0</v>
      </c>
      <c r="L217" s="14">
        <v>0</v>
      </c>
      <c r="M217" s="14">
        <f t="shared" si="36"/>
        <v>37</v>
      </c>
      <c r="N217" s="14">
        <v>74</v>
      </c>
      <c r="O217" s="14">
        <v>0</v>
      </c>
      <c r="P217" s="14">
        <v>0</v>
      </c>
      <c r="Q217" s="14">
        <f t="shared" si="37"/>
        <v>0</v>
      </c>
      <c r="R217" s="14">
        <v>0</v>
      </c>
      <c r="S217" s="14">
        <f t="shared" si="38"/>
        <v>30</v>
      </c>
      <c r="T217" s="14">
        <v>59</v>
      </c>
      <c r="U217" s="22">
        <v>0</v>
      </c>
      <c r="V217" s="14">
        <v>0</v>
      </c>
      <c r="W217" s="14">
        <v>0</v>
      </c>
      <c r="X217" s="14">
        <v>0</v>
      </c>
      <c r="Y217" s="22">
        <v>0</v>
      </c>
      <c r="Z217" s="22">
        <v>0</v>
      </c>
      <c r="AA217" s="22">
        <v>0</v>
      </c>
      <c r="AB217" s="22">
        <v>0</v>
      </c>
      <c r="AC217" s="22">
        <v>0</v>
      </c>
      <c r="AD217" s="22">
        <v>0</v>
      </c>
      <c r="AE217" s="43"/>
      <c r="GR217" s="6"/>
      <c r="GS217" s="6"/>
      <c r="GT217" s="6"/>
      <c r="GU217" s="6"/>
      <c r="GV217" s="6"/>
      <c r="GW217" s="6"/>
      <c r="GX217" s="6"/>
      <c r="GY217" s="6"/>
      <c r="GZ217" s="6"/>
      <c r="HA217" s="6"/>
      <c r="HB217" s="6"/>
      <c r="HC217" s="6"/>
      <c r="HD217" s="6"/>
      <c r="HE217" s="6"/>
      <c r="HF217" s="6"/>
      <c r="HG217" s="6"/>
      <c r="HH217" s="6"/>
      <c r="HI217" s="6"/>
      <c r="HJ217" s="6"/>
      <c r="HK217" s="6"/>
      <c r="HL217" s="6"/>
      <c r="HM217" s="6"/>
      <c r="HN217" s="6"/>
      <c r="HO217" s="6"/>
      <c r="HP217" s="6"/>
    </row>
    <row r="218" spans="3:224" ht="20.100000000000001" customHeight="1">
      <c r="C218" s="11">
        <v>15302004</v>
      </c>
      <c r="D218" s="14" t="s">
        <v>257</v>
      </c>
      <c r="E218" s="14">
        <v>1140003</v>
      </c>
      <c r="F218" s="14">
        <v>13021</v>
      </c>
      <c r="G218" s="14">
        <v>1</v>
      </c>
      <c r="H218" s="14">
        <v>40</v>
      </c>
      <c r="I218" s="22">
        <v>0.2</v>
      </c>
      <c r="J218" s="23">
        <v>15</v>
      </c>
      <c r="K218" s="14">
        <v>0</v>
      </c>
      <c r="L218" s="14">
        <v>0</v>
      </c>
      <c r="M218" s="14">
        <f t="shared" si="36"/>
        <v>49</v>
      </c>
      <c r="N218" s="14">
        <v>97</v>
      </c>
      <c r="O218" s="14">
        <v>0</v>
      </c>
      <c r="P218" s="14">
        <v>0</v>
      </c>
      <c r="Q218" s="14">
        <f t="shared" si="37"/>
        <v>0</v>
      </c>
      <c r="R218" s="14">
        <v>0</v>
      </c>
      <c r="S218" s="14">
        <f t="shared" si="38"/>
        <v>37</v>
      </c>
      <c r="T218" s="14">
        <v>74</v>
      </c>
      <c r="U218" s="22">
        <v>0</v>
      </c>
      <c r="V218" s="14">
        <v>0</v>
      </c>
      <c r="W218" s="14">
        <v>0</v>
      </c>
      <c r="X218" s="14">
        <v>0</v>
      </c>
      <c r="Y218" s="22">
        <v>0</v>
      </c>
      <c r="Z218" s="22">
        <v>0</v>
      </c>
      <c r="AA218" s="22">
        <v>0</v>
      </c>
      <c r="AB218" s="22">
        <v>0</v>
      </c>
      <c r="AC218" s="22">
        <v>0</v>
      </c>
      <c r="AD218" s="22">
        <v>0</v>
      </c>
      <c r="AE218" s="43"/>
      <c r="GR218" s="6"/>
      <c r="GS218" s="6"/>
      <c r="GT218" s="6"/>
      <c r="GU218" s="6"/>
      <c r="GV218" s="6"/>
      <c r="GW218" s="6"/>
      <c r="GX218" s="6"/>
      <c r="GY218" s="6"/>
      <c r="GZ218" s="6"/>
      <c r="HA218" s="6"/>
      <c r="HB218" s="6"/>
      <c r="HC218" s="6"/>
      <c r="HD218" s="6"/>
      <c r="HE218" s="6"/>
      <c r="HF218" s="6"/>
      <c r="HG218" s="6"/>
      <c r="HH218" s="6"/>
      <c r="HI218" s="6"/>
      <c r="HJ218" s="6"/>
      <c r="HK218" s="6"/>
      <c r="HL218" s="6"/>
      <c r="HM218" s="6"/>
      <c r="HN218" s="6"/>
      <c r="HO218" s="6"/>
      <c r="HP218" s="6"/>
    </row>
    <row r="219" spans="3:224" ht="20.100000000000001" customHeight="1">
      <c r="C219" s="11">
        <v>15302005</v>
      </c>
      <c r="D219" s="14" t="s">
        <v>258</v>
      </c>
      <c r="E219" s="14">
        <v>1140003</v>
      </c>
      <c r="F219" s="14">
        <v>0</v>
      </c>
      <c r="G219" s="14">
        <v>1</v>
      </c>
      <c r="H219" s="14">
        <v>40</v>
      </c>
      <c r="I219" s="22">
        <v>0.2</v>
      </c>
      <c r="J219" s="23">
        <v>15</v>
      </c>
      <c r="K219" s="14">
        <v>0</v>
      </c>
      <c r="L219" s="14">
        <v>0</v>
      </c>
      <c r="M219" s="14">
        <f t="shared" si="36"/>
        <v>21</v>
      </c>
      <c r="N219" s="14">
        <v>41</v>
      </c>
      <c r="O219" s="14">
        <v>0</v>
      </c>
      <c r="P219" s="14">
        <v>0</v>
      </c>
      <c r="Q219" s="14">
        <f t="shared" si="37"/>
        <v>0</v>
      </c>
      <c r="R219" s="14">
        <v>0</v>
      </c>
      <c r="S219" s="14">
        <f t="shared" si="38"/>
        <v>49</v>
      </c>
      <c r="T219" s="14">
        <v>98</v>
      </c>
      <c r="U219" s="22">
        <v>0</v>
      </c>
      <c r="V219" s="14">
        <v>0</v>
      </c>
      <c r="W219" s="14">
        <v>0</v>
      </c>
      <c r="X219" s="14">
        <v>0</v>
      </c>
      <c r="Y219" s="22">
        <v>0</v>
      </c>
      <c r="Z219" s="22">
        <v>0</v>
      </c>
      <c r="AA219" s="22">
        <v>0</v>
      </c>
      <c r="AB219" s="22">
        <v>0</v>
      </c>
      <c r="AC219" s="22">
        <v>0</v>
      </c>
      <c r="AD219" s="22">
        <v>0</v>
      </c>
      <c r="AE219" s="43"/>
      <c r="GR219" s="6"/>
      <c r="GS219" s="6"/>
      <c r="GT219" s="6"/>
      <c r="GU219" s="6"/>
      <c r="GV219" s="6"/>
      <c r="GW219" s="6"/>
      <c r="GX219" s="6"/>
      <c r="GY219" s="6"/>
      <c r="GZ219" s="6"/>
      <c r="HA219" s="6"/>
      <c r="HB219" s="6"/>
      <c r="HC219" s="6"/>
      <c r="HD219" s="6"/>
      <c r="HE219" s="6"/>
      <c r="HF219" s="6"/>
      <c r="HG219" s="6"/>
      <c r="HH219" s="6"/>
      <c r="HI219" s="6"/>
      <c r="HJ219" s="6"/>
      <c r="HK219" s="6"/>
      <c r="HL219" s="6"/>
      <c r="HM219" s="6"/>
      <c r="HN219" s="6"/>
      <c r="HO219" s="6"/>
      <c r="HP219" s="6"/>
    </row>
    <row r="220" spans="3:224" ht="20.100000000000001" customHeight="1">
      <c r="C220" s="11">
        <v>15302006</v>
      </c>
      <c r="D220" s="14" t="s">
        <v>259</v>
      </c>
      <c r="E220" s="14">
        <v>1140003</v>
      </c>
      <c r="F220" s="14">
        <v>13031</v>
      </c>
      <c r="G220" s="14">
        <v>1</v>
      </c>
      <c r="H220" s="14">
        <v>40</v>
      </c>
      <c r="I220" s="22">
        <v>0.2</v>
      </c>
      <c r="J220" s="23">
        <v>15</v>
      </c>
      <c r="K220" s="14">
        <v>0</v>
      </c>
      <c r="L220" s="14">
        <v>0</v>
      </c>
      <c r="M220" s="14">
        <f t="shared" si="36"/>
        <v>27</v>
      </c>
      <c r="N220" s="14">
        <v>54</v>
      </c>
      <c r="O220" s="14">
        <v>0</v>
      </c>
      <c r="P220" s="14">
        <v>0</v>
      </c>
      <c r="Q220" s="14">
        <f t="shared" si="37"/>
        <v>0</v>
      </c>
      <c r="R220" s="14">
        <v>0</v>
      </c>
      <c r="S220" s="14">
        <f t="shared" si="38"/>
        <v>62</v>
      </c>
      <c r="T220" s="14">
        <v>124</v>
      </c>
      <c r="U220" s="22">
        <v>0</v>
      </c>
      <c r="V220" s="14">
        <v>0</v>
      </c>
      <c r="W220" s="14">
        <v>0</v>
      </c>
      <c r="X220" s="14">
        <v>0</v>
      </c>
      <c r="Y220" s="22">
        <v>0</v>
      </c>
      <c r="Z220" s="22">
        <v>0</v>
      </c>
      <c r="AA220" s="22">
        <v>0</v>
      </c>
      <c r="AB220" s="22">
        <v>0</v>
      </c>
      <c r="AC220" s="22">
        <v>0</v>
      </c>
      <c r="AD220" s="22">
        <v>0</v>
      </c>
      <c r="AE220" s="43"/>
      <c r="GR220" s="6"/>
      <c r="GS220" s="6"/>
      <c r="GT220" s="6"/>
      <c r="GU220" s="6"/>
      <c r="GV220" s="6"/>
      <c r="GW220" s="6"/>
      <c r="GX220" s="6"/>
      <c r="GY220" s="6"/>
      <c r="GZ220" s="6"/>
      <c r="HA220" s="6"/>
      <c r="HB220" s="6"/>
      <c r="HC220" s="6"/>
      <c r="HD220" s="6"/>
      <c r="HE220" s="6"/>
      <c r="HF220" s="6"/>
      <c r="HG220" s="6"/>
      <c r="HH220" s="6"/>
      <c r="HI220" s="6"/>
      <c r="HJ220" s="6"/>
      <c r="HK220" s="6"/>
      <c r="HL220" s="6"/>
      <c r="HM220" s="6"/>
      <c r="HN220" s="6"/>
      <c r="HO220" s="6"/>
      <c r="HP220" s="6"/>
    </row>
    <row r="221" spans="3:224" s="4" customFormat="1" ht="20.100000000000001" customHeight="1">
      <c r="C221" s="17">
        <v>15302007</v>
      </c>
      <c r="D221" s="42" t="s">
        <v>260</v>
      </c>
      <c r="E221" s="19">
        <v>1140003</v>
      </c>
      <c r="F221" s="19">
        <v>0</v>
      </c>
      <c r="G221" s="19">
        <v>1</v>
      </c>
      <c r="H221" s="19">
        <v>40</v>
      </c>
      <c r="I221" s="26">
        <v>0.2</v>
      </c>
      <c r="J221" s="23">
        <v>15</v>
      </c>
      <c r="K221" s="19">
        <v>0</v>
      </c>
      <c r="L221" s="19">
        <v>0</v>
      </c>
      <c r="M221" s="19">
        <f t="shared" ref="M221" si="51">ROUND(N221/2,0)</f>
        <v>31</v>
      </c>
      <c r="N221" s="19">
        <v>62</v>
      </c>
      <c r="O221" s="19">
        <v>0</v>
      </c>
      <c r="P221" s="19">
        <v>0</v>
      </c>
      <c r="Q221" s="19">
        <f t="shared" ref="Q221" si="52">ROUND(R221/2,0)</f>
        <v>0</v>
      </c>
      <c r="R221" s="19">
        <v>0</v>
      </c>
      <c r="S221" s="19">
        <f t="shared" ref="S221" si="53">ROUND(T221/2,0)</f>
        <v>70</v>
      </c>
      <c r="T221" s="19">
        <v>140</v>
      </c>
      <c r="U221" s="26">
        <v>0</v>
      </c>
      <c r="V221" s="19">
        <v>0</v>
      </c>
      <c r="W221" s="19">
        <v>0</v>
      </c>
      <c r="X221" s="19">
        <v>0</v>
      </c>
      <c r="Y221" s="26">
        <v>0</v>
      </c>
      <c r="Z221" s="26">
        <v>0</v>
      </c>
      <c r="AA221" s="26">
        <v>0</v>
      </c>
      <c r="AB221" s="26">
        <v>205001</v>
      </c>
      <c r="AC221" s="26">
        <v>300</v>
      </c>
      <c r="AD221" s="26">
        <v>1</v>
      </c>
      <c r="AE221" s="47"/>
      <c r="AF221" s="34"/>
      <c r="AG221" s="34"/>
      <c r="AH221" s="34"/>
      <c r="AI221" s="34"/>
      <c r="AJ221" s="34"/>
      <c r="AK221" s="34"/>
      <c r="AL221" s="34"/>
      <c r="AM221" s="34"/>
      <c r="AN221" s="34"/>
      <c r="AO221" s="34"/>
      <c r="AP221" s="34"/>
      <c r="AQ221" s="34"/>
      <c r="AR221" s="34"/>
      <c r="AS221" s="34"/>
      <c r="AT221" s="34"/>
      <c r="AU221" s="34"/>
      <c r="AV221" s="34"/>
      <c r="AW221" s="34"/>
      <c r="AX221" s="34"/>
      <c r="AY221" s="34"/>
      <c r="AZ221" s="34"/>
      <c r="BA221" s="34"/>
      <c r="BB221" s="34"/>
      <c r="BC221" s="34"/>
      <c r="BD221" s="34"/>
      <c r="BE221" s="34"/>
      <c r="BF221" s="34"/>
      <c r="BG221" s="34"/>
      <c r="BH221" s="34"/>
      <c r="BI221" s="34"/>
      <c r="BJ221" s="34"/>
      <c r="BK221" s="34"/>
      <c r="BL221" s="34"/>
      <c r="BM221" s="34"/>
      <c r="BN221" s="34"/>
      <c r="BO221" s="34"/>
      <c r="BP221" s="34"/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  <c r="CE221" s="34"/>
      <c r="CF221" s="34"/>
      <c r="CG221" s="34"/>
      <c r="CH221" s="34"/>
      <c r="CI221" s="34"/>
      <c r="CJ221" s="34"/>
      <c r="CK221" s="34"/>
      <c r="CL221" s="34"/>
      <c r="CM221" s="34"/>
      <c r="CN221" s="34"/>
      <c r="CO221" s="34"/>
      <c r="CP221" s="34"/>
      <c r="CQ221" s="34"/>
      <c r="CR221" s="34"/>
      <c r="CS221" s="34"/>
      <c r="CT221" s="34"/>
      <c r="CU221" s="34"/>
      <c r="CV221" s="34"/>
      <c r="CW221" s="34"/>
      <c r="CX221" s="34"/>
      <c r="CY221" s="34"/>
      <c r="CZ221" s="34"/>
      <c r="DA221" s="34"/>
      <c r="DB221" s="34"/>
      <c r="DC221" s="34"/>
      <c r="DD221" s="34"/>
      <c r="DE221" s="34"/>
      <c r="DF221" s="34"/>
      <c r="DG221" s="34"/>
      <c r="DH221" s="34"/>
      <c r="DI221" s="34"/>
      <c r="DJ221" s="34"/>
      <c r="DK221" s="34"/>
      <c r="DL221" s="34"/>
      <c r="DM221" s="34"/>
      <c r="DN221" s="34"/>
      <c r="DO221" s="34"/>
      <c r="DP221" s="34"/>
      <c r="DQ221" s="34"/>
      <c r="DR221" s="34"/>
      <c r="DS221" s="34"/>
      <c r="DT221" s="34"/>
      <c r="DU221" s="34"/>
      <c r="DV221" s="34"/>
      <c r="DW221" s="34"/>
      <c r="DX221" s="34"/>
      <c r="DY221" s="34"/>
      <c r="DZ221" s="34"/>
      <c r="EA221" s="34"/>
      <c r="EB221" s="34"/>
      <c r="EC221" s="34"/>
      <c r="ED221" s="34"/>
      <c r="EE221" s="34"/>
      <c r="EF221" s="34"/>
      <c r="EG221" s="34"/>
      <c r="EH221" s="34"/>
      <c r="EI221" s="34"/>
      <c r="EJ221" s="34"/>
      <c r="EK221" s="34"/>
      <c r="EL221" s="34"/>
      <c r="EM221" s="34"/>
      <c r="EN221" s="34"/>
      <c r="EO221" s="34"/>
      <c r="EP221" s="34"/>
      <c r="EQ221" s="34"/>
      <c r="ER221" s="34"/>
      <c r="ES221" s="34"/>
      <c r="ET221" s="34"/>
      <c r="EU221" s="34"/>
      <c r="EV221" s="34"/>
      <c r="EW221" s="34"/>
      <c r="EX221" s="34"/>
      <c r="EY221" s="34"/>
      <c r="EZ221" s="34"/>
      <c r="FA221" s="34"/>
      <c r="FB221" s="34"/>
      <c r="FC221" s="34"/>
      <c r="FD221" s="34"/>
      <c r="FE221" s="34"/>
      <c r="FF221" s="34"/>
      <c r="FG221" s="34"/>
      <c r="FH221" s="34"/>
      <c r="FI221" s="34"/>
      <c r="FJ221" s="34"/>
      <c r="FK221" s="34"/>
      <c r="FL221" s="34"/>
      <c r="FM221" s="34"/>
      <c r="FN221" s="34"/>
      <c r="FO221" s="34"/>
      <c r="FP221" s="34"/>
      <c r="FQ221" s="34"/>
      <c r="FR221" s="34"/>
      <c r="FS221" s="34"/>
      <c r="FT221" s="34"/>
      <c r="FU221" s="34"/>
      <c r="FV221" s="34"/>
      <c r="FW221" s="34"/>
      <c r="FX221" s="34"/>
      <c r="FY221" s="34"/>
      <c r="FZ221" s="34"/>
      <c r="GA221" s="34"/>
      <c r="GB221" s="34"/>
      <c r="GC221" s="34"/>
      <c r="GD221" s="34"/>
      <c r="GE221" s="34"/>
      <c r="GF221" s="34"/>
      <c r="GG221" s="34"/>
      <c r="GH221" s="34"/>
      <c r="GI221" s="34"/>
      <c r="GJ221" s="34"/>
      <c r="GK221" s="34"/>
      <c r="GL221" s="34"/>
      <c r="GM221" s="34"/>
      <c r="GN221" s="34"/>
      <c r="GO221" s="34"/>
      <c r="GP221" s="34"/>
      <c r="GQ221" s="34"/>
      <c r="GR221" s="34"/>
      <c r="GS221" s="34"/>
      <c r="GT221" s="34"/>
      <c r="GU221" s="34"/>
      <c r="GV221" s="34"/>
      <c r="GW221" s="34"/>
      <c r="GX221" s="34"/>
      <c r="GY221" s="34"/>
      <c r="GZ221" s="34"/>
      <c r="HA221" s="34"/>
      <c r="HB221" s="34"/>
      <c r="HC221" s="34"/>
      <c r="HD221" s="34"/>
      <c r="HE221" s="34"/>
      <c r="HF221" s="34"/>
      <c r="HG221" s="34"/>
      <c r="HH221" s="34"/>
      <c r="HI221" s="34"/>
      <c r="HJ221" s="34"/>
      <c r="HK221" s="34"/>
      <c r="HL221" s="34"/>
      <c r="HM221" s="34"/>
      <c r="HN221" s="34"/>
      <c r="HO221" s="34"/>
      <c r="HP221" s="34"/>
    </row>
    <row r="222" spans="3:224" ht="20.100000000000001" customHeight="1">
      <c r="C222" s="11">
        <v>15303001</v>
      </c>
      <c r="D222" s="14" t="s">
        <v>261</v>
      </c>
      <c r="E222" s="14">
        <v>1140003</v>
      </c>
      <c r="F222" s="14">
        <v>0</v>
      </c>
      <c r="G222" s="14">
        <v>1</v>
      </c>
      <c r="H222" s="14">
        <v>40</v>
      </c>
      <c r="I222" s="22">
        <v>0.2</v>
      </c>
      <c r="J222" s="23">
        <v>15</v>
      </c>
      <c r="K222" s="14">
        <v>0</v>
      </c>
      <c r="L222" s="14">
        <v>980</v>
      </c>
      <c r="M222" s="14">
        <f t="shared" si="36"/>
        <v>15</v>
      </c>
      <c r="N222" s="14">
        <v>30</v>
      </c>
      <c r="O222" s="14">
        <v>0</v>
      </c>
      <c r="P222" s="14">
        <v>0</v>
      </c>
      <c r="Q222" s="14">
        <f t="shared" si="37"/>
        <v>25</v>
      </c>
      <c r="R222" s="14">
        <v>50</v>
      </c>
      <c r="S222" s="14">
        <f t="shared" si="38"/>
        <v>0</v>
      </c>
      <c r="T222" s="14">
        <v>0</v>
      </c>
      <c r="U222" s="22">
        <v>0</v>
      </c>
      <c r="V222" s="14">
        <v>0</v>
      </c>
      <c r="W222" s="14">
        <v>0</v>
      </c>
      <c r="X222" s="14">
        <v>0</v>
      </c>
      <c r="Y222" s="22">
        <v>0</v>
      </c>
      <c r="Z222" s="22">
        <v>0</v>
      </c>
      <c r="AA222" s="22">
        <v>0</v>
      </c>
      <c r="AB222" s="22">
        <v>0</v>
      </c>
      <c r="AC222" s="22">
        <v>0</v>
      </c>
      <c r="AD222" s="22">
        <v>0</v>
      </c>
      <c r="AE222" s="43"/>
      <c r="GR222" s="6"/>
      <c r="GS222" s="6"/>
      <c r="GT222" s="6"/>
      <c r="GU222" s="6"/>
      <c r="GV222" s="6"/>
      <c r="GW222" s="6"/>
      <c r="GX222" s="6"/>
      <c r="GY222" s="6"/>
      <c r="GZ222" s="6"/>
      <c r="HA222" s="6"/>
      <c r="HB222" s="6"/>
      <c r="HC222" s="6"/>
      <c r="HD222" s="6"/>
      <c r="HE222" s="6"/>
      <c r="HF222" s="6"/>
      <c r="HG222" s="6"/>
      <c r="HH222" s="6"/>
      <c r="HI222" s="6"/>
      <c r="HJ222" s="6"/>
      <c r="HK222" s="6"/>
      <c r="HL222" s="6"/>
      <c r="HM222" s="6"/>
      <c r="HN222" s="6"/>
      <c r="HO222" s="6"/>
      <c r="HP222" s="6"/>
    </row>
    <row r="223" spans="3:224" ht="20.100000000000001" customHeight="1">
      <c r="C223" s="11">
        <v>15303002</v>
      </c>
      <c r="D223" s="14" t="s">
        <v>262</v>
      </c>
      <c r="E223" s="14">
        <v>1140003</v>
      </c>
      <c r="F223" s="14">
        <v>13011</v>
      </c>
      <c r="G223" s="14">
        <v>1</v>
      </c>
      <c r="H223" s="14">
        <v>40</v>
      </c>
      <c r="I223" s="22">
        <v>0.2</v>
      </c>
      <c r="J223" s="23">
        <v>15</v>
      </c>
      <c r="K223" s="14">
        <v>0</v>
      </c>
      <c r="L223" s="14">
        <v>1155</v>
      </c>
      <c r="M223" s="14">
        <f t="shared" si="36"/>
        <v>20</v>
      </c>
      <c r="N223" s="14">
        <v>39</v>
      </c>
      <c r="O223" s="14">
        <v>0</v>
      </c>
      <c r="P223" s="14">
        <v>0</v>
      </c>
      <c r="Q223" s="14">
        <f t="shared" si="37"/>
        <v>33</v>
      </c>
      <c r="R223" s="14">
        <v>66</v>
      </c>
      <c r="S223" s="14">
        <f t="shared" si="38"/>
        <v>0</v>
      </c>
      <c r="T223" s="14">
        <v>0</v>
      </c>
      <c r="U223" s="22">
        <v>0</v>
      </c>
      <c r="V223" s="14">
        <v>0</v>
      </c>
      <c r="W223" s="14">
        <v>0</v>
      </c>
      <c r="X223" s="14">
        <v>0</v>
      </c>
      <c r="Y223" s="22">
        <v>0</v>
      </c>
      <c r="Z223" s="22">
        <v>0</v>
      </c>
      <c r="AA223" s="22">
        <v>0</v>
      </c>
      <c r="AB223" s="22">
        <v>0</v>
      </c>
      <c r="AC223" s="22">
        <v>0</v>
      </c>
      <c r="AD223" s="22">
        <v>0</v>
      </c>
      <c r="AE223" s="43"/>
      <c r="GR223" s="6"/>
      <c r="GS223" s="6"/>
      <c r="GT223" s="6"/>
      <c r="GU223" s="6"/>
      <c r="GV223" s="6"/>
      <c r="GW223" s="6"/>
      <c r="GX223" s="6"/>
      <c r="GY223" s="6"/>
      <c r="GZ223" s="6"/>
      <c r="HA223" s="6"/>
      <c r="HB223" s="6"/>
      <c r="HC223" s="6"/>
      <c r="HD223" s="6"/>
      <c r="HE223" s="6"/>
      <c r="HF223" s="6"/>
      <c r="HG223" s="6"/>
      <c r="HH223" s="6"/>
      <c r="HI223" s="6"/>
      <c r="HJ223" s="6"/>
      <c r="HK223" s="6"/>
      <c r="HL223" s="6"/>
      <c r="HM223" s="6"/>
      <c r="HN223" s="6"/>
      <c r="HO223" s="6"/>
      <c r="HP223" s="6"/>
    </row>
    <row r="224" spans="3:224" ht="20.100000000000001" customHeight="1">
      <c r="C224" s="11">
        <v>15303003</v>
      </c>
      <c r="D224" s="14" t="s">
        <v>263</v>
      </c>
      <c r="E224" s="14">
        <v>1140003</v>
      </c>
      <c r="F224" s="14">
        <v>0</v>
      </c>
      <c r="G224" s="14">
        <v>1</v>
      </c>
      <c r="H224" s="14">
        <v>40</v>
      </c>
      <c r="I224" s="22">
        <v>0.2</v>
      </c>
      <c r="J224" s="23">
        <v>15</v>
      </c>
      <c r="K224" s="14">
        <v>0</v>
      </c>
      <c r="L224" s="14">
        <v>490</v>
      </c>
      <c r="M224" s="14">
        <f t="shared" si="36"/>
        <v>21</v>
      </c>
      <c r="N224" s="14">
        <v>41</v>
      </c>
      <c r="O224" s="14">
        <v>0</v>
      </c>
      <c r="P224" s="14">
        <v>0</v>
      </c>
      <c r="Q224" s="14">
        <f t="shared" si="37"/>
        <v>19</v>
      </c>
      <c r="R224" s="14">
        <v>38</v>
      </c>
      <c r="S224" s="14">
        <f t="shared" si="38"/>
        <v>0</v>
      </c>
      <c r="T224" s="14">
        <v>0</v>
      </c>
      <c r="U224" s="22">
        <v>0</v>
      </c>
      <c r="V224" s="14">
        <v>0</v>
      </c>
      <c r="W224" s="14">
        <v>0</v>
      </c>
      <c r="X224" s="14">
        <v>0</v>
      </c>
      <c r="Y224" s="22">
        <v>0</v>
      </c>
      <c r="Z224" s="22">
        <v>0</v>
      </c>
      <c r="AA224" s="22">
        <v>0</v>
      </c>
      <c r="AB224" s="22">
        <v>0</v>
      </c>
      <c r="AC224" s="22">
        <v>0</v>
      </c>
      <c r="AD224" s="22">
        <v>0</v>
      </c>
      <c r="AE224" s="43"/>
      <c r="GR224" s="6"/>
      <c r="GS224" s="6"/>
      <c r="GT224" s="6"/>
      <c r="GU224" s="6"/>
      <c r="GV224" s="6"/>
      <c r="GW224" s="6"/>
      <c r="GX224" s="6"/>
      <c r="GY224" s="6"/>
      <c r="GZ224" s="6"/>
      <c r="HA224" s="6"/>
      <c r="HB224" s="6"/>
      <c r="HC224" s="6"/>
      <c r="HD224" s="6"/>
      <c r="HE224" s="6"/>
      <c r="HF224" s="6"/>
      <c r="HG224" s="6"/>
      <c r="HH224" s="6"/>
      <c r="HI224" s="6"/>
      <c r="HJ224" s="6"/>
      <c r="HK224" s="6"/>
      <c r="HL224" s="6"/>
      <c r="HM224" s="6"/>
      <c r="HN224" s="6"/>
      <c r="HO224" s="6"/>
      <c r="HP224" s="6"/>
    </row>
    <row r="225" spans="3:224" ht="20.100000000000001" customHeight="1">
      <c r="C225" s="11">
        <v>15303004</v>
      </c>
      <c r="D225" s="14" t="s">
        <v>264</v>
      </c>
      <c r="E225" s="14">
        <v>1140003</v>
      </c>
      <c r="F225" s="14">
        <v>13021</v>
      </c>
      <c r="G225" s="14">
        <v>1</v>
      </c>
      <c r="H225" s="14">
        <v>40</v>
      </c>
      <c r="I225" s="22">
        <v>0.2</v>
      </c>
      <c r="J225" s="23">
        <v>15</v>
      </c>
      <c r="K225" s="14">
        <v>0</v>
      </c>
      <c r="L225" s="14">
        <v>580</v>
      </c>
      <c r="M225" s="14">
        <f t="shared" si="36"/>
        <v>27</v>
      </c>
      <c r="N225" s="14">
        <v>53</v>
      </c>
      <c r="O225" s="14">
        <v>0</v>
      </c>
      <c r="P225" s="14">
        <v>0</v>
      </c>
      <c r="Q225" s="14">
        <f t="shared" si="37"/>
        <v>25</v>
      </c>
      <c r="R225" s="14">
        <v>50</v>
      </c>
      <c r="S225" s="14">
        <f t="shared" si="38"/>
        <v>0</v>
      </c>
      <c r="T225" s="14">
        <v>0</v>
      </c>
      <c r="U225" s="22">
        <v>0</v>
      </c>
      <c r="V225" s="14">
        <v>0</v>
      </c>
      <c r="W225" s="14">
        <v>0</v>
      </c>
      <c r="X225" s="14">
        <v>0</v>
      </c>
      <c r="Y225" s="22">
        <v>0</v>
      </c>
      <c r="Z225" s="22">
        <v>0</v>
      </c>
      <c r="AA225" s="22">
        <v>0</v>
      </c>
      <c r="AB225" s="22">
        <v>0</v>
      </c>
      <c r="AC225" s="22">
        <v>0</v>
      </c>
      <c r="AD225" s="22">
        <v>0</v>
      </c>
      <c r="AE225" s="43"/>
      <c r="GR225" s="6"/>
      <c r="GS225" s="6"/>
      <c r="GT225" s="6"/>
      <c r="GU225" s="6"/>
      <c r="GV225" s="6"/>
      <c r="GW225" s="6"/>
      <c r="GX225" s="6"/>
      <c r="GY225" s="6"/>
      <c r="GZ225" s="6"/>
      <c r="HA225" s="6"/>
      <c r="HB225" s="6"/>
      <c r="HC225" s="6"/>
      <c r="HD225" s="6"/>
      <c r="HE225" s="6"/>
      <c r="HF225" s="6"/>
      <c r="HG225" s="6"/>
      <c r="HH225" s="6"/>
      <c r="HI225" s="6"/>
      <c r="HJ225" s="6"/>
      <c r="HK225" s="6"/>
      <c r="HL225" s="6"/>
      <c r="HM225" s="6"/>
      <c r="HN225" s="6"/>
      <c r="HO225" s="6"/>
      <c r="HP225" s="6"/>
    </row>
    <row r="226" spans="3:224" ht="20.100000000000001" customHeight="1">
      <c r="C226" s="11">
        <v>15303005</v>
      </c>
      <c r="D226" s="14" t="s">
        <v>265</v>
      </c>
      <c r="E226" s="14">
        <v>1140003</v>
      </c>
      <c r="F226" s="14">
        <v>0</v>
      </c>
      <c r="G226" s="14">
        <v>1</v>
      </c>
      <c r="H226" s="14">
        <v>40</v>
      </c>
      <c r="I226" s="22">
        <v>0.2</v>
      </c>
      <c r="J226" s="23">
        <v>15</v>
      </c>
      <c r="K226" s="14">
        <v>0</v>
      </c>
      <c r="L226" s="14">
        <v>1470</v>
      </c>
      <c r="M226" s="14">
        <f t="shared" si="36"/>
        <v>12</v>
      </c>
      <c r="N226" s="14">
        <v>23</v>
      </c>
      <c r="O226" s="14">
        <v>0</v>
      </c>
      <c r="P226" s="14">
        <v>0</v>
      </c>
      <c r="Q226" s="14">
        <f t="shared" si="37"/>
        <v>32</v>
      </c>
      <c r="R226" s="14">
        <v>63</v>
      </c>
      <c r="S226" s="14">
        <f t="shared" si="38"/>
        <v>0</v>
      </c>
      <c r="T226" s="14">
        <v>0</v>
      </c>
      <c r="U226" s="22">
        <v>0</v>
      </c>
      <c r="V226" s="14">
        <v>0</v>
      </c>
      <c r="W226" s="14">
        <v>0</v>
      </c>
      <c r="X226" s="14">
        <v>0</v>
      </c>
      <c r="Y226" s="22">
        <v>0</v>
      </c>
      <c r="Z226" s="22">
        <v>0</v>
      </c>
      <c r="AA226" s="22">
        <v>0</v>
      </c>
      <c r="AB226" s="22">
        <v>0</v>
      </c>
      <c r="AC226" s="22">
        <v>0</v>
      </c>
      <c r="AD226" s="22">
        <v>0</v>
      </c>
      <c r="AE226" s="43"/>
      <c r="GR226" s="6"/>
      <c r="GS226" s="6"/>
      <c r="GT226" s="6"/>
      <c r="GU226" s="6"/>
      <c r="GV226" s="6"/>
      <c r="GW226" s="6"/>
      <c r="GX226" s="6"/>
      <c r="GY226" s="6"/>
      <c r="GZ226" s="6"/>
      <c r="HA226" s="6"/>
      <c r="HB226" s="6"/>
      <c r="HC226" s="6"/>
      <c r="HD226" s="6"/>
      <c r="HE226" s="6"/>
      <c r="HF226" s="6"/>
      <c r="HG226" s="6"/>
      <c r="HH226" s="6"/>
      <c r="HI226" s="6"/>
      <c r="HJ226" s="6"/>
      <c r="HK226" s="6"/>
      <c r="HL226" s="6"/>
      <c r="HM226" s="6"/>
      <c r="HN226" s="6"/>
      <c r="HO226" s="6"/>
      <c r="HP226" s="6"/>
    </row>
    <row r="227" spans="3:224" ht="20.100000000000001" customHeight="1">
      <c r="C227" s="11">
        <v>15303006</v>
      </c>
      <c r="D227" s="14" t="s">
        <v>266</v>
      </c>
      <c r="E227" s="14">
        <v>1140003</v>
      </c>
      <c r="F227" s="14">
        <v>13031</v>
      </c>
      <c r="G227" s="14">
        <v>1</v>
      </c>
      <c r="H227" s="14">
        <v>40</v>
      </c>
      <c r="I227" s="22">
        <v>0.2</v>
      </c>
      <c r="J227" s="23">
        <v>15</v>
      </c>
      <c r="K227" s="14">
        <v>0</v>
      </c>
      <c r="L227" s="14">
        <v>1730</v>
      </c>
      <c r="M227" s="14">
        <f t="shared" si="36"/>
        <v>15</v>
      </c>
      <c r="N227" s="14">
        <v>29</v>
      </c>
      <c r="O227" s="14">
        <v>0</v>
      </c>
      <c r="P227" s="14">
        <v>0</v>
      </c>
      <c r="Q227" s="14">
        <f t="shared" si="37"/>
        <v>42</v>
      </c>
      <c r="R227" s="14">
        <v>83</v>
      </c>
      <c r="S227" s="14">
        <f t="shared" si="38"/>
        <v>0</v>
      </c>
      <c r="T227" s="14">
        <v>0</v>
      </c>
      <c r="U227" s="22">
        <v>0</v>
      </c>
      <c r="V227" s="14">
        <v>0</v>
      </c>
      <c r="W227" s="14">
        <v>0</v>
      </c>
      <c r="X227" s="14">
        <v>0</v>
      </c>
      <c r="Y227" s="22">
        <v>0</v>
      </c>
      <c r="Z227" s="22">
        <v>0</v>
      </c>
      <c r="AA227" s="22">
        <v>0</v>
      </c>
      <c r="AB227" s="22">
        <v>0</v>
      </c>
      <c r="AC227" s="22">
        <v>0</v>
      </c>
      <c r="AD227" s="22">
        <v>0</v>
      </c>
      <c r="AE227" s="43"/>
      <c r="GR227" s="6"/>
      <c r="GS227" s="6"/>
      <c r="GT227" s="6"/>
      <c r="GU227" s="6"/>
      <c r="GV227" s="6"/>
      <c r="GW227" s="6"/>
      <c r="GX227" s="6"/>
      <c r="GY227" s="6"/>
      <c r="GZ227" s="6"/>
      <c r="HA227" s="6"/>
      <c r="HB227" s="6"/>
      <c r="HC227" s="6"/>
      <c r="HD227" s="6"/>
      <c r="HE227" s="6"/>
      <c r="HF227" s="6"/>
      <c r="HG227" s="6"/>
      <c r="HH227" s="6"/>
      <c r="HI227" s="6"/>
      <c r="HJ227" s="6"/>
      <c r="HK227" s="6"/>
      <c r="HL227" s="6"/>
      <c r="HM227" s="6"/>
      <c r="HN227" s="6"/>
      <c r="HO227" s="6"/>
      <c r="HP227" s="6"/>
    </row>
    <row r="228" spans="3:224" ht="20.100000000000001" customHeight="1">
      <c r="C228" s="11">
        <v>15304001</v>
      </c>
      <c r="D228" s="14" t="s">
        <v>267</v>
      </c>
      <c r="E228" s="14">
        <v>1140003</v>
      </c>
      <c r="F228" s="14">
        <v>0</v>
      </c>
      <c r="G228" s="14">
        <v>1</v>
      </c>
      <c r="H228" s="14">
        <v>40</v>
      </c>
      <c r="I228" s="22">
        <v>0.2</v>
      </c>
      <c r="J228" s="23">
        <v>15</v>
      </c>
      <c r="K228" s="14">
        <v>0</v>
      </c>
      <c r="L228" s="14">
        <v>0</v>
      </c>
      <c r="M228" s="14">
        <f t="shared" si="36"/>
        <v>25</v>
      </c>
      <c r="N228" s="14">
        <v>50</v>
      </c>
      <c r="O228" s="14">
        <v>0</v>
      </c>
      <c r="P228" s="14">
        <v>0</v>
      </c>
      <c r="Q228" s="14">
        <f t="shared" si="37"/>
        <v>26</v>
      </c>
      <c r="R228" s="14">
        <v>52</v>
      </c>
      <c r="S228" s="14">
        <f t="shared" si="38"/>
        <v>26</v>
      </c>
      <c r="T228" s="14">
        <v>52</v>
      </c>
      <c r="U228" s="22">
        <v>0</v>
      </c>
      <c r="V228" s="14">
        <v>0</v>
      </c>
      <c r="W228" s="14">
        <v>0</v>
      </c>
      <c r="X228" s="14">
        <v>0</v>
      </c>
      <c r="Y228" s="22">
        <v>0</v>
      </c>
      <c r="Z228" s="22">
        <v>0</v>
      </c>
      <c r="AA228" s="22">
        <v>0</v>
      </c>
      <c r="AB228" s="22">
        <v>0</v>
      </c>
      <c r="AC228" s="22">
        <v>0</v>
      </c>
      <c r="AD228" s="22">
        <v>0</v>
      </c>
      <c r="AE228" s="43"/>
      <c r="GR228" s="6"/>
      <c r="GS228" s="6"/>
      <c r="GT228" s="6"/>
      <c r="GU228" s="6"/>
      <c r="GV228" s="6"/>
      <c r="GW228" s="6"/>
      <c r="GX228" s="6"/>
      <c r="GY228" s="6"/>
      <c r="GZ228" s="6"/>
      <c r="HA228" s="6"/>
      <c r="HB228" s="6"/>
      <c r="HC228" s="6"/>
      <c r="HD228" s="6"/>
      <c r="HE228" s="6"/>
      <c r="HF228" s="6"/>
      <c r="HG228" s="6"/>
      <c r="HH228" s="6"/>
      <c r="HI228" s="6"/>
      <c r="HJ228" s="6"/>
      <c r="HK228" s="6"/>
      <c r="HL228" s="6"/>
      <c r="HM228" s="6"/>
      <c r="HN228" s="6"/>
      <c r="HO228" s="6"/>
      <c r="HP228" s="6"/>
    </row>
    <row r="229" spans="3:224" ht="20.100000000000001" customHeight="1">
      <c r="C229" s="11">
        <v>15304002</v>
      </c>
      <c r="D229" s="14" t="s">
        <v>268</v>
      </c>
      <c r="E229" s="14">
        <v>1140003</v>
      </c>
      <c r="F229" s="14">
        <v>13011</v>
      </c>
      <c r="G229" s="14">
        <v>1</v>
      </c>
      <c r="H229" s="14">
        <v>40</v>
      </c>
      <c r="I229" s="22">
        <v>0.2</v>
      </c>
      <c r="J229" s="23">
        <v>15</v>
      </c>
      <c r="K229" s="14">
        <v>0</v>
      </c>
      <c r="L229" s="14">
        <v>0</v>
      </c>
      <c r="M229" s="14">
        <f t="shared" si="36"/>
        <v>31</v>
      </c>
      <c r="N229" s="14">
        <v>61</v>
      </c>
      <c r="O229" s="14">
        <v>0</v>
      </c>
      <c r="P229" s="14">
        <v>0</v>
      </c>
      <c r="Q229" s="14">
        <f t="shared" si="37"/>
        <v>33</v>
      </c>
      <c r="R229" s="14">
        <v>66</v>
      </c>
      <c r="S229" s="14">
        <f t="shared" si="38"/>
        <v>33</v>
      </c>
      <c r="T229" s="14">
        <v>66</v>
      </c>
      <c r="U229" s="22">
        <v>0</v>
      </c>
      <c r="V229" s="14">
        <v>0</v>
      </c>
      <c r="W229" s="14">
        <v>0</v>
      </c>
      <c r="X229" s="14">
        <v>0</v>
      </c>
      <c r="Y229" s="22">
        <v>0</v>
      </c>
      <c r="Z229" s="22">
        <v>0</v>
      </c>
      <c r="AA229" s="22">
        <v>0</v>
      </c>
      <c r="AB229" s="22">
        <v>0</v>
      </c>
      <c r="AC229" s="22">
        <v>0</v>
      </c>
      <c r="AD229" s="22">
        <v>0</v>
      </c>
      <c r="AE229" s="43"/>
      <c r="GR229" s="6"/>
      <c r="GS229" s="6"/>
      <c r="GT229" s="6"/>
      <c r="GU229" s="6"/>
      <c r="GV229" s="6"/>
      <c r="GW229" s="6"/>
      <c r="GX229" s="6"/>
      <c r="GY229" s="6"/>
      <c r="GZ229" s="6"/>
      <c r="HA229" s="6"/>
      <c r="HB229" s="6"/>
      <c r="HC229" s="6"/>
      <c r="HD229" s="6"/>
      <c r="HE229" s="6"/>
      <c r="HF229" s="6"/>
      <c r="HG229" s="6"/>
      <c r="HH229" s="6"/>
      <c r="HI229" s="6"/>
      <c r="HJ229" s="6"/>
      <c r="HK229" s="6"/>
      <c r="HL229" s="6"/>
      <c r="HM229" s="6"/>
      <c r="HN229" s="6"/>
      <c r="HO229" s="6"/>
      <c r="HP229" s="6"/>
    </row>
    <row r="230" spans="3:224" ht="20.100000000000001" customHeight="1">
      <c r="C230" s="11">
        <v>15304003</v>
      </c>
      <c r="D230" s="14" t="s">
        <v>269</v>
      </c>
      <c r="E230" s="14">
        <v>1140003</v>
      </c>
      <c r="F230" s="14">
        <v>0</v>
      </c>
      <c r="G230" s="14">
        <v>1</v>
      </c>
      <c r="H230" s="14">
        <v>40</v>
      </c>
      <c r="I230" s="22">
        <v>0.2</v>
      </c>
      <c r="J230" s="23">
        <v>15</v>
      </c>
      <c r="K230" s="14">
        <v>0</v>
      </c>
      <c r="L230" s="14">
        <v>0</v>
      </c>
      <c r="M230" s="14">
        <f t="shared" si="36"/>
        <v>34</v>
      </c>
      <c r="N230" s="14">
        <v>68</v>
      </c>
      <c r="O230" s="14">
        <v>0</v>
      </c>
      <c r="P230" s="14">
        <v>0</v>
      </c>
      <c r="Q230" s="14">
        <f t="shared" si="37"/>
        <v>20</v>
      </c>
      <c r="R230" s="14">
        <v>39</v>
      </c>
      <c r="S230" s="14">
        <f t="shared" si="38"/>
        <v>20</v>
      </c>
      <c r="T230" s="14">
        <v>39</v>
      </c>
      <c r="U230" s="22">
        <v>0</v>
      </c>
      <c r="V230" s="14">
        <v>0</v>
      </c>
      <c r="W230" s="14">
        <v>0</v>
      </c>
      <c r="X230" s="14">
        <v>0</v>
      </c>
      <c r="Y230" s="22">
        <v>0</v>
      </c>
      <c r="Z230" s="22">
        <v>0</v>
      </c>
      <c r="AA230" s="22">
        <v>0</v>
      </c>
      <c r="AB230" s="22">
        <v>0</v>
      </c>
      <c r="AC230" s="22">
        <v>0</v>
      </c>
      <c r="AD230" s="22">
        <v>0</v>
      </c>
      <c r="AE230" s="43"/>
      <c r="GR230" s="6"/>
      <c r="GS230" s="6"/>
      <c r="GT230" s="6"/>
      <c r="GU230" s="6"/>
      <c r="GV230" s="6"/>
      <c r="GW230" s="6"/>
      <c r="GX230" s="6"/>
      <c r="GY230" s="6"/>
      <c r="GZ230" s="6"/>
      <c r="HA230" s="6"/>
      <c r="HB230" s="6"/>
      <c r="HC230" s="6"/>
      <c r="HD230" s="6"/>
      <c r="HE230" s="6"/>
      <c r="HF230" s="6"/>
      <c r="HG230" s="6"/>
      <c r="HH230" s="6"/>
      <c r="HI230" s="6"/>
      <c r="HJ230" s="6"/>
      <c r="HK230" s="6"/>
      <c r="HL230" s="6"/>
      <c r="HM230" s="6"/>
      <c r="HN230" s="6"/>
      <c r="HO230" s="6"/>
      <c r="HP230" s="6"/>
    </row>
    <row r="231" spans="3:224" ht="20.100000000000001" customHeight="1">
      <c r="C231" s="11">
        <v>15304004</v>
      </c>
      <c r="D231" s="14" t="s">
        <v>270</v>
      </c>
      <c r="E231" s="14">
        <v>1140003</v>
      </c>
      <c r="F231" s="14">
        <v>13021</v>
      </c>
      <c r="G231" s="14">
        <v>1</v>
      </c>
      <c r="H231" s="14">
        <v>40</v>
      </c>
      <c r="I231" s="22">
        <v>0.2</v>
      </c>
      <c r="J231" s="23">
        <v>15</v>
      </c>
      <c r="K231" s="14">
        <v>0</v>
      </c>
      <c r="L231" s="14">
        <v>0</v>
      </c>
      <c r="M231" s="14">
        <f t="shared" si="36"/>
        <v>41</v>
      </c>
      <c r="N231" s="14">
        <v>82</v>
      </c>
      <c r="O231" s="14">
        <v>0</v>
      </c>
      <c r="P231" s="14">
        <v>0</v>
      </c>
      <c r="Q231" s="14">
        <f t="shared" si="37"/>
        <v>25</v>
      </c>
      <c r="R231" s="14">
        <v>50</v>
      </c>
      <c r="S231" s="14">
        <f t="shared" si="38"/>
        <v>25</v>
      </c>
      <c r="T231" s="14">
        <v>50</v>
      </c>
      <c r="U231" s="22">
        <v>0</v>
      </c>
      <c r="V231" s="14">
        <v>0</v>
      </c>
      <c r="W231" s="14">
        <v>0</v>
      </c>
      <c r="X231" s="14">
        <v>0</v>
      </c>
      <c r="Y231" s="22">
        <v>0</v>
      </c>
      <c r="Z231" s="22">
        <v>0</v>
      </c>
      <c r="AA231" s="22">
        <v>0</v>
      </c>
      <c r="AB231" s="22">
        <v>0</v>
      </c>
      <c r="AC231" s="22">
        <v>0</v>
      </c>
      <c r="AD231" s="22">
        <v>0</v>
      </c>
      <c r="AE231" s="43"/>
      <c r="GR231" s="6"/>
      <c r="GS231" s="6"/>
      <c r="GT231" s="6"/>
      <c r="GU231" s="6"/>
      <c r="GV231" s="6"/>
      <c r="GW231" s="6"/>
      <c r="GX231" s="6"/>
      <c r="GY231" s="6"/>
      <c r="GZ231" s="6"/>
      <c r="HA231" s="6"/>
      <c r="HB231" s="6"/>
      <c r="HC231" s="6"/>
      <c r="HD231" s="6"/>
      <c r="HE231" s="6"/>
      <c r="HF231" s="6"/>
      <c r="HG231" s="6"/>
      <c r="HH231" s="6"/>
      <c r="HI231" s="6"/>
      <c r="HJ231" s="6"/>
      <c r="HK231" s="6"/>
      <c r="HL231" s="6"/>
      <c r="HM231" s="6"/>
      <c r="HN231" s="6"/>
      <c r="HO231" s="6"/>
      <c r="HP231" s="6"/>
    </row>
    <row r="232" spans="3:224" ht="20.100000000000001" customHeight="1">
      <c r="C232" s="11">
        <v>15304005</v>
      </c>
      <c r="D232" s="14" t="s">
        <v>271</v>
      </c>
      <c r="E232" s="14">
        <v>1140003</v>
      </c>
      <c r="F232" s="14">
        <v>0</v>
      </c>
      <c r="G232" s="14">
        <v>1</v>
      </c>
      <c r="H232" s="14">
        <v>40</v>
      </c>
      <c r="I232" s="22">
        <v>0.2</v>
      </c>
      <c r="J232" s="23">
        <v>15</v>
      </c>
      <c r="K232" s="14">
        <v>0</v>
      </c>
      <c r="L232" s="14">
        <v>0</v>
      </c>
      <c r="M232" s="14">
        <f t="shared" si="36"/>
        <v>19</v>
      </c>
      <c r="N232" s="14">
        <v>38</v>
      </c>
      <c r="O232" s="14">
        <v>0</v>
      </c>
      <c r="P232" s="14">
        <v>0</v>
      </c>
      <c r="Q232" s="14">
        <f t="shared" si="37"/>
        <v>33</v>
      </c>
      <c r="R232" s="14">
        <v>65</v>
      </c>
      <c r="S232" s="14">
        <f t="shared" si="38"/>
        <v>33</v>
      </c>
      <c r="T232" s="14">
        <v>65</v>
      </c>
      <c r="U232" s="22">
        <v>0</v>
      </c>
      <c r="V232" s="14">
        <v>0</v>
      </c>
      <c r="W232" s="14">
        <v>0</v>
      </c>
      <c r="X232" s="14">
        <v>0</v>
      </c>
      <c r="Y232" s="22">
        <v>0</v>
      </c>
      <c r="Z232" s="22">
        <v>0</v>
      </c>
      <c r="AA232" s="22">
        <v>0</v>
      </c>
      <c r="AB232" s="22">
        <v>0</v>
      </c>
      <c r="AC232" s="22">
        <v>0</v>
      </c>
      <c r="AD232" s="22">
        <v>0</v>
      </c>
      <c r="AE232" s="43"/>
      <c r="GR232" s="6"/>
      <c r="GS232" s="6"/>
      <c r="GT232" s="6"/>
      <c r="GU232" s="6"/>
      <c r="GV232" s="6"/>
      <c r="GW232" s="6"/>
      <c r="GX232" s="6"/>
      <c r="GY232" s="6"/>
      <c r="GZ232" s="6"/>
      <c r="HA232" s="6"/>
      <c r="HB232" s="6"/>
      <c r="HC232" s="6"/>
      <c r="HD232" s="6"/>
      <c r="HE232" s="6"/>
      <c r="HF232" s="6"/>
      <c r="HG232" s="6"/>
      <c r="HH232" s="6"/>
      <c r="HI232" s="6"/>
      <c r="HJ232" s="6"/>
      <c r="HK232" s="6"/>
      <c r="HL232" s="6"/>
      <c r="HM232" s="6"/>
      <c r="HN232" s="6"/>
      <c r="HO232" s="6"/>
      <c r="HP232" s="6"/>
    </row>
    <row r="233" spans="3:224" ht="20.100000000000001" customHeight="1">
      <c r="C233" s="11">
        <v>15304006</v>
      </c>
      <c r="D233" s="14" t="s">
        <v>272</v>
      </c>
      <c r="E233" s="14">
        <v>1140003</v>
      </c>
      <c r="F233" s="14">
        <v>13031</v>
      </c>
      <c r="G233" s="14">
        <v>1</v>
      </c>
      <c r="H233" s="14">
        <v>40</v>
      </c>
      <c r="I233" s="22">
        <v>0.2</v>
      </c>
      <c r="J233" s="23">
        <v>15</v>
      </c>
      <c r="K233" s="14">
        <v>0</v>
      </c>
      <c r="L233" s="14">
        <v>0</v>
      </c>
      <c r="M233" s="14">
        <f t="shared" si="36"/>
        <v>23</v>
      </c>
      <c r="N233" s="14">
        <v>46</v>
      </c>
      <c r="O233" s="14">
        <v>0</v>
      </c>
      <c r="P233" s="14">
        <v>0</v>
      </c>
      <c r="Q233" s="14">
        <f t="shared" si="37"/>
        <v>42</v>
      </c>
      <c r="R233" s="14">
        <v>83</v>
      </c>
      <c r="S233" s="14">
        <f t="shared" si="38"/>
        <v>42</v>
      </c>
      <c r="T233" s="14">
        <v>83</v>
      </c>
      <c r="U233" s="22">
        <v>0</v>
      </c>
      <c r="V233" s="14">
        <v>0</v>
      </c>
      <c r="W233" s="14">
        <v>0</v>
      </c>
      <c r="X233" s="14">
        <v>0</v>
      </c>
      <c r="Y233" s="22">
        <v>0</v>
      </c>
      <c r="Z233" s="22">
        <v>0</v>
      </c>
      <c r="AA233" s="22">
        <v>0</v>
      </c>
      <c r="AB233" s="22">
        <v>0</v>
      </c>
      <c r="AC233" s="22">
        <v>0</v>
      </c>
      <c r="AD233" s="22">
        <v>0</v>
      </c>
      <c r="AE233" s="43"/>
      <c r="GR233" s="6"/>
      <c r="GS233" s="6"/>
      <c r="GT233" s="6"/>
      <c r="GU233" s="6"/>
      <c r="GV233" s="6"/>
      <c r="GW233" s="6"/>
      <c r="GX233" s="6"/>
      <c r="GY233" s="6"/>
      <c r="GZ233" s="6"/>
      <c r="HA233" s="6"/>
      <c r="HB233" s="6"/>
      <c r="HC233" s="6"/>
      <c r="HD233" s="6"/>
      <c r="HE233" s="6"/>
      <c r="HF233" s="6"/>
      <c r="HG233" s="6"/>
      <c r="HH233" s="6"/>
      <c r="HI233" s="6"/>
      <c r="HJ233" s="6"/>
      <c r="HK233" s="6"/>
      <c r="HL233" s="6"/>
      <c r="HM233" s="6"/>
      <c r="HN233" s="6"/>
      <c r="HO233" s="6"/>
      <c r="HP233" s="6"/>
    </row>
    <row r="234" spans="3:224" ht="20.100000000000001" customHeight="1">
      <c r="C234" s="11">
        <v>15305001</v>
      </c>
      <c r="D234" s="14" t="s">
        <v>273</v>
      </c>
      <c r="E234" s="14">
        <v>1140003</v>
      </c>
      <c r="F234" s="14">
        <v>0</v>
      </c>
      <c r="G234" s="14">
        <v>1</v>
      </c>
      <c r="H234" s="14">
        <v>40</v>
      </c>
      <c r="I234" s="22">
        <v>0.2</v>
      </c>
      <c r="J234" s="23">
        <v>15</v>
      </c>
      <c r="K234" s="14">
        <v>0</v>
      </c>
      <c r="L234" s="14">
        <v>2450</v>
      </c>
      <c r="M234" s="14">
        <f t="shared" si="36"/>
        <v>33</v>
      </c>
      <c r="N234" s="14">
        <v>65</v>
      </c>
      <c r="O234" s="14">
        <v>0</v>
      </c>
      <c r="P234" s="14">
        <v>0</v>
      </c>
      <c r="Q234" s="14">
        <f t="shared" si="37"/>
        <v>13</v>
      </c>
      <c r="R234" s="14">
        <v>25</v>
      </c>
      <c r="S234" s="14">
        <f t="shared" si="38"/>
        <v>0</v>
      </c>
      <c r="T234" s="14">
        <v>0</v>
      </c>
      <c r="U234" s="22">
        <v>0</v>
      </c>
      <c r="V234" s="14">
        <v>0</v>
      </c>
      <c r="W234" s="14">
        <v>0</v>
      </c>
      <c r="X234" s="14">
        <v>0</v>
      </c>
      <c r="Y234" s="22">
        <v>0</v>
      </c>
      <c r="Z234" s="22">
        <v>0</v>
      </c>
      <c r="AA234" s="22">
        <v>0</v>
      </c>
      <c r="AB234" s="22">
        <v>0</v>
      </c>
      <c r="AC234" s="22">
        <v>0</v>
      </c>
      <c r="AD234" s="22">
        <v>0</v>
      </c>
      <c r="AE234" s="43"/>
      <c r="GR234" s="6"/>
      <c r="GS234" s="6"/>
      <c r="GT234" s="6"/>
      <c r="GU234" s="6"/>
      <c r="GV234" s="6"/>
      <c r="GW234" s="6"/>
      <c r="GX234" s="6"/>
      <c r="GY234" s="6"/>
      <c r="GZ234" s="6"/>
      <c r="HA234" s="6"/>
      <c r="HB234" s="6"/>
      <c r="HC234" s="6"/>
      <c r="HD234" s="6"/>
      <c r="HE234" s="6"/>
      <c r="HF234" s="6"/>
      <c r="HG234" s="6"/>
      <c r="HH234" s="6"/>
      <c r="HI234" s="6"/>
      <c r="HJ234" s="6"/>
      <c r="HK234" s="6"/>
      <c r="HL234" s="6"/>
      <c r="HM234" s="6"/>
      <c r="HN234" s="6"/>
      <c r="HO234" s="6"/>
      <c r="HP234" s="6"/>
    </row>
    <row r="235" spans="3:224" ht="20.100000000000001" customHeight="1">
      <c r="C235" s="11">
        <v>15305002</v>
      </c>
      <c r="D235" s="14" t="s">
        <v>274</v>
      </c>
      <c r="E235" s="14">
        <v>1140003</v>
      </c>
      <c r="F235" s="14">
        <v>13011</v>
      </c>
      <c r="G235" s="14">
        <v>1</v>
      </c>
      <c r="H235" s="14">
        <v>40</v>
      </c>
      <c r="I235" s="22">
        <v>0.2</v>
      </c>
      <c r="J235" s="23">
        <v>15</v>
      </c>
      <c r="K235" s="14">
        <v>0</v>
      </c>
      <c r="L235" s="14">
        <v>2880</v>
      </c>
      <c r="M235" s="14">
        <f t="shared" si="36"/>
        <v>42</v>
      </c>
      <c r="N235" s="14">
        <v>83</v>
      </c>
      <c r="O235" s="14">
        <v>0</v>
      </c>
      <c r="P235" s="14">
        <v>0</v>
      </c>
      <c r="Q235" s="14">
        <f t="shared" si="37"/>
        <v>17</v>
      </c>
      <c r="R235" s="14">
        <v>33</v>
      </c>
      <c r="S235" s="14">
        <f t="shared" si="38"/>
        <v>0</v>
      </c>
      <c r="T235" s="14">
        <v>0</v>
      </c>
      <c r="U235" s="22">
        <v>0</v>
      </c>
      <c r="V235" s="14">
        <v>0</v>
      </c>
      <c r="W235" s="14">
        <v>0</v>
      </c>
      <c r="X235" s="14">
        <v>0</v>
      </c>
      <c r="Y235" s="22">
        <v>0</v>
      </c>
      <c r="Z235" s="22">
        <v>0</v>
      </c>
      <c r="AA235" s="22">
        <v>0</v>
      </c>
      <c r="AB235" s="22">
        <v>0</v>
      </c>
      <c r="AC235" s="22">
        <v>0</v>
      </c>
      <c r="AD235" s="22">
        <v>0</v>
      </c>
      <c r="AE235" s="43"/>
      <c r="GR235" s="6"/>
      <c r="GS235" s="6"/>
      <c r="GT235" s="6"/>
      <c r="GU235" s="6"/>
      <c r="GV235" s="6"/>
      <c r="GW235" s="6"/>
      <c r="GX235" s="6"/>
      <c r="GY235" s="6"/>
      <c r="GZ235" s="6"/>
      <c r="HA235" s="6"/>
      <c r="HB235" s="6"/>
      <c r="HC235" s="6"/>
      <c r="HD235" s="6"/>
      <c r="HE235" s="6"/>
      <c r="HF235" s="6"/>
      <c r="HG235" s="6"/>
      <c r="HH235" s="6"/>
      <c r="HI235" s="6"/>
      <c r="HJ235" s="6"/>
      <c r="HK235" s="6"/>
      <c r="HL235" s="6"/>
      <c r="HM235" s="6"/>
      <c r="HN235" s="6"/>
      <c r="HO235" s="6"/>
      <c r="HP235" s="6"/>
    </row>
    <row r="236" spans="3:224" ht="20.100000000000001" customHeight="1">
      <c r="C236" s="11">
        <v>15305003</v>
      </c>
      <c r="D236" s="14" t="s">
        <v>275</v>
      </c>
      <c r="E236" s="14">
        <v>1140003</v>
      </c>
      <c r="F236" s="14">
        <v>0</v>
      </c>
      <c r="G236" s="14">
        <v>1</v>
      </c>
      <c r="H236" s="14">
        <v>40</v>
      </c>
      <c r="I236" s="22">
        <v>0.2</v>
      </c>
      <c r="J236" s="23">
        <v>15</v>
      </c>
      <c r="K236" s="14">
        <v>0</v>
      </c>
      <c r="L236" s="14">
        <v>1230</v>
      </c>
      <c r="M236" s="14">
        <f t="shared" si="36"/>
        <v>44</v>
      </c>
      <c r="N236" s="14">
        <v>88</v>
      </c>
      <c r="O236" s="14">
        <v>0</v>
      </c>
      <c r="P236" s="14">
        <v>0</v>
      </c>
      <c r="Q236" s="14">
        <f t="shared" si="37"/>
        <v>10</v>
      </c>
      <c r="R236" s="14">
        <v>19</v>
      </c>
      <c r="S236" s="14">
        <f t="shared" si="38"/>
        <v>0</v>
      </c>
      <c r="T236" s="14">
        <v>0</v>
      </c>
      <c r="U236" s="22">
        <v>0</v>
      </c>
      <c r="V236" s="14">
        <v>0</v>
      </c>
      <c r="W236" s="14">
        <v>0</v>
      </c>
      <c r="X236" s="14">
        <v>0</v>
      </c>
      <c r="Y236" s="22">
        <v>0</v>
      </c>
      <c r="Z236" s="22">
        <v>0</v>
      </c>
      <c r="AA236" s="22">
        <v>0</v>
      </c>
      <c r="AB236" s="22">
        <v>0</v>
      </c>
      <c r="AC236" s="22">
        <v>0</v>
      </c>
      <c r="AD236" s="22">
        <v>0</v>
      </c>
      <c r="AE236" s="43"/>
      <c r="GR236" s="6"/>
      <c r="GS236" s="6"/>
      <c r="GT236" s="6"/>
      <c r="GU236" s="6"/>
      <c r="GV236" s="6"/>
      <c r="GW236" s="6"/>
      <c r="GX236" s="6"/>
      <c r="GY236" s="6"/>
      <c r="GZ236" s="6"/>
      <c r="HA236" s="6"/>
      <c r="HB236" s="6"/>
      <c r="HC236" s="6"/>
      <c r="HD236" s="6"/>
      <c r="HE236" s="6"/>
      <c r="HF236" s="6"/>
      <c r="HG236" s="6"/>
      <c r="HH236" s="6"/>
      <c r="HI236" s="6"/>
      <c r="HJ236" s="6"/>
      <c r="HK236" s="6"/>
      <c r="HL236" s="6"/>
      <c r="HM236" s="6"/>
      <c r="HN236" s="6"/>
      <c r="HO236" s="6"/>
      <c r="HP236" s="6"/>
    </row>
    <row r="237" spans="3:224" ht="20.100000000000001" customHeight="1">
      <c r="C237" s="11">
        <v>15305004</v>
      </c>
      <c r="D237" s="14" t="s">
        <v>276</v>
      </c>
      <c r="E237" s="14">
        <v>1140003</v>
      </c>
      <c r="F237" s="14">
        <v>13021</v>
      </c>
      <c r="G237" s="14">
        <v>1</v>
      </c>
      <c r="H237" s="14">
        <v>40</v>
      </c>
      <c r="I237" s="22">
        <v>0.2</v>
      </c>
      <c r="J237" s="23">
        <v>15</v>
      </c>
      <c r="K237" s="14">
        <v>0</v>
      </c>
      <c r="L237" s="14">
        <v>1440</v>
      </c>
      <c r="M237" s="14">
        <f t="shared" si="36"/>
        <v>56</v>
      </c>
      <c r="N237" s="14">
        <v>112</v>
      </c>
      <c r="O237" s="14">
        <v>0</v>
      </c>
      <c r="P237" s="14">
        <v>0</v>
      </c>
      <c r="Q237" s="14">
        <f t="shared" si="37"/>
        <v>13</v>
      </c>
      <c r="R237" s="14">
        <v>25</v>
      </c>
      <c r="S237" s="14">
        <f t="shared" si="38"/>
        <v>0</v>
      </c>
      <c r="T237" s="14">
        <v>0</v>
      </c>
      <c r="U237" s="22">
        <v>0</v>
      </c>
      <c r="V237" s="14">
        <v>0</v>
      </c>
      <c r="W237" s="14">
        <v>0</v>
      </c>
      <c r="X237" s="14">
        <v>0</v>
      </c>
      <c r="Y237" s="22">
        <v>0</v>
      </c>
      <c r="Z237" s="22">
        <v>0</v>
      </c>
      <c r="AA237" s="22">
        <v>0</v>
      </c>
      <c r="AB237" s="22">
        <v>0</v>
      </c>
      <c r="AC237" s="22">
        <v>0</v>
      </c>
      <c r="AD237" s="22">
        <v>0</v>
      </c>
      <c r="AE237" s="43"/>
      <c r="GR237" s="6"/>
      <c r="GS237" s="6"/>
      <c r="GT237" s="6"/>
      <c r="GU237" s="6"/>
      <c r="GV237" s="6"/>
      <c r="GW237" s="6"/>
      <c r="GX237" s="6"/>
      <c r="GY237" s="6"/>
      <c r="GZ237" s="6"/>
      <c r="HA237" s="6"/>
      <c r="HB237" s="6"/>
      <c r="HC237" s="6"/>
      <c r="HD237" s="6"/>
      <c r="HE237" s="6"/>
      <c r="HF237" s="6"/>
      <c r="HG237" s="6"/>
      <c r="HH237" s="6"/>
      <c r="HI237" s="6"/>
      <c r="HJ237" s="6"/>
      <c r="HK237" s="6"/>
      <c r="HL237" s="6"/>
      <c r="HM237" s="6"/>
      <c r="HN237" s="6"/>
      <c r="HO237" s="6"/>
      <c r="HP237" s="6"/>
    </row>
    <row r="238" spans="3:224" ht="20.100000000000001" customHeight="1">
      <c r="C238" s="11">
        <v>15305005</v>
      </c>
      <c r="D238" s="14" t="s">
        <v>277</v>
      </c>
      <c r="E238" s="14">
        <v>1140003</v>
      </c>
      <c r="F238" s="14">
        <v>0</v>
      </c>
      <c r="G238" s="14">
        <v>1</v>
      </c>
      <c r="H238" s="14">
        <v>40</v>
      </c>
      <c r="I238" s="22">
        <v>0.2</v>
      </c>
      <c r="J238" s="23">
        <v>15</v>
      </c>
      <c r="K238" s="14">
        <v>0</v>
      </c>
      <c r="L238" s="14">
        <v>3680</v>
      </c>
      <c r="M238" s="14">
        <f t="shared" si="36"/>
        <v>25</v>
      </c>
      <c r="N238" s="14">
        <v>49</v>
      </c>
      <c r="O238" s="14">
        <v>0</v>
      </c>
      <c r="P238" s="14">
        <v>0</v>
      </c>
      <c r="Q238" s="14">
        <f t="shared" si="37"/>
        <v>16</v>
      </c>
      <c r="R238" s="14">
        <v>31</v>
      </c>
      <c r="S238" s="14">
        <f t="shared" si="38"/>
        <v>0</v>
      </c>
      <c r="T238" s="14">
        <v>0</v>
      </c>
      <c r="U238" s="22">
        <v>0</v>
      </c>
      <c r="V238" s="14">
        <v>0</v>
      </c>
      <c r="W238" s="14">
        <v>0</v>
      </c>
      <c r="X238" s="14">
        <v>0</v>
      </c>
      <c r="Y238" s="22">
        <v>0</v>
      </c>
      <c r="Z238" s="22">
        <v>0</v>
      </c>
      <c r="AA238" s="22">
        <v>0</v>
      </c>
      <c r="AB238" s="22">
        <v>0</v>
      </c>
      <c r="AC238" s="22">
        <v>0</v>
      </c>
      <c r="AD238" s="22">
        <v>0</v>
      </c>
      <c r="AE238" s="43"/>
      <c r="GR238" s="6"/>
      <c r="GS238" s="6"/>
      <c r="GT238" s="6"/>
      <c r="GU238" s="6"/>
      <c r="GV238" s="6"/>
      <c r="GW238" s="6"/>
      <c r="GX238" s="6"/>
      <c r="GY238" s="6"/>
      <c r="GZ238" s="6"/>
      <c r="HA238" s="6"/>
      <c r="HB238" s="6"/>
      <c r="HC238" s="6"/>
      <c r="HD238" s="6"/>
      <c r="HE238" s="6"/>
      <c r="HF238" s="6"/>
      <c r="HG238" s="6"/>
      <c r="HH238" s="6"/>
      <c r="HI238" s="6"/>
      <c r="HJ238" s="6"/>
      <c r="HK238" s="6"/>
      <c r="HL238" s="6"/>
      <c r="HM238" s="6"/>
      <c r="HN238" s="6"/>
      <c r="HO238" s="6"/>
      <c r="HP238" s="6"/>
    </row>
    <row r="239" spans="3:224" ht="20.100000000000001" customHeight="1">
      <c r="C239" s="11">
        <v>15305006</v>
      </c>
      <c r="D239" s="14" t="s">
        <v>278</v>
      </c>
      <c r="E239" s="14">
        <v>1140003</v>
      </c>
      <c r="F239" s="14">
        <v>13031</v>
      </c>
      <c r="G239" s="14">
        <v>1</v>
      </c>
      <c r="H239" s="14">
        <v>40</v>
      </c>
      <c r="I239" s="22">
        <v>0.2</v>
      </c>
      <c r="J239" s="23">
        <v>15</v>
      </c>
      <c r="K239" s="14">
        <v>0</v>
      </c>
      <c r="L239" s="14">
        <v>4320</v>
      </c>
      <c r="M239" s="14">
        <f t="shared" si="36"/>
        <v>31</v>
      </c>
      <c r="N239" s="14">
        <v>62</v>
      </c>
      <c r="O239" s="14">
        <v>0</v>
      </c>
      <c r="P239" s="14">
        <v>0</v>
      </c>
      <c r="Q239" s="14">
        <f t="shared" si="37"/>
        <v>21</v>
      </c>
      <c r="R239" s="14">
        <v>41</v>
      </c>
      <c r="S239" s="14">
        <f t="shared" si="38"/>
        <v>0</v>
      </c>
      <c r="T239" s="14">
        <v>0</v>
      </c>
      <c r="U239" s="22">
        <v>0</v>
      </c>
      <c r="V239" s="14">
        <v>0</v>
      </c>
      <c r="W239" s="14">
        <v>0</v>
      </c>
      <c r="X239" s="14">
        <v>0</v>
      </c>
      <c r="Y239" s="22">
        <v>0</v>
      </c>
      <c r="Z239" s="22">
        <v>0</v>
      </c>
      <c r="AA239" s="22">
        <v>0</v>
      </c>
      <c r="AB239" s="22">
        <v>0</v>
      </c>
      <c r="AC239" s="22">
        <v>0</v>
      </c>
      <c r="AD239" s="22">
        <v>0</v>
      </c>
      <c r="AE239" s="43"/>
      <c r="GR239" s="6"/>
      <c r="GS239" s="6"/>
      <c r="GT239" s="6"/>
      <c r="GU239" s="6"/>
      <c r="GV239" s="6"/>
      <c r="GW239" s="6"/>
      <c r="GX239" s="6"/>
      <c r="GY239" s="6"/>
      <c r="GZ239" s="6"/>
      <c r="HA239" s="6"/>
      <c r="HB239" s="6"/>
      <c r="HC239" s="6"/>
      <c r="HD239" s="6"/>
      <c r="HE239" s="6"/>
      <c r="HF239" s="6"/>
      <c r="HG239" s="6"/>
      <c r="HH239" s="6"/>
      <c r="HI239" s="6"/>
      <c r="HJ239" s="6"/>
      <c r="HK239" s="6"/>
      <c r="HL239" s="6"/>
      <c r="HM239" s="6"/>
      <c r="HN239" s="6"/>
      <c r="HO239" s="6"/>
      <c r="HP239" s="6"/>
    </row>
    <row r="240" spans="3:224" ht="20.100000000000001" customHeight="1">
      <c r="C240" s="11">
        <v>15306001</v>
      </c>
      <c r="D240" s="14" t="s">
        <v>142</v>
      </c>
      <c r="E240" s="14">
        <v>1140002</v>
      </c>
      <c r="F240" s="14">
        <v>0</v>
      </c>
      <c r="G240" s="14">
        <v>1</v>
      </c>
      <c r="H240" s="14">
        <v>40</v>
      </c>
      <c r="I240" s="22">
        <v>0.2</v>
      </c>
      <c r="J240" s="23">
        <v>15</v>
      </c>
      <c r="K240" s="14">
        <v>0</v>
      </c>
      <c r="L240" s="14">
        <v>0</v>
      </c>
      <c r="M240" s="14">
        <f t="shared" si="36"/>
        <v>64</v>
      </c>
      <c r="N240" s="14">
        <v>128</v>
      </c>
      <c r="O240" s="14">
        <v>0</v>
      </c>
      <c r="P240" s="14">
        <v>0</v>
      </c>
      <c r="Q240" s="14">
        <f t="shared" si="37"/>
        <v>20</v>
      </c>
      <c r="R240" s="14">
        <v>40</v>
      </c>
      <c r="S240" s="14">
        <f t="shared" si="38"/>
        <v>0</v>
      </c>
      <c r="T240" s="14">
        <v>0</v>
      </c>
      <c r="U240" s="22">
        <v>0</v>
      </c>
      <c r="V240" s="14">
        <v>0</v>
      </c>
      <c r="W240" s="14">
        <v>0</v>
      </c>
      <c r="X240" s="14">
        <v>0</v>
      </c>
      <c r="Y240" s="22">
        <v>0</v>
      </c>
      <c r="Z240" s="22">
        <v>0</v>
      </c>
      <c r="AA240" s="22">
        <v>0</v>
      </c>
      <c r="AB240" s="22">
        <v>0</v>
      </c>
      <c r="AC240" s="22">
        <v>0</v>
      </c>
      <c r="AD240" s="22">
        <v>0</v>
      </c>
      <c r="AE240" s="43"/>
      <c r="GR240" s="6"/>
      <c r="GS240" s="6"/>
      <c r="GT240" s="6"/>
      <c r="GU240" s="6"/>
      <c r="GV240" s="6"/>
      <c r="GW240" s="6"/>
      <c r="GX240" s="6"/>
      <c r="GY240" s="6"/>
      <c r="GZ240" s="6"/>
      <c r="HA240" s="6"/>
      <c r="HB240" s="6"/>
      <c r="HC240" s="6"/>
      <c r="HD240" s="6"/>
      <c r="HE240" s="6"/>
      <c r="HF240" s="6"/>
      <c r="HG240" s="6"/>
      <c r="HH240" s="6"/>
      <c r="HI240" s="6"/>
      <c r="HJ240" s="6"/>
      <c r="HK240" s="6"/>
      <c r="HL240" s="6"/>
      <c r="HM240" s="6"/>
      <c r="HN240" s="6"/>
      <c r="HO240" s="6"/>
      <c r="HP240" s="6"/>
    </row>
    <row r="241" spans="3:224" ht="20.100000000000001" customHeight="1">
      <c r="C241" s="11">
        <v>15306002</v>
      </c>
      <c r="D241" s="14" t="s">
        <v>279</v>
      </c>
      <c r="E241" s="14">
        <v>1140002</v>
      </c>
      <c r="F241" s="14">
        <v>0</v>
      </c>
      <c r="G241" s="14">
        <v>1</v>
      </c>
      <c r="H241" s="14">
        <v>40</v>
      </c>
      <c r="I241" s="22">
        <v>0.2</v>
      </c>
      <c r="J241" s="23">
        <v>15</v>
      </c>
      <c r="K241" s="14">
        <v>0</v>
      </c>
      <c r="L241" s="14">
        <v>0</v>
      </c>
      <c r="M241" s="14">
        <f t="shared" si="36"/>
        <v>83</v>
      </c>
      <c r="N241" s="14">
        <v>165</v>
      </c>
      <c r="O241" s="14">
        <v>0</v>
      </c>
      <c r="P241" s="14">
        <v>0</v>
      </c>
      <c r="Q241" s="14">
        <f t="shared" si="37"/>
        <v>25</v>
      </c>
      <c r="R241" s="14">
        <v>50</v>
      </c>
      <c r="S241" s="14">
        <f t="shared" si="38"/>
        <v>0</v>
      </c>
      <c r="T241" s="14">
        <v>0</v>
      </c>
      <c r="U241" s="22">
        <v>0</v>
      </c>
      <c r="V241" s="14">
        <v>0</v>
      </c>
      <c r="W241" s="14">
        <v>0</v>
      </c>
      <c r="X241" s="14">
        <v>0</v>
      </c>
      <c r="Y241" s="22">
        <v>0</v>
      </c>
      <c r="Z241" s="22">
        <v>0</v>
      </c>
      <c r="AA241" s="22">
        <v>0</v>
      </c>
      <c r="AB241" s="22">
        <v>0</v>
      </c>
      <c r="AC241" s="22">
        <v>0</v>
      </c>
      <c r="AD241" s="22">
        <v>0</v>
      </c>
      <c r="AE241" s="43"/>
      <c r="GR241" s="6"/>
      <c r="GS241" s="6"/>
      <c r="GT241" s="6"/>
      <c r="GU241" s="6"/>
      <c r="GV241" s="6"/>
      <c r="GW241" s="6"/>
      <c r="GX241" s="6"/>
      <c r="GY241" s="6"/>
      <c r="GZ241" s="6"/>
      <c r="HA241" s="6"/>
      <c r="HB241" s="6"/>
      <c r="HC241" s="6"/>
      <c r="HD241" s="6"/>
      <c r="HE241" s="6"/>
      <c r="HF241" s="6"/>
      <c r="HG241" s="6"/>
      <c r="HH241" s="6"/>
      <c r="HI241" s="6"/>
      <c r="HJ241" s="6"/>
      <c r="HK241" s="6"/>
      <c r="HL241" s="6"/>
      <c r="HM241" s="6"/>
      <c r="HN241" s="6"/>
      <c r="HO241" s="6"/>
      <c r="HP241" s="6"/>
    </row>
    <row r="242" spans="3:224" ht="20.100000000000001" customHeight="1">
      <c r="C242" s="11">
        <v>15306003</v>
      </c>
      <c r="D242" s="37" t="s">
        <v>280</v>
      </c>
      <c r="E242" s="14">
        <v>1140002</v>
      </c>
      <c r="F242" s="14">
        <v>13051</v>
      </c>
      <c r="G242" s="14">
        <v>1</v>
      </c>
      <c r="H242" s="14">
        <v>40</v>
      </c>
      <c r="I242" s="22">
        <v>0.2</v>
      </c>
      <c r="J242" s="23">
        <v>15</v>
      </c>
      <c r="K242" s="14">
        <v>0</v>
      </c>
      <c r="L242" s="14">
        <v>0</v>
      </c>
      <c r="M242" s="14">
        <f t="shared" ref="M242" si="54">ROUND(N242/2,0)</f>
        <v>110</v>
      </c>
      <c r="N242" s="14">
        <v>220</v>
      </c>
      <c r="O242" s="14">
        <v>0</v>
      </c>
      <c r="P242" s="14">
        <v>0</v>
      </c>
      <c r="Q242" s="14">
        <f t="shared" ref="Q242" si="55">ROUND(R242/2,0)</f>
        <v>30</v>
      </c>
      <c r="R242" s="14">
        <v>60</v>
      </c>
      <c r="S242" s="14">
        <f t="shared" ref="S242" si="56">ROUND(T242/2,0)</f>
        <v>0</v>
      </c>
      <c r="T242" s="14">
        <v>0</v>
      </c>
      <c r="U242" s="22">
        <v>0</v>
      </c>
      <c r="V242" s="14">
        <v>0</v>
      </c>
      <c r="W242" s="14">
        <v>0</v>
      </c>
      <c r="X242" s="14">
        <v>0</v>
      </c>
      <c r="Y242" s="22">
        <v>0</v>
      </c>
      <c r="Z242" s="22">
        <v>0</v>
      </c>
      <c r="AA242" s="22">
        <v>0</v>
      </c>
      <c r="AB242" s="22">
        <v>100902</v>
      </c>
      <c r="AC242" s="22">
        <v>500</v>
      </c>
      <c r="AD242" s="22">
        <v>1</v>
      </c>
      <c r="AE242" s="43"/>
      <c r="GR242" s="6"/>
      <c r="GS242" s="6"/>
      <c r="GT242" s="6"/>
      <c r="GU242" s="6"/>
      <c r="GV242" s="6"/>
      <c r="GW242" s="6"/>
      <c r="GX242" s="6"/>
      <c r="GY242" s="6"/>
      <c r="GZ242" s="6"/>
      <c r="HA242" s="6"/>
      <c r="HB242" s="6"/>
      <c r="HC242" s="6"/>
      <c r="HD242" s="6"/>
      <c r="HE242" s="6"/>
      <c r="HF242" s="6"/>
      <c r="HG242" s="6"/>
      <c r="HH242" s="6"/>
      <c r="HI242" s="6"/>
      <c r="HJ242" s="6"/>
      <c r="HK242" s="6"/>
      <c r="HL242" s="6"/>
      <c r="HM242" s="6"/>
      <c r="HN242" s="6"/>
      <c r="HO242" s="6"/>
      <c r="HP242" s="6"/>
    </row>
    <row r="243" spans="3:224" ht="20.100000000000001" customHeight="1">
      <c r="C243" s="11">
        <v>15307001</v>
      </c>
      <c r="D243" s="14" t="s">
        <v>281</v>
      </c>
      <c r="E243" s="14">
        <v>1140002</v>
      </c>
      <c r="F243" s="14">
        <v>0</v>
      </c>
      <c r="G243" s="14">
        <v>1</v>
      </c>
      <c r="H243" s="14">
        <v>40</v>
      </c>
      <c r="I243" s="22">
        <v>0.2</v>
      </c>
      <c r="J243" s="23">
        <v>15</v>
      </c>
      <c r="K243" s="14">
        <v>0</v>
      </c>
      <c r="L243" s="14">
        <v>0</v>
      </c>
      <c r="M243" s="14">
        <f t="shared" si="36"/>
        <v>64</v>
      </c>
      <c r="N243" s="14">
        <v>128</v>
      </c>
      <c r="O243" s="14">
        <v>0</v>
      </c>
      <c r="P243" s="14">
        <v>0</v>
      </c>
      <c r="Q243" s="14">
        <f t="shared" si="37"/>
        <v>0</v>
      </c>
      <c r="R243" s="14">
        <v>0</v>
      </c>
      <c r="S243" s="14">
        <f t="shared" si="38"/>
        <v>20</v>
      </c>
      <c r="T243" s="14">
        <v>40</v>
      </c>
      <c r="U243" s="22">
        <v>0</v>
      </c>
      <c r="V243" s="14">
        <v>0</v>
      </c>
      <c r="W243" s="14">
        <v>0</v>
      </c>
      <c r="X243" s="14">
        <v>0</v>
      </c>
      <c r="Y243" s="22">
        <v>0</v>
      </c>
      <c r="Z243" s="22">
        <v>0</v>
      </c>
      <c r="AA243" s="22">
        <v>0</v>
      </c>
      <c r="AB243" s="22">
        <v>0</v>
      </c>
      <c r="AC243" s="22">
        <v>0</v>
      </c>
      <c r="AD243" s="22">
        <v>0</v>
      </c>
      <c r="AE243" s="43"/>
      <c r="GR243" s="6"/>
      <c r="GS243" s="6"/>
      <c r="GT243" s="6"/>
      <c r="GU243" s="6"/>
      <c r="GV243" s="6"/>
      <c r="GW243" s="6"/>
      <c r="GX243" s="6"/>
      <c r="GY243" s="6"/>
      <c r="GZ243" s="6"/>
      <c r="HA243" s="6"/>
      <c r="HB243" s="6"/>
      <c r="HC243" s="6"/>
      <c r="HD243" s="6"/>
      <c r="HE243" s="6"/>
      <c r="HF243" s="6"/>
      <c r="HG243" s="6"/>
      <c r="HH243" s="6"/>
      <c r="HI243" s="6"/>
      <c r="HJ243" s="6"/>
      <c r="HK243" s="6"/>
      <c r="HL243" s="6"/>
      <c r="HM243" s="6"/>
      <c r="HN243" s="6"/>
      <c r="HO243" s="6"/>
      <c r="HP243" s="6"/>
    </row>
    <row r="244" spans="3:224" ht="20.100000000000001" customHeight="1">
      <c r="C244" s="11">
        <v>15307002</v>
      </c>
      <c r="D244" s="14" t="s">
        <v>282</v>
      </c>
      <c r="E244" s="14">
        <v>1140002</v>
      </c>
      <c r="F244" s="14">
        <v>0</v>
      </c>
      <c r="G244" s="14">
        <v>1</v>
      </c>
      <c r="H244" s="14">
        <v>40</v>
      </c>
      <c r="I244" s="22">
        <v>0.2</v>
      </c>
      <c r="J244" s="23">
        <v>15</v>
      </c>
      <c r="K244" s="14">
        <v>0</v>
      </c>
      <c r="L244" s="14">
        <v>0</v>
      </c>
      <c r="M244" s="14">
        <f t="shared" si="36"/>
        <v>83</v>
      </c>
      <c r="N244" s="14">
        <v>165</v>
      </c>
      <c r="O244" s="14">
        <v>0</v>
      </c>
      <c r="P244" s="14">
        <v>0</v>
      </c>
      <c r="Q244" s="14">
        <f t="shared" si="37"/>
        <v>0</v>
      </c>
      <c r="R244" s="14">
        <v>0</v>
      </c>
      <c r="S244" s="14">
        <f t="shared" si="38"/>
        <v>25</v>
      </c>
      <c r="T244" s="14">
        <v>50</v>
      </c>
      <c r="U244" s="22">
        <v>0</v>
      </c>
      <c r="V244" s="14">
        <v>0</v>
      </c>
      <c r="W244" s="14">
        <v>0</v>
      </c>
      <c r="X244" s="14">
        <v>0</v>
      </c>
      <c r="Y244" s="22">
        <v>0</v>
      </c>
      <c r="Z244" s="22">
        <v>0</v>
      </c>
      <c r="AA244" s="22">
        <v>0</v>
      </c>
      <c r="AB244" s="22">
        <v>0</v>
      </c>
      <c r="AC244" s="22">
        <v>0</v>
      </c>
      <c r="AD244" s="22">
        <v>0</v>
      </c>
      <c r="AE244" s="43"/>
      <c r="GR244" s="6"/>
      <c r="GS244" s="6"/>
      <c r="GT244" s="6"/>
      <c r="GU244" s="6"/>
      <c r="GV244" s="6"/>
      <c r="GW244" s="6"/>
      <c r="GX244" s="6"/>
      <c r="GY244" s="6"/>
      <c r="GZ244" s="6"/>
      <c r="HA244" s="6"/>
      <c r="HB244" s="6"/>
      <c r="HC244" s="6"/>
      <c r="HD244" s="6"/>
      <c r="HE244" s="6"/>
      <c r="HF244" s="6"/>
      <c r="HG244" s="6"/>
      <c r="HH244" s="6"/>
      <c r="HI244" s="6"/>
      <c r="HJ244" s="6"/>
      <c r="HK244" s="6"/>
      <c r="HL244" s="6"/>
      <c r="HM244" s="6"/>
      <c r="HN244" s="6"/>
      <c r="HO244" s="6"/>
      <c r="HP244" s="6"/>
    </row>
    <row r="245" spans="3:224" ht="20.100000000000001" customHeight="1">
      <c r="C245" s="11">
        <v>15308001</v>
      </c>
      <c r="D245" s="14" t="s">
        <v>151</v>
      </c>
      <c r="E245" s="14">
        <v>1140002</v>
      </c>
      <c r="F245" s="14">
        <v>0</v>
      </c>
      <c r="G245" s="14">
        <v>1</v>
      </c>
      <c r="H245" s="14">
        <v>40</v>
      </c>
      <c r="I245" s="22">
        <v>0.2</v>
      </c>
      <c r="J245" s="23">
        <v>15</v>
      </c>
      <c r="K245" s="14">
        <v>0</v>
      </c>
      <c r="L245" s="14">
        <v>0</v>
      </c>
      <c r="M245" s="14">
        <v>12</v>
      </c>
      <c r="N245" s="14">
        <v>25</v>
      </c>
      <c r="O245" s="14">
        <v>0</v>
      </c>
      <c r="P245" s="14">
        <v>0</v>
      </c>
      <c r="Q245" s="14">
        <f t="shared" si="37"/>
        <v>0</v>
      </c>
      <c r="R245" s="14">
        <v>0</v>
      </c>
      <c r="S245" s="14">
        <f t="shared" si="38"/>
        <v>0</v>
      </c>
      <c r="T245" s="14">
        <v>0</v>
      </c>
      <c r="U245" s="22">
        <v>0</v>
      </c>
      <c r="V245" s="14">
        <v>0</v>
      </c>
      <c r="W245" s="14">
        <v>0</v>
      </c>
      <c r="X245" s="14">
        <v>0</v>
      </c>
      <c r="Y245" s="22">
        <v>0</v>
      </c>
      <c r="Z245" s="22">
        <v>0</v>
      </c>
      <c r="AA245" s="22">
        <v>0</v>
      </c>
      <c r="AB245" s="22">
        <v>0</v>
      </c>
      <c r="AC245" s="22">
        <v>0</v>
      </c>
      <c r="AD245" s="22">
        <v>0</v>
      </c>
      <c r="AE245" s="43"/>
      <c r="GR245" s="6"/>
      <c r="GS245" s="6"/>
      <c r="GT245" s="6"/>
      <c r="GU245" s="6"/>
      <c r="GV245" s="6"/>
      <c r="GW245" s="6"/>
      <c r="GX245" s="6"/>
      <c r="GY245" s="6"/>
      <c r="GZ245" s="6"/>
      <c r="HA245" s="6"/>
      <c r="HB245" s="6"/>
      <c r="HC245" s="6"/>
      <c r="HD245" s="6"/>
      <c r="HE245" s="6"/>
      <c r="HF245" s="6"/>
      <c r="HG245" s="6"/>
      <c r="HH245" s="6"/>
      <c r="HI245" s="6"/>
      <c r="HJ245" s="6"/>
      <c r="HK245" s="6"/>
      <c r="HL245" s="6"/>
      <c r="HM245" s="6"/>
      <c r="HN245" s="6"/>
      <c r="HO245" s="6"/>
      <c r="HP245" s="6"/>
    </row>
    <row r="246" spans="3:224" ht="20.100000000000001" customHeight="1">
      <c r="C246" s="11">
        <v>15308002</v>
      </c>
      <c r="D246" s="14" t="s">
        <v>283</v>
      </c>
      <c r="E246" s="14">
        <v>1140002</v>
      </c>
      <c r="F246" s="14">
        <v>0</v>
      </c>
      <c r="G246" s="14">
        <v>1</v>
      </c>
      <c r="H246" s="14">
        <v>40</v>
      </c>
      <c r="I246" s="22">
        <v>0.2</v>
      </c>
      <c r="J246" s="23">
        <v>15</v>
      </c>
      <c r="K246" s="14">
        <v>0</v>
      </c>
      <c r="L246" s="14">
        <v>0</v>
      </c>
      <c r="M246" s="14">
        <v>15</v>
      </c>
      <c r="N246" s="14">
        <v>32</v>
      </c>
      <c r="O246" s="14">
        <v>0</v>
      </c>
      <c r="P246" s="14">
        <v>0</v>
      </c>
      <c r="Q246" s="14">
        <f t="shared" si="37"/>
        <v>0</v>
      </c>
      <c r="R246" s="14">
        <v>0</v>
      </c>
      <c r="S246" s="14">
        <f t="shared" si="38"/>
        <v>0</v>
      </c>
      <c r="T246" s="14">
        <v>0</v>
      </c>
      <c r="U246" s="22">
        <v>0</v>
      </c>
      <c r="V246" s="14">
        <v>0</v>
      </c>
      <c r="W246" s="14">
        <v>0</v>
      </c>
      <c r="X246" s="14">
        <v>0</v>
      </c>
      <c r="Y246" s="22">
        <v>0</v>
      </c>
      <c r="Z246" s="22">
        <v>0</v>
      </c>
      <c r="AA246" s="22">
        <v>0</v>
      </c>
      <c r="AB246" s="22">
        <v>0</v>
      </c>
      <c r="AC246" s="22">
        <v>0</v>
      </c>
      <c r="AD246" s="22">
        <v>0</v>
      </c>
      <c r="AE246" s="43"/>
      <c r="GR246" s="6"/>
      <c r="GS246" s="6"/>
      <c r="GT246" s="6"/>
      <c r="GU246" s="6"/>
      <c r="GV246" s="6"/>
      <c r="GW246" s="6"/>
      <c r="GX246" s="6"/>
      <c r="GY246" s="6"/>
      <c r="GZ246" s="6"/>
      <c r="HA246" s="6"/>
      <c r="HB246" s="6"/>
      <c r="HC246" s="6"/>
      <c r="HD246" s="6"/>
      <c r="HE246" s="6"/>
      <c r="HF246" s="6"/>
      <c r="HG246" s="6"/>
      <c r="HH246" s="6"/>
      <c r="HI246" s="6"/>
      <c r="HJ246" s="6"/>
      <c r="HK246" s="6"/>
      <c r="HL246" s="6"/>
      <c r="HM246" s="6"/>
      <c r="HN246" s="6"/>
      <c r="HO246" s="6"/>
      <c r="HP246" s="6"/>
    </row>
    <row r="247" spans="3:224" s="4" customFormat="1" ht="20.100000000000001" customHeight="1">
      <c r="C247" s="17">
        <v>15308003</v>
      </c>
      <c r="D247" s="46" t="s">
        <v>284</v>
      </c>
      <c r="E247" s="19">
        <v>1140002</v>
      </c>
      <c r="F247" s="19">
        <v>0</v>
      </c>
      <c r="G247" s="19">
        <v>1</v>
      </c>
      <c r="H247" s="19">
        <v>40</v>
      </c>
      <c r="I247" s="26">
        <v>0.2</v>
      </c>
      <c r="J247" s="23">
        <v>15</v>
      </c>
      <c r="K247" s="19">
        <v>0</v>
      </c>
      <c r="L247" s="19">
        <v>0</v>
      </c>
      <c r="M247" s="19">
        <v>20</v>
      </c>
      <c r="N247" s="19">
        <v>40</v>
      </c>
      <c r="O247" s="19">
        <v>0</v>
      </c>
      <c r="P247" s="19">
        <v>0</v>
      </c>
      <c r="Q247" s="19">
        <f t="shared" ref="Q247" si="57">ROUND(R247/2,0)</f>
        <v>0</v>
      </c>
      <c r="R247" s="19">
        <v>0</v>
      </c>
      <c r="S247" s="19">
        <f t="shared" ref="S247" si="58">ROUND(T247/2,0)</f>
        <v>0</v>
      </c>
      <c r="T247" s="19">
        <v>0</v>
      </c>
      <c r="U247" s="26">
        <v>0</v>
      </c>
      <c r="V247" s="19">
        <v>0</v>
      </c>
      <c r="W247" s="19">
        <v>0</v>
      </c>
      <c r="X247" s="19">
        <v>0</v>
      </c>
      <c r="Y247" s="26">
        <v>0</v>
      </c>
      <c r="Z247" s="26">
        <v>0</v>
      </c>
      <c r="AA247" s="26">
        <v>0</v>
      </c>
      <c r="AB247" s="26">
        <v>0</v>
      </c>
      <c r="AC247" s="26">
        <v>0</v>
      </c>
      <c r="AD247" s="26">
        <v>0</v>
      </c>
      <c r="AE247" s="47"/>
      <c r="AF247" s="34"/>
      <c r="AG247" s="34"/>
      <c r="AH247" s="34"/>
      <c r="AI247" s="34"/>
      <c r="AJ247" s="34"/>
      <c r="AK247" s="34"/>
      <c r="AL247" s="34"/>
      <c r="AM247" s="34"/>
      <c r="AN247" s="34"/>
      <c r="AO247" s="34"/>
      <c r="AP247" s="34"/>
      <c r="AQ247" s="34"/>
      <c r="AR247" s="34"/>
      <c r="AS247" s="34"/>
      <c r="AT247" s="34"/>
      <c r="AU247" s="34"/>
      <c r="AV247" s="34"/>
      <c r="AW247" s="34"/>
      <c r="AX247" s="34"/>
      <c r="AY247" s="34"/>
      <c r="AZ247" s="34"/>
      <c r="BA247" s="34"/>
      <c r="BB247" s="34"/>
      <c r="BC247" s="34"/>
      <c r="BD247" s="34"/>
      <c r="BE247" s="34"/>
      <c r="BF247" s="34"/>
      <c r="BG247" s="34"/>
      <c r="BH247" s="34"/>
      <c r="BI247" s="34"/>
      <c r="BJ247" s="34"/>
      <c r="BK247" s="34"/>
      <c r="BL247" s="34"/>
      <c r="BM247" s="34"/>
      <c r="BN247" s="34"/>
      <c r="BO247" s="34"/>
      <c r="BP247" s="34"/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  <c r="CE247" s="34"/>
      <c r="CF247" s="34"/>
      <c r="CG247" s="34"/>
      <c r="CH247" s="34"/>
      <c r="CI247" s="34"/>
      <c r="CJ247" s="34"/>
      <c r="CK247" s="34"/>
      <c r="CL247" s="34"/>
      <c r="CM247" s="34"/>
      <c r="CN247" s="34"/>
      <c r="CO247" s="34"/>
      <c r="CP247" s="34"/>
      <c r="CQ247" s="34"/>
      <c r="CR247" s="34"/>
      <c r="CS247" s="34"/>
      <c r="CT247" s="34"/>
      <c r="CU247" s="34"/>
      <c r="CV247" s="34"/>
      <c r="CW247" s="34"/>
      <c r="CX247" s="34"/>
      <c r="CY247" s="34"/>
      <c r="CZ247" s="34"/>
      <c r="DA247" s="34"/>
      <c r="DB247" s="34"/>
      <c r="DC247" s="34"/>
      <c r="DD247" s="34"/>
      <c r="DE247" s="34"/>
      <c r="DF247" s="34"/>
      <c r="DG247" s="34"/>
      <c r="DH247" s="34"/>
      <c r="DI247" s="34"/>
      <c r="DJ247" s="34"/>
      <c r="DK247" s="34"/>
      <c r="DL247" s="34"/>
      <c r="DM247" s="34"/>
      <c r="DN247" s="34"/>
      <c r="DO247" s="34"/>
      <c r="DP247" s="34"/>
      <c r="DQ247" s="34"/>
      <c r="DR247" s="34"/>
      <c r="DS247" s="34"/>
      <c r="DT247" s="34"/>
      <c r="DU247" s="34"/>
      <c r="DV247" s="34"/>
      <c r="DW247" s="34"/>
      <c r="DX247" s="34"/>
      <c r="DY247" s="34"/>
      <c r="DZ247" s="34"/>
      <c r="EA247" s="34"/>
      <c r="EB247" s="34"/>
      <c r="EC247" s="34"/>
      <c r="ED247" s="34"/>
      <c r="EE247" s="34"/>
      <c r="EF247" s="34"/>
      <c r="EG247" s="34"/>
      <c r="EH247" s="34"/>
      <c r="EI247" s="34"/>
      <c r="EJ247" s="34"/>
      <c r="EK247" s="34"/>
      <c r="EL247" s="34"/>
      <c r="EM247" s="34"/>
      <c r="EN247" s="34"/>
      <c r="EO247" s="34"/>
      <c r="EP247" s="34"/>
      <c r="EQ247" s="34"/>
      <c r="ER247" s="34"/>
      <c r="ES247" s="34"/>
      <c r="ET247" s="34"/>
      <c r="EU247" s="34"/>
      <c r="EV247" s="34"/>
      <c r="EW247" s="34"/>
      <c r="EX247" s="34"/>
      <c r="EY247" s="34"/>
      <c r="EZ247" s="34"/>
      <c r="FA247" s="34"/>
      <c r="FB247" s="34"/>
      <c r="FC247" s="34"/>
      <c r="FD247" s="34"/>
      <c r="FE247" s="34"/>
      <c r="FF247" s="34"/>
      <c r="FG247" s="34"/>
      <c r="FH247" s="34"/>
      <c r="FI247" s="34"/>
      <c r="FJ247" s="34"/>
      <c r="FK247" s="34"/>
      <c r="FL247" s="34"/>
      <c r="FM247" s="34"/>
      <c r="FN247" s="34"/>
      <c r="FO247" s="34"/>
      <c r="FP247" s="34"/>
      <c r="FQ247" s="34"/>
      <c r="FR247" s="34"/>
      <c r="FS247" s="34"/>
      <c r="FT247" s="34"/>
      <c r="FU247" s="34"/>
      <c r="FV247" s="34"/>
      <c r="FW247" s="34"/>
      <c r="FX247" s="34"/>
      <c r="FY247" s="34"/>
      <c r="FZ247" s="34"/>
      <c r="GA247" s="34"/>
      <c r="GB247" s="34"/>
      <c r="GC247" s="34"/>
      <c r="GD247" s="34"/>
      <c r="GE247" s="34"/>
      <c r="GF247" s="34"/>
      <c r="GG247" s="34"/>
      <c r="GH247" s="34"/>
      <c r="GI247" s="34"/>
      <c r="GJ247" s="34"/>
      <c r="GK247" s="34"/>
      <c r="GL247" s="34"/>
      <c r="GM247" s="34"/>
      <c r="GN247" s="34"/>
      <c r="GO247" s="34"/>
      <c r="GP247" s="34"/>
      <c r="GQ247" s="34"/>
      <c r="GR247" s="34"/>
      <c r="GS247" s="34"/>
      <c r="GT247" s="34"/>
      <c r="GU247" s="34"/>
      <c r="GV247" s="34"/>
      <c r="GW247" s="34"/>
      <c r="GX247" s="34"/>
      <c r="GY247" s="34"/>
      <c r="GZ247" s="34"/>
      <c r="HA247" s="34"/>
      <c r="HB247" s="34"/>
      <c r="HC247" s="34"/>
      <c r="HD247" s="34"/>
      <c r="HE247" s="34"/>
      <c r="HF247" s="34"/>
      <c r="HG247" s="34"/>
      <c r="HH247" s="34"/>
      <c r="HI247" s="34"/>
      <c r="HJ247" s="34"/>
      <c r="HK247" s="34"/>
      <c r="HL247" s="34"/>
      <c r="HM247" s="34"/>
      <c r="HN247" s="34"/>
      <c r="HO247" s="34"/>
      <c r="HP247" s="34"/>
    </row>
    <row r="248" spans="3:224" s="4" customFormat="1" ht="19.5" customHeight="1">
      <c r="C248" s="17">
        <v>15308004</v>
      </c>
      <c r="D248" s="46" t="s">
        <v>285</v>
      </c>
      <c r="E248" s="19">
        <v>1140002</v>
      </c>
      <c r="F248" s="19">
        <v>0</v>
      </c>
      <c r="G248" s="19">
        <v>1</v>
      </c>
      <c r="H248" s="19">
        <v>40</v>
      </c>
      <c r="I248" s="26">
        <v>0.2</v>
      </c>
      <c r="J248" s="23">
        <v>15</v>
      </c>
      <c r="K248" s="19">
        <v>0</v>
      </c>
      <c r="L248" s="19">
        <v>0</v>
      </c>
      <c r="M248" s="19">
        <v>20</v>
      </c>
      <c r="N248" s="19">
        <v>40</v>
      </c>
      <c r="O248" s="19">
        <v>0</v>
      </c>
      <c r="P248" s="19">
        <v>0</v>
      </c>
      <c r="Q248" s="19">
        <f t="shared" ref="Q248" si="59">ROUND(R248/2,0)</f>
        <v>0</v>
      </c>
      <c r="R248" s="19">
        <v>0</v>
      </c>
      <c r="S248" s="19">
        <f t="shared" ref="S248" si="60">ROUND(T248/2,0)</f>
        <v>0</v>
      </c>
      <c r="T248" s="19">
        <v>0</v>
      </c>
      <c r="U248" s="26">
        <v>0</v>
      </c>
      <c r="V248" s="19">
        <v>0</v>
      </c>
      <c r="W248" s="19">
        <v>0</v>
      </c>
      <c r="X248" s="19">
        <v>0</v>
      </c>
      <c r="Y248" s="26">
        <v>0</v>
      </c>
      <c r="Z248" s="26">
        <v>0</v>
      </c>
      <c r="AA248" s="26">
        <v>0</v>
      </c>
      <c r="AB248" s="26">
        <v>0</v>
      </c>
      <c r="AC248" s="26">
        <v>0</v>
      </c>
      <c r="AD248" s="26">
        <v>0</v>
      </c>
      <c r="AE248" s="47"/>
      <c r="AF248" s="34"/>
      <c r="AG248" s="34"/>
      <c r="AH248" s="34"/>
      <c r="AI248" s="34"/>
      <c r="AJ248" s="34"/>
      <c r="AK248" s="34"/>
      <c r="AL248" s="34"/>
      <c r="AM248" s="34"/>
      <c r="AN248" s="34"/>
      <c r="AO248" s="34"/>
      <c r="AP248" s="34"/>
      <c r="AQ248" s="34"/>
      <c r="AR248" s="34"/>
      <c r="AS248" s="34"/>
      <c r="AT248" s="34"/>
      <c r="AU248" s="34"/>
      <c r="AV248" s="34"/>
      <c r="AW248" s="34"/>
      <c r="AX248" s="34"/>
      <c r="AY248" s="34"/>
      <c r="AZ248" s="34"/>
      <c r="BA248" s="34"/>
      <c r="BB248" s="34"/>
      <c r="BC248" s="34"/>
      <c r="BD248" s="34"/>
      <c r="BE248" s="34"/>
      <c r="BF248" s="34"/>
      <c r="BG248" s="34"/>
      <c r="BH248" s="34"/>
      <c r="BI248" s="34"/>
      <c r="BJ248" s="34"/>
      <c r="BK248" s="34"/>
      <c r="BL248" s="34"/>
      <c r="BM248" s="34"/>
      <c r="BN248" s="34"/>
      <c r="BO248" s="34"/>
      <c r="BP248" s="34"/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  <c r="CE248" s="34"/>
      <c r="CF248" s="34"/>
      <c r="CG248" s="34"/>
      <c r="CH248" s="34"/>
      <c r="CI248" s="34"/>
      <c r="CJ248" s="34"/>
      <c r="CK248" s="34"/>
      <c r="CL248" s="34"/>
      <c r="CM248" s="34"/>
      <c r="CN248" s="34"/>
      <c r="CO248" s="34"/>
      <c r="CP248" s="34"/>
      <c r="CQ248" s="34"/>
      <c r="CR248" s="34"/>
      <c r="CS248" s="34"/>
      <c r="CT248" s="34"/>
      <c r="CU248" s="34"/>
      <c r="CV248" s="34"/>
      <c r="CW248" s="34"/>
      <c r="CX248" s="34"/>
      <c r="CY248" s="34"/>
      <c r="CZ248" s="34"/>
      <c r="DA248" s="34"/>
      <c r="DB248" s="34"/>
      <c r="DC248" s="34"/>
      <c r="DD248" s="34"/>
      <c r="DE248" s="34"/>
      <c r="DF248" s="34"/>
      <c r="DG248" s="34"/>
      <c r="DH248" s="34"/>
      <c r="DI248" s="34"/>
      <c r="DJ248" s="34"/>
      <c r="DK248" s="34"/>
      <c r="DL248" s="34"/>
      <c r="DM248" s="34"/>
      <c r="DN248" s="34"/>
      <c r="DO248" s="34"/>
      <c r="DP248" s="34"/>
      <c r="DQ248" s="34"/>
      <c r="DR248" s="34"/>
      <c r="DS248" s="34"/>
      <c r="DT248" s="34"/>
      <c r="DU248" s="34"/>
      <c r="DV248" s="34"/>
      <c r="DW248" s="34"/>
      <c r="DX248" s="34"/>
      <c r="DY248" s="34"/>
      <c r="DZ248" s="34"/>
      <c r="EA248" s="34"/>
      <c r="EB248" s="34"/>
      <c r="EC248" s="34"/>
      <c r="ED248" s="34"/>
      <c r="EE248" s="34"/>
      <c r="EF248" s="34"/>
      <c r="EG248" s="34"/>
      <c r="EH248" s="34"/>
      <c r="EI248" s="34"/>
      <c r="EJ248" s="34"/>
      <c r="EK248" s="34"/>
      <c r="EL248" s="34"/>
      <c r="EM248" s="34"/>
      <c r="EN248" s="34"/>
      <c r="EO248" s="34"/>
      <c r="EP248" s="34"/>
      <c r="EQ248" s="34"/>
      <c r="ER248" s="34"/>
      <c r="ES248" s="34"/>
      <c r="ET248" s="34"/>
      <c r="EU248" s="34"/>
      <c r="EV248" s="34"/>
      <c r="EW248" s="34"/>
      <c r="EX248" s="34"/>
      <c r="EY248" s="34"/>
      <c r="EZ248" s="34"/>
      <c r="FA248" s="34"/>
      <c r="FB248" s="34"/>
      <c r="FC248" s="34"/>
      <c r="FD248" s="34"/>
      <c r="FE248" s="34"/>
      <c r="FF248" s="34"/>
      <c r="FG248" s="34"/>
      <c r="FH248" s="34"/>
      <c r="FI248" s="34"/>
      <c r="FJ248" s="34"/>
      <c r="FK248" s="34"/>
      <c r="FL248" s="34"/>
      <c r="FM248" s="34"/>
      <c r="FN248" s="34"/>
      <c r="FO248" s="34"/>
      <c r="FP248" s="34"/>
      <c r="FQ248" s="34"/>
      <c r="FR248" s="34"/>
      <c r="FS248" s="34"/>
      <c r="FT248" s="34"/>
      <c r="FU248" s="34"/>
      <c r="FV248" s="34"/>
      <c r="FW248" s="34"/>
      <c r="FX248" s="34"/>
      <c r="FY248" s="34"/>
      <c r="FZ248" s="34"/>
      <c r="GA248" s="34"/>
      <c r="GB248" s="34"/>
      <c r="GC248" s="34"/>
      <c r="GD248" s="34"/>
      <c r="GE248" s="34"/>
      <c r="GF248" s="34"/>
      <c r="GG248" s="34"/>
      <c r="GH248" s="34"/>
      <c r="GI248" s="34"/>
      <c r="GJ248" s="34"/>
      <c r="GK248" s="34"/>
      <c r="GL248" s="34"/>
      <c r="GM248" s="34"/>
      <c r="GN248" s="34"/>
      <c r="GO248" s="34"/>
      <c r="GP248" s="34"/>
      <c r="GQ248" s="34"/>
      <c r="GR248" s="34"/>
      <c r="GS248" s="34"/>
      <c r="GT248" s="34"/>
      <c r="GU248" s="34"/>
      <c r="GV248" s="34"/>
      <c r="GW248" s="34"/>
      <c r="GX248" s="34"/>
      <c r="GY248" s="34"/>
      <c r="GZ248" s="34"/>
      <c r="HA248" s="34"/>
      <c r="HB248" s="34"/>
      <c r="HC248" s="34"/>
      <c r="HD248" s="34"/>
      <c r="HE248" s="34"/>
      <c r="HF248" s="34"/>
      <c r="HG248" s="34"/>
      <c r="HH248" s="34"/>
      <c r="HI248" s="34"/>
      <c r="HJ248" s="34"/>
      <c r="HK248" s="34"/>
      <c r="HL248" s="34"/>
      <c r="HM248" s="34"/>
      <c r="HN248" s="34"/>
      <c r="HO248" s="34"/>
      <c r="HP248" s="34"/>
    </row>
    <row r="249" spans="3:224" ht="20.100000000000001" customHeight="1">
      <c r="C249" s="11">
        <v>15309001</v>
      </c>
      <c r="D249" s="14" t="s">
        <v>155</v>
      </c>
      <c r="E249" s="14">
        <v>1140001</v>
      </c>
      <c r="F249" s="14">
        <v>0</v>
      </c>
      <c r="G249" s="14">
        <v>1</v>
      </c>
      <c r="H249" s="14">
        <v>40</v>
      </c>
      <c r="I249" s="22">
        <v>0.2</v>
      </c>
      <c r="J249" s="23">
        <v>15</v>
      </c>
      <c r="K249" s="14">
        <v>0</v>
      </c>
      <c r="L249" s="14">
        <v>3820</v>
      </c>
      <c r="M249" s="14">
        <f t="shared" si="36"/>
        <v>0</v>
      </c>
      <c r="N249" s="14">
        <v>0</v>
      </c>
      <c r="O249" s="14">
        <v>0</v>
      </c>
      <c r="P249" s="14">
        <v>0</v>
      </c>
      <c r="Q249" s="14">
        <f t="shared" si="37"/>
        <v>0</v>
      </c>
      <c r="R249" s="14">
        <v>0</v>
      </c>
      <c r="S249" s="14">
        <f t="shared" si="38"/>
        <v>0</v>
      </c>
      <c r="T249" s="14">
        <v>0</v>
      </c>
      <c r="U249" s="22">
        <v>0</v>
      </c>
      <c r="V249" s="14">
        <v>0</v>
      </c>
      <c r="W249" s="14">
        <v>0</v>
      </c>
      <c r="X249" s="14">
        <v>0</v>
      </c>
      <c r="Y249" s="22">
        <v>0</v>
      </c>
      <c r="Z249" s="22">
        <v>0</v>
      </c>
      <c r="AA249" s="22">
        <v>0</v>
      </c>
      <c r="AB249" s="22">
        <v>0</v>
      </c>
      <c r="AC249" s="22">
        <v>0</v>
      </c>
      <c r="AD249" s="22">
        <v>0</v>
      </c>
      <c r="AE249" s="43"/>
      <c r="GR249" s="6"/>
      <c r="GS249" s="6"/>
      <c r="GT249" s="6"/>
      <c r="GU249" s="6"/>
      <c r="GV249" s="6"/>
      <c r="GW249" s="6"/>
      <c r="GX249" s="6"/>
      <c r="GY249" s="6"/>
      <c r="GZ249" s="6"/>
      <c r="HA249" s="6"/>
      <c r="HB249" s="6"/>
      <c r="HC249" s="6"/>
      <c r="HD249" s="6"/>
      <c r="HE249" s="6"/>
      <c r="HF249" s="6"/>
      <c r="HG249" s="6"/>
      <c r="HH249" s="6"/>
      <c r="HI249" s="6"/>
      <c r="HJ249" s="6"/>
      <c r="HK249" s="6"/>
      <c r="HL249" s="6"/>
      <c r="HM249" s="6"/>
      <c r="HN249" s="6"/>
      <c r="HO249" s="6"/>
      <c r="HP249" s="6"/>
    </row>
    <row r="250" spans="3:224" ht="20.100000000000001" customHeight="1">
      <c r="C250" s="11">
        <v>15309002</v>
      </c>
      <c r="D250" s="14" t="s">
        <v>286</v>
      </c>
      <c r="E250" s="14">
        <v>1140001</v>
      </c>
      <c r="F250" s="14">
        <v>0</v>
      </c>
      <c r="G250" s="14">
        <v>1</v>
      </c>
      <c r="H250" s="14">
        <v>40</v>
      </c>
      <c r="I250" s="22">
        <v>0.2</v>
      </c>
      <c r="J250" s="23">
        <v>15</v>
      </c>
      <c r="K250" s="14">
        <v>0</v>
      </c>
      <c r="L250" s="14">
        <v>4620</v>
      </c>
      <c r="M250" s="14">
        <f t="shared" si="36"/>
        <v>0</v>
      </c>
      <c r="N250" s="14">
        <v>0</v>
      </c>
      <c r="O250" s="14">
        <v>0</v>
      </c>
      <c r="P250" s="14">
        <v>0</v>
      </c>
      <c r="Q250" s="14">
        <f t="shared" si="37"/>
        <v>0</v>
      </c>
      <c r="R250" s="14">
        <v>0</v>
      </c>
      <c r="S250" s="14">
        <f t="shared" si="38"/>
        <v>0</v>
      </c>
      <c r="T250" s="14">
        <v>0</v>
      </c>
      <c r="U250" s="22">
        <v>0</v>
      </c>
      <c r="V250" s="14">
        <v>0</v>
      </c>
      <c r="W250" s="14">
        <v>0</v>
      </c>
      <c r="X250" s="14">
        <v>0</v>
      </c>
      <c r="Y250" s="22">
        <v>0</v>
      </c>
      <c r="Z250" s="22">
        <v>0</v>
      </c>
      <c r="AA250" s="22">
        <v>0</v>
      </c>
      <c r="AB250" s="22">
        <v>0</v>
      </c>
      <c r="AC250" s="22">
        <v>0</v>
      </c>
      <c r="AD250" s="22">
        <v>0</v>
      </c>
      <c r="AE250" s="43"/>
      <c r="GR250" s="6"/>
      <c r="GS250" s="6"/>
      <c r="GT250" s="6"/>
      <c r="GU250" s="6"/>
      <c r="GV250" s="6"/>
      <c r="GW250" s="6"/>
      <c r="GX250" s="6"/>
      <c r="GY250" s="6"/>
      <c r="GZ250" s="6"/>
      <c r="HA250" s="6"/>
      <c r="HB250" s="6"/>
      <c r="HC250" s="6"/>
      <c r="HD250" s="6"/>
      <c r="HE250" s="6"/>
      <c r="HF250" s="6"/>
      <c r="HG250" s="6"/>
      <c r="HH250" s="6"/>
      <c r="HI250" s="6"/>
      <c r="HJ250" s="6"/>
      <c r="HK250" s="6"/>
      <c r="HL250" s="6"/>
      <c r="HM250" s="6"/>
      <c r="HN250" s="6"/>
      <c r="HO250" s="6"/>
      <c r="HP250" s="6"/>
    </row>
    <row r="251" spans="3:224" ht="20.100000000000001" customHeight="1">
      <c r="C251" s="11">
        <v>15310001</v>
      </c>
      <c r="D251" s="11" t="s">
        <v>287</v>
      </c>
      <c r="E251" s="14">
        <v>1140001</v>
      </c>
      <c r="F251" s="14">
        <v>0</v>
      </c>
      <c r="G251" s="14">
        <v>1</v>
      </c>
      <c r="H251" s="14">
        <v>40</v>
      </c>
      <c r="I251" s="22">
        <v>0.2</v>
      </c>
      <c r="J251" s="23">
        <v>15</v>
      </c>
      <c r="K251" s="14">
        <v>0</v>
      </c>
      <c r="L251" s="14">
        <v>0</v>
      </c>
      <c r="M251" s="14">
        <f t="shared" si="36"/>
        <v>193</v>
      </c>
      <c r="N251" s="14">
        <v>385</v>
      </c>
      <c r="O251" s="14">
        <v>0</v>
      </c>
      <c r="P251" s="14">
        <v>0</v>
      </c>
      <c r="Q251" s="14">
        <f t="shared" si="37"/>
        <v>0</v>
      </c>
      <c r="R251" s="14">
        <v>0</v>
      </c>
      <c r="S251" s="14">
        <f t="shared" si="38"/>
        <v>0</v>
      </c>
      <c r="T251" s="14">
        <v>0</v>
      </c>
      <c r="U251" s="22">
        <v>0</v>
      </c>
      <c r="V251" s="14">
        <v>0</v>
      </c>
      <c r="W251" s="14">
        <v>0</v>
      </c>
      <c r="X251" s="14">
        <v>0</v>
      </c>
      <c r="Y251" s="22">
        <v>0</v>
      </c>
      <c r="Z251" s="22">
        <v>0</v>
      </c>
      <c r="AA251" s="22">
        <v>0</v>
      </c>
      <c r="AB251" s="22">
        <v>0</v>
      </c>
      <c r="AC251" s="22">
        <v>0</v>
      </c>
      <c r="AD251" s="22">
        <v>0</v>
      </c>
      <c r="AE251" s="43"/>
      <c r="GR251" s="6"/>
      <c r="GS251" s="6"/>
      <c r="GT251" s="6"/>
      <c r="GU251" s="6"/>
      <c r="GV251" s="6"/>
      <c r="GW251" s="6"/>
      <c r="GX251" s="6"/>
      <c r="GY251" s="6"/>
      <c r="GZ251" s="6"/>
      <c r="HA251" s="6"/>
      <c r="HB251" s="6"/>
      <c r="HC251" s="6"/>
      <c r="HD251" s="6"/>
      <c r="HE251" s="6"/>
      <c r="HF251" s="6"/>
      <c r="HG251" s="6"/>
      <c r="HH251" s="6"/>
      <c r="HI251" s="6"/>
      <c r="HJ251" s="6"/>
      <c r="HK251" s="6"/>
      <c r="HL251" s="6"/>
      <c r="HM251" s="6"/>
      <c r="HN251" s="6"/>
      <c r="HO251" s="6"/>
      <c r="HP251" s="6"/>
    </row>
    <row r="252" spans="3:224" ht="20.100000000000001" customHeight="1">
      <c r="C252" s="11">
        <v>15310002</v>
      </c>
      <c r="D252" s="11" t="s">
        <v>288</v>
      </c>
      <c r="E252" s="14">
        <v>1140001</v>
      </c>
      <c r="F252" s="14">
        <v>0</v>
      </c>
      <c r="G252" s="14">
        <v>1</v>
      </c>
      <c r="H252" s="14">
        <v>40</v>
      </c>
      <c r="I252" s="22">
        <v>0.2</v>
      </c>
      <c r="J252" s="23">
        <v>15</v>
      </c>
      <c r="K252" s="14">
        <v>0</v>
      </c>
      <c r="L252" s="14">
        <v>0</v>
      </c>
      <c r="M252" s="14">
        <f t="shared" si="36"/>
        <v>230</v>
      </c>
      <c r="N252" s="14">
        <v>460</v>
      </c>
      <c r="O252" s="14">
        <v>0</v>
      </c>
      <c r="P252" s="14">
        <v>0</v>
      </c>
      <c r="Q252" s="14">
        <f t="shared" si="37"/>
        <v>0</v>
      </c>
      <c r="R252" s="14">
        <v>0</v>
      </c>
      <c r="S252" s="14">
        <f t="shared" si="38"/>
        <v>0</v>
      </c>
      <c r="T252" s="14">
        <v>0</v>
      </c>
      <c r="U252" s="22">
        <v>0</v>
      </c>
      <c r="V252" s="14">
        <v>0</v>
      </c>
      <c r="W252" s="14">
        <v>0</v>
      </c>
      <c r="X252" s="14">
        <v>0</v>
      </c>
      <c r="Y252" s="22">
        <v>0</v>
      </c>
      <c r="Z252" s="22">
        <v>0</v>
      </c>
      <c r="AA252" s="22">
        <v>0</v>
      </c>
      <c r="AB252" s="22">
        <v>0</v>
      </c>
      <c r="AC252" s="22">
        <v>0</v>
      </c>
      <c r="AD252" s="22">
        <v>0</v>
      </c>
      <c r="AE252" s="43"/>
      <c r="GR252" s="6"/>
      <c r="GS252" s="6"/>
      <c r="GT252" s="6"/>
      <c r="GU252" s="6"/>
      <c r="GV252" s="6"/>
      <c r="GW252" s="6"/>
      <c r="GX252" s="6"/>
      <c r="GY252" s="6"/>
      <c r="GZ252" s="6"/>
      <c r="HA252" s="6"/>
      <c r="HB252" s="6"/>
      <c r="HC252" s="6"/>
      <c r="HD252" s="6"/>
      <c r="HE252" s="6"/>
      <c r="HF252" s="6"/>
      <c r="HG252" s="6"/>
      <c r="HH252" s="6"/>
      <c r="HI252" s="6"/>
      <c r="HJ252" s="6"/>
      <c r="HK252" s="6"/>
      <c r="HL252" s="6"/>
      <c r="HM252" s="6"/>
      <c r="HN252" s="6"/>
      <c r="HO252" s="6"/>
      <c r="HP252" s="6"/>
    </row>
    <row r="253" spans="3:224" ht="20.100000000000001" customHeight="1">
      <c r="C253" s="11">
        <v>15310003</v>
      </c>
      <c r="D253" s="11" t="s">
        <v>289</v>
      </c>
      <c r="E253" s="14">
        <v>1140001</v>
      </c>
      <c r="F253" s="14">
        <v>0</v>
      </c>
      <c r="G253" s="14">
        <v>1</v>
      </c>
      <c r="H253" s="14">
        <v>40</v>
      </c>
      <c r="I253" s="22">
        <v>0.2</v>
      </c>
      <c r="J253" s="23">
        <v>15</v>
      </c>
      <c r="K253" s="14">
        <v>0</v>
      </c>
      <c r="L253" s="14">
        <v>0</v>
      </c>
      <c r="M253" s="14">
        <f t="shared" si="36"/>
        <v>193</v>
      </c>
      <c r="N253" s="14">
        <v>385</v>
      </c>
      <c r="O253" s="14">
        <v>0</v>
      </c>
      <c r="P253" s="14">
        <v>0</v>
      </c>
      <c r="Q253" s="14">
        <f t="shared" si="37"/>
        <v>0</v>
      </c>
      <c r="R253" s="14">
        <v>0</v>
      </c>
      <c r="S253" s="14">
        <f t="shared" si="38"/>
        <v>0</v>
      </c>
      <c r="T253" s="14">
        <v>0</v>
      </c>
      <c r="U253" s="22">
        <v>0</v>
      </c>
      <c r="V253" s="14">
        <v>0</v>
      </c>
      <c r="W253" s="14">
        <v>0</v>
      </c>
      <c r="X253" s="14">
        <v>0</v>
      </c>
      <c r="Y253" s="22">
        <v>0</v>
      </c>
      <c r="Z253" s="22">
        <v>0</v>
      </c>
      <c r="AA253" s="22">
        <v>0</v>
      </c>
      <c r="AB253" s="22">
        <v>0</v>
      </c>
      <c r="AC253" s="22">
        <v>0</v>
      </c>
      <c r="AD253" s="22">
        <v>0</v>
      </c>
      <c r="AE253" s="43"/>
      <c r="GR253" s="6"/>
      <c r="GS253" s="6"/>
      <c r="GT253" s="6"/>
      <c r="GU253" s="6"/>
      <c r="GV253" s="6"/>
      <c r="GW253" s="6"/>
      <c r="GX253" s="6"/>
      <c r="GY253" s="6"/>
      <c r="GZ253" s="6"/>
      <c r="HA253" s="6"/>
      <c r="HB253" s="6"/>
      <c r="HC253" s="6"/>
      <c r="HD253" s="6"/>
      <c r="HE253" s="6"/>
      <c r="HF253" s="6"/>
      <c r="HG253" s="6"/>
      <c r="HH253" s="6"/>
      <c r="HI253" s="6"/>
      <c r="HJ253" s="6"/>
      <c r="HK253" s="6"/>
      <c r="HL253" s="6"/>
      <c r="HM253" s="6"/>
      <c r="HN253" s="6"/>
      <c r="HO253" s="6"/>
      <c r="HP253" s="6"/>
    </row>
    <row r="254" spans="3:224" ht="20.100000000000001" customHeight="1">
      <c r="C254" s="11">
        <v>15310004</v>
      </c>
      <c r="D254" s="11" t="s">
        <v>290</v>
      </c>
      <c r="E254" s="14">
        <v>1140001</v>
      </c>
      <c r="F254" s="14">
        <v>0</v>
      </c>
      <c r="G254" s="14">
        <v>1</v>
      </c>
      <c r="H254" s="14">
        <v>40</v>
      </c>
      <c r="I254" s="22">
        <v>0.2</v>
      </c>
      <c r="J254" s="23">
        <v>15</v>
      </c>
      <c r="K254" s="14">
        <v>0</v>
      </c>
      <c r="L254" s="14">
        <v>0</v>
      </c>
      <c r="M254" s="14">
        <f t="shared" si="36"/>
        <v>230</v>
      </c>
      <c r="N254" s="14">
        <v>460</v>
      </c>
      <c r="O254" s="14">
        <v>0</v>
      </c>
      <c r="P254" s="14">
        <v>0</v>
      </c>
      <c r="Q254" s="14">
        <f t="shared" si="37"/>
        <v>0</v>
      </c>
      <c r="R254" s="14">
        <v>0</v>
      </c>
      <c r="S254" s="14">
        <f t="shared" si="38"/>
        <v>0</v>
      </c>
      <c r="T254" s="14">
        <v>0</v>
      </c>
      <c r="U254" s="22">
        <v>0</v>
      </c>
      <c r="V254" s="14">
        <v>0</v>
      </c>
      <c r="W254" s="14">
        <v>0</v>
      </c>
      <c r="X254" s="14">
        <v>0</v>
      </c>
      <c r="Y254" s="22">
        <v>0</v>
      </c>
      <c r="Z254" s="22">
        <v>0</v>
      </c>
      <c r="AA254" s="22">
        <v>0</v>
      </c>
      <c r="AB254" s="22">
        <v>0</v>
      </c>
      <c r="AC254" s="22">
        <v>0</v>
      </c>
      <c r="AD254" s="22">
        <v>0</v>
      </c>
      <c r="AE254" s="43"/>
      <c r="GR254" s="6"/>
      <c r="GS254" s="6"/>
      <c r="GT254" s="6"/>
      <c r="GU254" s="6"/>
      <c r="GV254" s="6"/>
      <c r="GW254" s="6"/>
      <c r="GX254" s="6"/>
      <c r="GY254" s="6"/>
      <c r="GZ254" s="6"/>
      <c r="HA254" s="6"/>
      <c r="HB254" s="6"/>
      <c r="HC254" s="6"/>
      <c r="HD254" s="6"/>
      <c r="HE254" s="6"/>
      <c r="HF254" s="6"/>
      <c r="HG254" s="6"/>
      <c r="HH254" s="6"/>
      <c r="HI254" s="6"/>
      <c r="HJ254" s="6"/>
      <c r="HK254" s="6"/>
      <c r="HL254" s="6"/>
      <c r="HM254" s="6"/>
      <c r="HN254" s="6"/>
      <c r="HO254" s="6"/>
      <c r="HP254" s="6"/>
    </row>
    <row r="255" spans="3:224" ht="19.5" customHeight="1">
      <c r="C255" s="11">
        <v>15310011</v>
      </c>
      <c r="D255" s="37" t="s">
        <v>291</v>
      </c>
      <c r="E255" s="14">
        <v>1140001</v>
      </c>
      <c r="F255" s="14">
        <v>13051</v>
      </c>
      <c r="G255" s="14">
        <v>1</v>
      </c>
      <c r="H255" s="14">
        <v>40</v>
      </c>
      <c r="I255" s="22">
        <v>0.2</v>
      </c>
      <c r="J255" s="23">
        <v>15</v>
      </c>
      <c r="K255" s="14">
        <v>0</v>
      </c>
      <c r="L255" s="14">
        <v>0</v>
      </c>
      <c r="M255" s="14">
        <f t="shared" ref="M255:M256" si="61">ROUND(N255/2,0)</f>
        <v>290</v>
      </c>
      <c r="N255" s="14">
        <v>580</v>
      </c>
      <c r="O255" s="14">
        <v>0</v>
      </c>
      <c r="P255" s="14">
        <v>0</v>
      </c>
      <c r="Q255" s="14">
        <f t="shared" ref="Q255:Q256" si="62">ROUND(R255/2,0)</f>
        <v>0</v>
      </c>
      <c r="R255" s="14">
        <v>0</v>
      </c>
      <c r="S255" s="14">
        <f t="shared" ref="S255:S256" si="63">ROUND(T255/2,0)</f>
        <v>0</v>
      </c>
      <c r="T255" s="14">
        <v>0</v>
      </c>
      <c r="U255" s="22">
        <v>0</v>
      </c>
      <c r="V255" s="14">
        <v>0</v>
      </c>
      <c r="W255" s="14">
        <v>0</v>
      </c>
      <c r="X255" s="14">
        <v>0</v>
      </c>
      <c r="Y255" s="22">
        <v>0</v>
      </c>
      <c r="Z255" s="22">
        <v>0</v>
      </c>
      <c r="AA255" s="22">
        <v>0</v>
      </c>
      <c r="AB255" s="22">
        <v>0</v>
      </c>
      <c r="AC255" s="22">
        <v>0</v>
      </c>
      <c r="AD255" s="22">
        <v>0</v>
      </c>
      <c r="AE255" s="48">
        <v>100004</v>
      </c>
      <c r="GR255" s="6"/>
      <c r="GS255" s="6"/>
      <c r="GT255" s="6"/>
      <c r="GU255" s="6"/>
      <c r="GV255" s="6"/>
      <c r="GW255" s="6"/>
      <c r="GX255" s="6"/>
      <c r="GY255" s="6"/>
      <c r="GZ255" s="6"/>
      <c r="HA255" s="6"/>
      <c r="HB255" s="6"/>
      <c r="HC255" s="6"/>
      <c r="HD255" s="6"/>
      <c r="HE255" s="6"/>
      <c r="HF255" s="6"/>
      <c r="HG255" s="6"/>
      <c r="HH255" s="6"/>
      <c r="HI255" s="6"/>
      <c r="HJ255" s="6"/>
      <c r="HK255" s="6"/>
      <c r="HL255" s="6"/>
      <c r="HM255" s="6"/>
      <c r="HN255" s="6"/>
      <c r="HO255" s="6"/>
      <c r="HP255" s="6"/>
    </row>
    <row r="256" spans="3:224" ht="20.100000000000001" customHeight="1">
      <c r="C256" s="11">
        <v>15310012</v>
      </c>
      <c r="D256" s="37" t="s">
        <v>292</v>
      </c>
      <c r="E256" s="14">
        <v>1140001</v>
      </c>
      <c r="F256" s="14">
        <v>13051</v>
      </c>
      <c r="G256" s="14">
        <v>1</v>
      </c>
      <c r="H256" s="14">
        <v>40</v>
      </c>
      <c r="I256" s="22">
        <v>0.2</v>
      </c>
      <c r="J256" s="23">
        <v>15</v>
      </c>
      <c r="K256" s="14">
        <v>0</v>
      </c>
      <c r="L256" s="14">
        <v>0</v>
      </c>
      <c r="M256" s="14">
        <f t="shared" si="61"/>
        <v>290</v>
      </c>
      <c r="N256" s="14">
        <v>580</v>
      </c>
      <c r="O256" s="14">
        <v>0</v>
      </c>
      <c r="P256" s="14">
        <v>0</v>
      </c>
      <c r="Q256" s="14">
        <f t="shared" si="62"/>
        <v>0</v>
      </c>
      <c r="R256" s="14">
        <v>0</v>
      </c>
      <c r="S256" s="14">
        <f t="shared" si="63"/>
        <v>0</v>
      </c>
      <c r="T256" s="14">
        <v>0</v>
      </c>
      <c r="U256" s="22">
        <v>0</v>
      </c>
      <c r="V256" s="14">
        <v>0</v>
      </c>
      <c r="W256" s="14">
        <v>0</v>
      </c>
      <c r="X256" s="14">
        <v>0</v>
      </c>
      <c r="Y256" s="22">
        <v>0</v>
      </c>
      <c r="Z256" s="22">
        <v>0</v>
      </c>
      <c r="AA256" s="22">
        <v>0</v>
      </c>
      <c r="AB256" s="22">
        <v>0</v>
      </c>
      <c r="AC256" s="22">
        <v>0</v>
      </c>
      <c r="AD256" s="22">
        <v>0</v>
      </c>
      <c r="AE256" s="48">
        <v>100003</v>
      </c>
      <c r="GR256" s="6"/>
      <c r="GS256" s="6"/>
      <c r="GT256" s="6"/>
      <c r="GU256" s="6"/>
      <c r="GV256" s="6"/>
      <c r="GW256" s="6"/>
      <c r="GX256" s="6"/>
      <c r="GY256" s="6"/>
      <c r="GZ256" s="6"/>
      <c r="HA256" s="6"/>
      <c r="HB256" s="6"/>
      <c r="HC256" s="6"/>
      <c r="HD256" s="6"/>
      <c r="HE256" s="6"/>
      <c r="HF256" s="6"/>
      <c r="HG256" s="6"/>
      <c r="HH256" s="6"/>
      <c r="HI256" s="6"/>
      <c r="HJ256" s="6"/>
      <c r="HK256" s="6"/>
      <c r="HL256" s="6"/>
      <c r="HM256" s="6"/>
      <c r="HN256" s="6"/>
      <c r="HO256" s="6"/>
      <c r="HP256" s="6"/>
    </row>
    <row r="257" spans="3:224" ht="20.100000000000001" customHeight="1">
      <c r="C257" s="11">
        <v>15310111</v>
      </c>
      <c r="D257" s="37" t="s">
        <v>291</v>
      </c>
      <c r="E257" s="14">
        <v>1140001</v>
      </c>
      <c r="F257" s="14">
        <v>13051</v>
      </c>
      <c r="G257" s="14">
        <v>1</v>
      </c>
      <c r="H257" s="14">
        <v>40</v>
      </c>
      <c r="I257" s="22">
        <v>0.2</v>
      </c>
      <c r="J257" s="23">
        <v>15</v>
      </c>
      <c r="K257" s="14">
        <v>0</v>
      </c>
      <c r="L257" s="14">
        <v>0</v>
      </c>
      <c r="M257" s="14">
        <f t="shared" ref="M257:M261" si="64">ROUND(N257/2,0)</f>
        <v>290</v>
      </c>
      <c r="N257" s="14">
        <v>580</v>
      </c>
      <c r="O257" s="14">
        <v>0</v>
      </c>
      <c r="P257" s="14">
        <v>0</v>
      </c>
      <c r="Q257" s="14">
        <f t="shared" ref="Q257:Q261" si="65">ROUND(R257/2,0)</f>
        <v>0</v>
      </c>
      <c r="R257" s="14">
        <v>0</v>
      </c>
      <c r="S257" s="14">
        <f t="shared" ref="S257:S261" si="66">ROUND(T257/2,0)</f>
        <v>0</v>
      </c>
      <c r="T257" s="14">
        <v>0</v>
      </c>
      <c r="U257" s="22">
        <v>0</v>
      </c>
      <c r="V257" s="14">
        <v>0</v>
      </c>
      <c r="W257" s="14">
        <v>0</v>
      </c>
      <c r="X257" s="14">
        <v>0</v>
      </c>
      <c r="Y257" s="22">
        <v>0</v>
      </c>
      <c r="Z257" s="22">
        <v>0</v>
      </c>
      <c r="AA257" s="22">
        <v>0</v>
      </c>
      <c r="AB257" s="22">
        <v>0</v>
      </c>
      <c r="AC257" s="22">
        <v>0</v>
      </c>
      <c r="AD257" s="22">
        <v>0</v>
      </c>
      <c r="AE257" s="43"/>
      <c r="GR257" s="6"/>
      <c r="GS257" s="6"/>
      <c r="GT257" s="6"/>
      <c r="GU257" s="6"/>
      <c r="GV257" s="6"/>
      <c r="GW257" s="6"/>
      <c r="GX257" s="6"/>
      <c r="GY257" s="6"/>
      <c r="GZ257" s="6"/>
      <c r="HA257" s="6"/>
      <c r="HB257" s="6"/>
      <c r="HC257" s="6"/>
      <c r="HD257" s="6"/>
      <c r="HE257" s="6"/>
      <c r="HF257" s="6"/>
      <c r="HG257" s="6"/>
      <c r="HH257" s="6"/>
      <c r="HI257" s="6"/>
      <c r="HJ257" s="6"/>
      <c r="HK257" s="6"/>
      <c r="HL257" s="6"/>
      <c r="HM257" s="6"/>
      <c r="HN257" s="6"/>
      <c r="HO257" s="6"/>
      <c r="HP257" s="6"/>
    </row>
    <row r="258" spans="3:224" ht="20.100000000000001" customHeight="1">
      <c r="C258" s="11">
        <v>15310112</v>
      </c>
      <c r="D258" s="37" t="s">
        <v>292</v>
      </c>
      <c r="E258" s="14">
        <v>1140001</v>
      </c>
      <c r="F258" s="14">
        <v>13051</v>
      </c>
      <c r="G258" s="14">
        <v>1</v>
      </c>
      <c r="H258" s="14">
        <v>40</v>
      </c>
      <c r="I258" s="22">
        <v>0.2</v>
      </c>
      <c r="J258" s="23">
        <v>15</v>
      </c>
      <c r="K258" s="14">
        <v>0</v>
      </c>
      <c r="L258" s="14">
        <v>0</v>
      </c>
      <c r="M258" s="14">
        <f t="shared" si="64"/>
        <v>290</v>
      </c>
      <c r="N258" s="14">
        <v>580</v>
      </c>
      <c r="O258" s="14">
        <v>0</v>
      </c>
      <c r="P258" s="14">
        <v>0</v>
      </c>
      <c r="Q258" s="14">
        <f t="shared" si="65"/>
        <v>0</v>
      </c>
      <c r="R258" s="14">
        <v>0</v>
      </c>
      <c r="S258" s="14">
        <f t="shared" si="66"/>
        <v>0</v>
      </c>
      <c r="T258" s="14">
        <v>0</v>
      </c>
      <c r="U258" s="22">
        <v>0</v>
      </c>
      <c r="V258" s="14">
        <v>0</v>
      </c>
      <c r="W258" s="14">
        <v>0</v>
      </c>
      <c r="X258" s="14">
        <v>0</v>
      </c>
      <c r="Y258" s="22">
        <v>0</v>
      </c>
      <c r="Z258" s="22">
        <v>0</v>
      </c>
      <c r="AA258" s="22">
        <v>0</v>
      </c>
      <c r="AB258" s="22">
        <v>0</v>
      </c>
      <c r="AC258" s="22">
        <v>0</v>
      </c>
      <c r="AD258" s="22">
        <v>0</v>
      </c>
      <c r="AE258" s="48">
        <v>100005</v>
      </c>
      <c r="GR258" s="6"/>
      <c r="GS258" s="6"/>
      <c r="GT258" s="6"/>
      <c r="GU258" s="6"/>
      <c r="GV258" s="6"/>
      <c r="GW258" s="6"/>
      <c r="GX258" s="6"/>
      <c r="GY258" s="6"/>
      <c r="GZ258" s="6"/>
      <c r="HA258" s="6"/>
      <c r="HB258" s="6"/>
      <c r="HC258" s="6"/>
      <c r="HD258" s="6"/>
      <c r="HE258" s="6"/>
      <c r="HF258" s="6"/>
      <c r="HG258" s="6"/>
      <c r="HH258" s="6"/>
      <c r="HI258" s="6"/>
      <c r="HJ258" s="6"/>
      <c r="HK258" s="6"/>
      <c r="HL258" s="6"/>
      <c r="HM258" s="6"/>
      <c r="HN258" s="6"/>
      <c r="HO258" s="6"/>
      <c r="HP258" s="6"/>
    </row>
    <row r="259" spans="3:224" ht="20.100000000000001" customHeight="1">
      <c r="C259" s="11">
        <v>15310201</v>
      </c>
      <c r="D259" s="11" t="s">
        <v>293</v>
      </c>
      <c r="E259" s="14">
        <v>1140001</v>
      </c>
      <c r="F259" s="14">
        <v>0</v>
      </c>
      <c r="G259" s="14">
        <v>1</v>
      </c>
      <c r="H259" s="14">
        <v>40</v>
      </c>
      <c r="I259" s="22">
        <v>0.2</v>
      </c>
      <c r="J259" s="23">
        <v>15</v>
      </c>
      <c r="K259" s="14">
        <v>0</v>
      </c>
      <c r="L259" s="14">
        <v>0</v>
      </c>
      <c r="M259" s="14">
        <f t="shared" si="64"/>
        <v>193</v>
      </c>
      <c r="N259" s="14">
        <v>385</v>
      </c>
      <c r="O259" s="14">
        <v>0</v>
      </c>
      <c r="P259" s="14">
        <v>0</v>
      </c>
      <c r="Q259" s="14">
        <f t="shared" si="65"/>
        <v>0</v>
      </c>
      <c r="R259" s="14">
        <v>0</v>
      </c>
      <c r="S259" s="14">
        <f t="shared" si="66"/>
        <v>0</v>
      </c>
      <c r="T259" s="14">
        <v>0</v>
      </c>
      <c r="U259" s="22">
        <v>0</v>
      </c>
      <c r="V259" s="14">
        <v>0</v>
      </c>
      <c r="W259" s="14">
        <v>0</v>
      </c>
      <c r="X259" s="14">
        <v>0</v>
      </c>
      <c r="Y259" s="22">
        <v>0</v>
      </c>
      <c r="Z259" s="22">
        <v>0</v>
      </c>
      <c r="AA259" s="22">
        <v>0</v>
      </c>
      <c r="AB259" s="22">
        <v>0</v>
      </c>
      <c r="AC259" s="22">
        <v>0</v>
      </c>
      <c r="AD259" s="22">
        <v>0</v>
      </c>
      <c r="AE259" s="43"/>
      <c r="GR259" s="6"/>
      <c r="GS259" s="6"/>
      <c r="GT259" s="6"/>
      <c r="GU259" s="6"/>
      <c r="GV259" s="6"/>
      <c r="GW259" s="6"/>
      <c r="GX259" s="6"/>
      <c r="GY259" s="6"/>
      <c r="GZ259" s="6"/>
      <c r="HA259" s="6"/>
      <c r="HB259" s="6"/>
      <c r="HC259" s="6"/>
      <c r="HD259" s="6"/>
      <c r="HE259" s="6"/>
      <c r="HF259" s="6"/>
      <c r="HG259" s="6"/>
      <c r="HH259" s="6"/>
      <c r="HI259" s="6"/>
      <c r="HJ259" s="6"/>
      <c r="HK259" s="6"/>
      <c r="HL259" s="6"/>
      <c r="HM259" s="6"/>
      <c r="HN259" s="6"/>
      <c r="HO259" s="6"/>
      <c r="HP259" s="6"/>
    </row>
    <row r="260" spans="3:224" ht="20.100000000000001" customHeight="1">
      <c r="C260" s="11">
        <v>15310202</v>
      </c>
      <c r="D260" s="11" t="s">
        <v>294</v>
      </c>
      <c r="E260" s="14">
        <v>1140001</v>
      </c>
      <c r="F260" s="14">
        <v>0</v>
      </c>
      <c r="G260" s="14">
        <v>1</v>
      </c>
      <c r="H260" s="14">
        <v>40</v>
      </c>
      <c r="I260" s="22">
        <v>0.2</v>
      </c>
      <c r="J260" s="23">
        <v>15</v>
      </c>
      <c r="K260" s="14">
        <v>0</v>
      </c>
      <c r="L260" s="14">
        <v>0</v>
      </c>
      <c r="M260" s="14">
        <f t="shared" si="64"/>
        <v>230</v>
      </c>
      <c r="N260" s="14">
        <v>460</v>
      </c>
      <c r="O260" s="14">
        <v>0</v>
      </c>
      <c r="P260" s="14">
        <v>0</v>
      </c>
      <c r="Q260" s="14">
        <f t="shared" si="65"/>
        <v>0</v>
      </c>
      <c r="R260" s="14">
        <v>0</v>
      </c>
      <c r="S260" s="14">
        <f t="shared" si="66"/>
        <v>0</v>
      </c>
      <c r="T260" s="14">
        <v>0</v>
      </c>
      <c r="U260" s="22">
        <v>0</v>
      </c>
      <c r="V260" s="14">
        <v>0</v>
      </c>
      <c r="W260" s="14">
        <v>0</v>
      </c>
      <c r="X260" s="14">
        <v>0</v>
      </c>
      <c r="Y260" s="22">
        <v>0</v>
      </c>
      <c r="Z260" s="22">
        <v>0</v>
      </c>
      <c r="AA260" s="22">
        <v>0</v>
      </c>
      <c r="AB260" s="22">
        <v>0</v>
      </c>
      <c r="AC260" s="22">
        <v>0</v>
      </c>
      <c r="AD260" s="22">
        <v>0</v>
      </c>
      <c r="AE260" s="43"/>
      <c r="GR260" s="6"/>
      <c r="GS260" s="6"/>
      <c r="GT260" s="6"/>
      <c r="GU260" s="6"/>
      <c r="GV260" s="6"/>
      <c r="GW260" s="6"/>
      <c r="GX260" s="6"/>
      <c r="GY260" s="6"/>
      <c r="GZ260" s="6"/>
      <c r="HA260" s="6"/>
      <c r="HB260" s="6"/>
      <c r="HC260" s="6"/>
      <c r="HD260" s="6"/>
      <c r="HE260" s="6"/>
      <c r="HF260" s="6"/>
      <c r="HG260" s="6"/>
      <c r="HH260" s="6"/>
      <c r="HI260" s="6"/>
      <c r="HJ260" s="6"/>
      <c r="HK260" s="6"/>
      <c r="HL260" s="6"/>
      <c r="HM260" s="6"/>
      <c r="HN260" s="6"/>
      <c r="HO260" s="6"/>
      <c r="HP260" s="6"/>
    </row>
    <row r="261" spans="3:224" ht="19.5" customHeight="1">
      <c r="C261" s="11">
        <v>15310211</v>
      </c>
      <c r="D261" s="37" t="s">
        <v>295</v>
      </c>
      <c r="E261" s="14">
        <v>1140001</v>
      </c>
      <c r="F261" s="14">
        <v>13051</v>
      </c>
      <c r="G261" s="14">
        <v>1</v>
      </c>
      <c r="H261" s="14">
        <v>40</v>
      </c>
      <c r="I261" s="22">
        <v>0.2</v>
      </c>
      <c r="J261" s="23">
        <v>15</v>
      </c>
      <c r="K261" s="14">
        <v>0</v>
      </c>
      <c r="L261" s="14">
        <v>0</v>
      </c>
      <c r="M261" s="14">
        <f t="shared" si="64"/>
        <v>290</v>
      </c>
      <c r="N261" s="14">
        <v>580</v>
      </c>
      <c r="O261" s="14">
        <v>0</v>
      </c>
      <c r="P261" s="14">
        <v>0</v>
      </c>
      <c r="Q261" s="14">
        <f t="shared" si="65"/>
        <v>0</v>
      </c>
      <c r="R261" s="14">
        <v>0</v>
      </c>
      <c r="S261" s="14">
        <f t="shared" si="66"/>
        <v>0</v>
      </c>
      <c r="T261" s="14">
        <v>0</v>
      </c>
      <c r="U261" s="22">
        <v>0</v>
      </c>
      <c r="V261" s="14">
        <v>0</v>
      </c>
      <c r="W261" s="14">
        <v>0</v>
      </c>
      <c r="X261" s="14">
        <v>0</v>
      </c>
      <c r="Y261" s="22">
        <v>0</v>
      </c>
      <c r="Z261" s="22">
        <v>0</v>
      </c>
      <c r="AA261" s="22">
        <v>0</v>
      </c>
      <c r="AB261" s="22">
        <v>0</v>
      </c>
      <c r="AC261" s="22">
        <v>0</v>
      </c>
      <c r="AD261" s="22">
        <v>0</v>
      </c>
      <c r="AE261" s="48"/>
      <c r="GR261" s="6"/>
      <c r="GS261" s="6"/>
      <c r="GT261" s="6"/>
      <c r="GU261" s="6"/>
      <c r="GV261" s="6"/>
      <c r="GW261" s="6"/>
      <c r="GX261" s="6"/>
      <c r="GY261" s="6"/>
      <c r="GZ261" s="6"/>
      <c r="HA261" s="6"/>
      <c r="HB261" s="6"/>
      <c r="HC261" s="6"/>
      <c r="HD261" s="6"/>
      <c r="HE261" s="6"/>
      <c r="HF261" s="6"/>
      <c r="HG261" s="6"/>
      <c r="HH261" s="6"/>
      <c r="HI261" s="6"/>
      <c r="HJ261" s="6"/>
      <c r="HK261" s="6"/>
      <c r="HL261" s="6"/>
      <c r="HM261" s="6"/>
      <c r="HN261" s="6"/>
      <c r="HO261" s="6"/>
      <c r="HP261" s="6"/>
    </row>
    <row r="262" spans="3:224" ht="20.100000000000001" customHeight="1">
      <c r="C262" s="11">
        <v>15311001</v>
      </c>
      <c r="D262" s="14" t="s">
        <v>296</v>
      </c>
      <c r="E262" s="14">
        <v>1140003</v>
      </c>
      <c r="F262" s="14">
        <v>0</v>
      </c>
      <c r="G262" s="14">
        <v>1</v>
      </c>
      <c r="H262" s="14">
        <v>40</v>
      </c>
      <c r="I262" s="22">
        <v>0.2</v>
      </c>
      <c r="J262" s="23">
        <v>15</v>
      </c>
      <c r="K262" s="14">
        <v>0</v>
      </c>
      <c r="L262" s="14">
        <v>2700</v>
      </c>
      <c r="M262" s="14">
        <f t="shared" si="36"/>
        <v>0</v>
      </c>
      <c r="N262" s="14">
        <v>0</v>
      </c>
      <c r="O262" s="14">
        <v>0</v>
      </c>
      <c r="P262" s="14">
        <v>0</v>
      </c>
      <c r="Q262" s="14">
        <f t="shared" si="37"/>
        <v>33</v>
      </c>
      <c r="R262" s="14">
        <v>65</v>
      </c>
      <c r="S262" s="14">
        <f t="shared" si="38"/>
        <v>33</v>
      </c>
      <c r="T262" s="14">
        <v>65</v>
      </c>
      <c r="U262" s="22">
        <v>0</v>
      </c>
      <c r="V262" s="14">
        <v>0</v>
      </c>
      <c r="W262" s="14">
        <v>0</v>
      </c>
      <c r="X262" s="14">
        <v>0</v>
      </c>
      <c r="Y262" s="22">
        <v>0</v>
      </c>
      <c r="Z262" s="22">
        <v>0</v>
      </c>
      <c r="AA262" s="22">
        <v>0</v>
      </c>
      <c r="AB262" s="22">
        <v>0</v>
      </c>
      <c r="AC262" s="22">
        <v>0</v>
      </c>
      <c r="AD262" s="22">
        <v>0</v>
      </c>
      <c r="AE262" s="43"/>
      <c r="GR262" s="6"/>
      <c r="GS262" s="6"/>
      <c r="GT262" s="6"/>
      <c r="GU262" s="6"/>
      <c r="GV262" s="6"/>
      <c r="GW262" s="6"/>
      <c r="GX262" s="6"/>
      <c r="GY262" s="6"/>
      <c r="GZ262" s="6"/>
      <c r="HA262" s="6"/>
      <c r="HB262" s="6"/>
      <c r="HC262" s="6"/>
      <c r="HD262" s="6"/>
      <c r="HE262" s="6"/>
      <c r="HF262" s="6"/>
      <c r="HG262" s="6"/>
      <c r="HH262" s="6"/>
      <c r="HI262" s="6"/>
      <c r="HJ262" s="6"/>
      <c r="HK262" s="6"/>
      <c r="HL262" s="6"/>
      <c r="HM262" s="6"/>
      <c r="HN262" s="6"/>
      <c r="HO262" s="6"/>
      <c r="HP262" s="6"/>
    </row>
    <row r="263" spans="3:224" ht="20.100000000000001" customHeight="1">
      <c r="C263" s="11">
        <v>15311002</v>
      </c>
      <c r="D263" s="14" t="s">
        <v>297</v>
      </c>
      <c r="E263" s="14">
        <v>1140003</v>
      </c>
      <c r="F263" s="14">
        <v>13011</v>
      </c>
      <c r="G263" s="14">
        <v>1</v>
      </c>
      <c r="H263" s="14">
        <v>40</v>
      </c>
      <c r="I263" s="22">
        <v>0.2</v>
      </c>
      <c r="J263" s="23">
        <v>15</v>
      </c>
      <c r="K263" s="14">
        <v>0</v>
      </c>
      <c r="L263" s="14">
        <v>3180</v>
      </c>
      <c r="M263" s="14">
        <f t="shared" si="36"/>
        <v>0</v>
      </c>
      <c r="N263" s="14">
        <v>0</v>
      </c>
      <c r="O263" s="14">
        <v>0</v>
      </c>
      <c r="P263" s="14">
        <v>0</v>
      </c>
      <c r="Q263" s="14">
        <f t="shared" si="37"/>
        <v>42</v>
      </c>
      <c r="R263" s="14">
        <v>83</v>
      </c>
      <c r="S263" s="14">
        <f t="shared" si="38"/>
        <v>42</v>
      </c>
      <c r="T263" s="14">
        <v>83</v>
      </c>
      <c r="U263" s="22">
        <v>0</v>
      </c>
      <c r="V263" s="14">
        <v>0</v>
      </c>
      <c r="W263" s="14">
        <v>0</v>
      </c>
      <c r="X263" s="14">
        <v>0</v>
      </c>
      <c r="Y263" s="22">
        <v>0</v>
      </c>
      <c r="Z263" s="22">
        <v>0</v>
      </c>
      <c r="AA263" s="22">
        <v>0</v>
      </c>
      <c r="AB263" s="22">
        <v>0</v>
      </c>
      <c r="AC263" s="22">
        <v>0</v>
      </c>
      <c r="AD263" s="22">
        <v>0</v>
      </c>
      <c r="AE263" s="43"/>
      <c r="GR263" s="6"/>
      <c r="GS263" s="6"/>
      <c r="GT263" s="6"/>
      <c r="GU263" s="6"/>
      <c r="GV263" s="6"/>
      <c r="GW263" s="6"/>
      <c r="GX263" s="6"/>
      <c r="GY263" s="6"/>
      <c r="GZ263" s="6"/>
      <c r="HA263" s="6"/>
      <c r="HB263" s="6"/>
      <c r="HC263" s="6"/>
      <c r="HD263" s="6"/>
      <c r="HE263" s="6"/>
      <c r="HF263" s="6"/>
      <c r="HG263" s="6"/>
      <c r="HH263" s="6"/>
      <c r="HI263" s="6"/>
      <c r="HJ263" s="6"/>
      <c r="HK263" s="6"/>
      <c r="HL263" s="6"/>
      <c r="HM263" s="6"/>
      <c r="HN263" s="6"/>
      <c r="HO263" s="6"/>
      <c r="HP263" s="6"/>
    </row>
    <row r="264" spans="3:224" ht="20.100000000000001" customHeight="1">
      <c r="C264" s="11">
        <v>15311003</v>
      </c>
      <c r="D264" s="14" t="s">
        <v>298</v>
      </c>
      <c r="E264" s="14">
        <v>1140003</v>
      </c>
      <c r="F264" s="14">
        <v>0</v>
      </c>
      <c r="G264" s="14">
        <v>1</v>
      </c>
      <c r="H264" s="14">
        <v>40</v>
      </c>
      <c r="I264" s="22">
        <v>0.2</v>
      </c>
      <c r="J264" s="23">
        <v>15</v>
      </c>
      <c r="K264" s="14">
        <v>0</v>
      </c>
      <c r="L264" s="14">
        <v>1360</v>
      </c>
      <c r="M264" s="14">
        <f t="shared" si="36"/>
        <v>0</v>
      </c>
      <c r="N264" s="14">
        <v>0</v>
      </c>
      <c r="O264" s="14">
        <v>0</v>
      </c>
      <c r="P264" s="14">
        <v>0</v>
      </c>
      <c r="Q264" s="14">
        <f t="shared" si="37"/>
        <v>25</v>
      </c>
      <c r="R264" s="14">
        <v>49</v>
      </c>
      <c r="S264" s="14">
        <f t="shared" si="38"/>
        <v>25</v>
      </c>
      <c r="T264" s="14">
        <v>49</v>
      </c>
      <c r="U264" s="22">
        <v>0</v>
      </c>
      <c r="V264" s="14">
        <v>0</v>
      </c>
      <c r="W264" s="14">
        <v>0</v>
      </c>
      <c r="X264" s="14">
        <v>0</v>
      </c>
      <c r="Y264" s="22">
        <v>0</v>
      </c>
      <c r="Z264" s="22">
        <v>0</v>
      </c>
      <c r="AA264" s="22">
        <v>0</v>
      </c>
      <c r="AB264" s="22">
        <v>0</v>
      </c>
      <c r="AC264" s="22">
        <v>0</v>
      </c>
      <c r="AD264" s="22">
        <v>0</v>
      </c>
      <c r="AE264" s="43"/>
      <c r="GR264" s="6"/>
      <c r="GS264" s="6"/>
      <c r="GT264" s="6"/>
      <c r="GU264" s="6"/>
      <c r="GV264" s="6"/>
      <c r="GW264" s="6"/>
      <c r="GX264" s="6"/>
      <c r="GY264" s="6"/>
      <c r="GZ264" s="6"/>
      <c r="HA264" s="6"/>
      <c r="HB264" s="6"/>
      <c r="HC264" s="6"/>
      <c r="HD264" s="6"/>
      <c r="HE264" s="6"/>
      <c r="HF264" s="6"/>
      <c r="HG264" s="6"/>
      <c r="HH264" s="6"/>
      <c r="HI264" s="6"/>
      <c r="HJ264" s="6"/>
      <c r="HK264" s="6"/>
      <c r="HL264" s="6"/>
      <c r="HM264" s="6"/>
      <c r="HN264" s="6"/>
      <c r="HO264" s="6"/>
      <c r="HP264" s="6"/>
    </row>
    <row r="265" spans="3:224" ht="20.100000000000001" customHeight="1">
      <c r="C265" s="11">
        <v>15311004</v>
      </c>
      <c r="D265" s="14" t="s">
        <v>299</v>
      </c>
      <c r="E265" s="14">
        <v>1140003</v>
      </c>
      <c r="F265" s="14">
        <v>13021</v>
      </c>
      <c r="G265" s="14">
        <v>1</v>
      </c>
      <c r="H265" s="14">
        <v>40</v>
      </c>
      <c r="I265" s="22">
        <v>0.2</v>
      </c>
      <c r="J265" s="23">
        <v>15</v>
      </c>
      <c r="K265" s="14">
        <v>0</v>
      </c>
      <c r="L265" s="14">
        <v>1600</v>
      </c>
      <c r="M265" s="14">
        <f t="shared" si="36"/>
        <v>0</v>
      </c>
      <c r="N265" s="14">
        <v>0</v>
      </c>
      <c r="O265" s="14">
        <v>0</v>
      </c>
      <c r="P265" s="14">
        <v>0</v>
      </c>
      <c r="Q265" s="14">
        <f t="shared" si="37"/>
        <v>31</v>
      </c>
      <c r="R265" s="14">
        <v>62</v>
      </c>
      <c r="S265" s="14">
        <f t="shared" si="38"/>
        <v>31</v>
      </c>
      <c r="T265" s="14">
        <v>62</v>
      </c>
      <c r="U265" s="22">
        <v>0</v>
      </c>
      <c r="V265" s="14">
        <v>0</v>
      </c>
      <c r="W265" s="14">
        <v>0</v>
      </c>
      <c r="X265" s="14">
        <v>0</v>
      </c>
      <c r="Y265" s="22">
        <v>0</v>
      </c>
      <c r="Z265" s="22">
        <v>0</v>
      </c>
      <c r="AA265" s="22">
        <v>0</v>
      </c>
      <c r="AB265" s="22">
        <v>0</v>
      </c>
      <c r="AC265" s="22">
        <v>0</v>
      </c>
      <c r="AD265" s="22">
        <v>0</v>
      </c>
      <c r="AE265" s="43"/>
      <c r="GR265" s="6"/>
      <c r="GS265" s="6"/>
      <c r="GT265" s="6"/>
      <c r="GU265" s="6"/>
      <c r="GV265" s="6"/>
      <c r="GW265" s="6"/>
      <c r="GX265" s="6"/>
      <c r="GY265" s="6"/>
      <c r="GZ265" s="6"/>
      <c r="HA265" s="6"/>
      <c r="HB265" s="6"/>
      <c r="HC265" s="6"/>
      <c r="HD265" s="6"/>
      <c r="HE265" s="6"/>
      <c r="HF265" s="6"/>
      <c r="HG265" s="6"/>
      <c r="HH265" s="6"/>
      <c r="HI265" s="6"/>
      <c r="HJ265" s="6"/>
      <c r="HK265" s="6"/>
      <c r="HL265" s="6"/>
      <c r="HM265" s="6"/>
      <c r="HN265" s="6"/>
      <c r="HO265" s="6"/>
      <c r="HP265" s="6"/>
    </row>
    <row r="266" spans="3:224" ht="20.100000000000001" customHeight="1">
      <c r="C266" s="11">
        <v>15311005</v>
      </c>
      <c r="D266" s="14" t="s">
        <v>300</v>
      </c>
      <c r="E266" s="14">
        <v>1140003</v>
      </c>
      <c r="F266" s="14">
        <v>0</v>
      </c>
      <c r="G266" s="14">
        <v>1</v>
      </c>
      <c r="H266" s="14">
        <v>40</v>
      </c>
      <c r="I266" s="22">
        <v>0.2</v>
      </c>
      <c r="J266" s="23">
        <v>15</v>
      </c>
      <c r="K266" s="14">
        <v>0</v>
      </c>
      <c r="L266" s="14">
        <v>4050</v>
      </c>
      <c r="M266" s="14">
        <f t="shared" si="36"/>
        <v>0</v>
      </c>
      <c r="N266" s="14">
        <v>0</v>
      </c>
      <c r="O266" s="14">
        <v>0</v>
      </c>
      <c r="P266" s="14">
        <v>0</v>
      </c>
      <c r="Q266" s="14">
        <f t="shared" si="37"/>
        <v>41</v>
      </c>
      <c r="R266" s="14">
        <v>81</v>
      </c>
      <c r="S266" s="14">
        <f t="shared" si="38"/>
        <v>41</v>
      </c>
      <c r="T266" s="14">
        <v>81</v>
      </c>
      <c r="U266" s="22">
        <v>0</v>
      </c>
      <c r="V266" s="14">
        <v>0</v>
      </c>
      <c r="W266" s="14">
        <v>0</v>
      </c>
      <c r="X266" s="14">
        <v>0</v>
      </c>
      <c r="Y266" s="22">
        <v>0</v>
      </c>
      <c r="Z266" s="22">
        <v>0</v>
      </c>
      <c r="AA266" s="22">
        <v>0</v>
      </c>
      <c r="AB266" s="22">
        <v>0</v>
      </c>
      <c r="AC266" s="22">
        <v>0</v>
      </c>
      <c r="AD266" s="22">
        <v>0</v>
      </c>
      <c r="AE266" s="43"/>
      <c r="GR266" s="6"/>
      <c r="GS266" s="6"/>
      <c r="GT266" s="6"/>
      <c r="GU266" s="6"/>
      <c r="GV266" s="6"/>
      <c r="GW266" s="6"/>
      <c r="GX266" s="6"/>
      <c r="GY266" s="6"/>
      <c r="GZ266" s="6"/>
      <c r="HA266" s="6"/>
      <c r="HB266" s="6"/>
      <c r="HC266" s="6"/>
      <c r="HD266" s="6"/>
      <c r="HE266" s="6"/>
      <c r="HF266" s="6"/>
      <c r="HG266" s="6"/>
      <c r="HH266" s="6"/>
      <c r="HI266" s="6"/>
      <c r="HJ266" s="6"/>
      <c r="HK266" s="6"/>
      <c r="HL266" s="6"/>
      <c r="HM266" s="6"/>
      <c r="HN266" s="6"/>
      <c r="HO266" s="6"/>
      <c r="HP266" s="6"/>
    </row>
    <row r="267" spans="3:224" ht="20.100000000000001" customHeight="1">
      <c r="C267" s="11">
        <v>15311006</v>
      </c>
      <c r="D267" s="14" t="s">
        <v>301</v>
      </c>
      <c r="E267" s="14">
        <v>1140003</v>
      </c>
      <c r="F267" s="14">
        <v>13031</v>
      </c>
      <c r="G267" s="14">
        <v>1</v>
      </c>
      <c r="H267" s="14">
        <v>40</v>
      </c>
      <c r="I267" s="22">
        <v>0.2</v>
      </c>
      <c r="J267" s="23">
        <v>15</v>
      </c>
      <c r="K267" s="14">
        <v>0</v>
      </c>
      <c r="L267" s="14">
        <v>4770</v>
      </c>
      <c r="M267" s="14">
        <f t="shared" si="36"/>
        <v>0</v>
      </c>
      <c r="N267" s="14">
        <v>0</v>
      </c>
      <c r="O267" s="14">
        <v>0</v>
      </c>
      <c r="P267" s="14">
        <v>0</v>
      </c>
      <c r="Q267" s="14">
        <f t="shared" si="37"/>
        <v>52</v>
      </c>
      <c r="R267" s="14">
        <v>104</v>
      </c>
      <c r="S267" s="14">
        <f t="shared" si="38"/>
        <v>52</v>
      </c>
      <c r="T267" s="14">
        <v>104</v>
      </c>
      <c r="U267" s="22">
        <v>0</v>
      </c>
      <c r="V267" s="14">
        <v>0</v>
      </c>
      <c r="W267" s="14">
        <v>0</v>
      </c>
      <c r="X267" s="14">
        <v>0</v>
      </c>
      <c r="Y267" s="22">
        <v>0</v>
      </c>
      <c r="Z267" s="22">
        <v>0</v>
      </c>
      <c r="AA267" s="22">
        <v>0</v>
      </c>
      <c r="AB267" s="22">
        <v>0</v>
      </c>
      <c r="AC267" s="22">
        <v>0</v>
      </c>
      <c r="AD267" s="22">
        <v>0</v>
      </c>
      <c r="AE267" s="43"/>
      <c r="GR267" s="6"/>
      <c r="GS267" s="6"/>
      <c r="GT267" s="6"/>
      <c r="GU267" s="6"/>
      <c r="GV267" s="6"/>
      <c r="GW267" s="6"/>
      <c r="GX267" s="6"/>
      <c r="GY267" s="6"/>
      <c r="GZ267" s="6"/>
      <c r="HA267" s="6"/>
      <c r="HB267" s="6"/>
      <c r="HC267" s="6"/>
      <c r="HD267" s="6"/>
      <c r="HE267" s="6"/>
      <c r="HF267" s="6"/>
      <c r="HG267" s="6"/>
      <c r="HH267" s="6"/>
      <c r="HI267" s="6"/>
      <c r="HJ267" s="6"/>
      <c r="HK267" s="6"/>
      <c r="HL267" s="6"/>
      <c r="HM267" s="6"/>
      <c r="HN267" s="6"/>
      <c r="HO267" s="6"/>
      <c r="HP267" s="6"/>
    </row>
    <row r="268" spans="3:224" ht="20.100000000000001" customHeight="1">
      <c r="C268" s="11">
        <v>15311011</v>
      </c>
      <c r="D268" s="37" t="s">
        <v>302</v>
      </c>
      <c r="E268" s="14">
        <v>1140003</v>
      </c>
      <c r="F268" s="14">
        <v>13011</v>
      </c>
      <c r="G268" s="14">
        <v>1</v>
      </c>
      <c r="H268" s="14">
        <v>40</v>
      </c>
      <c r="I268" s="22">
        <v>0.2</v>
      </c>
      <c r="J268" s="23">
        <v>15</v>
      </c>
      <c r="K268" s="14">
        <v>0</v>
      </c>
      <c r="L268" s="14">
        <v>3660</v>
      </c>
      <c r="M268" s="14">
        <f t="shared" si="36"/>
        <v>0</v>
      </c>
      <c r="N268" s="14">
        <v>0</v>
      </c>
      <c r="O268" s="14">
        <v>0</v>
      </c>
      <c r="P268" s="14">
        <v>0</v>
      </c>
      <c r="Q268" s="14">
        <v>47</v>
      </c>
      <c r="R268" s="14">
        <v>95</v>
      </c>
      <c r="S268" s="14">
        <v>47</v>
      </c>
      <c r="T268" s="14">
        <v>95</v>
      </c>
      <c r="U268" s="22">
        <v>0</v>
      </c>
      <c r="V268" s="14">
        <v>0</v>
      </c>
      <c r="W268" s="14">
        <v>0</v>
      </c>
      <c r="X268" s="14">
        <v>0</v>
      </c>
      <c r="Y268" s="22">
        <v>0</v>
      </c>
      <c r="Z268" s="22">
        <v>0</v>
      </c>
      <c r="AA268" s="22">
        <v>0</v>
      </c>
      <c r="AB268" s="22">
        <v>200103</v>
      </c>
      <c r="AC268" s="22">
        <v>500</v>
      </c>
      <c r="AD268" s="22">
        <v>1</v>
      </c>
      <c r="AE268" s="43"/>
      <c r="GR268" s="6"/>
      <c r="GS268" s="6"/>
      <c r="GT268" s="6"/>
      <c r="GU268" s="6"/>
      <c r="GV268" s="6"/>
      <c r="GW268" s="6"/>
      <c r="GX268" s="6"/>
      <c r="GY268" s="6"/>
      <c r="GZ268" s="6"/>
      <c r="HA268" s="6"/>
      <c r="HB268" s="6"/>
      <c r="HC268" s="6"/>
      <c r="HD268" s="6"/>
      <c r="HE268" s="6"/>
      <c r="HF268" s="6"/>
      <c r="HG268" s="6"/>
      <c r="HH268" s="6"/>
      <c r="HI268" s="6"/>
      <c r="HJ268" s="6"/>
      <c r="HK268" s="6"/>
      <c r="HL268" s="6"/>
      <c r="HM268" s="6"/>
      <c r="HN268" s="6"/>
      <c r="HO268" s="6"/>
      <c r="HP268" s="6"/>
    </row>
    <row r="269" spans="3:224" ht="20.100000000000001" customHeight="1">
      <c r="C269" s="11">
        <v>15311012</v>
      </c>
      <c r="D269" s="37" t="s">
        <v>303</v>
      </c>
      <c r="E269" s="14">
        <v>1140003</v>
      </c>
      <c r="F269" s="14">
        <v>13021</v>
      </c>
      <c r="G269" s="14">
        <v>1</v>
      </c>
      <c r="H269" s="14">
        <v>40</v>
      </c>
      <c r="I269" s="22">
        <v>0.2</v>
      </c>
      <c r="J269" s="23">
        <v>15</v>
      </c>
      <c r="K269" s="14">
        <v>0</v>
      </c>
      <c r="L269" s="14">
        <v>1840</v>
      </c>
      <c r="M269" s="14">
        <f t="shared" si="36"/>
        <v>0</v>
      </c>
      <c r="N269" s="14">
        <v>0</v>
      </c>
      <c r="O269" s="14">
        <v>0</v>
      </c>
      <c r="P269" s="14">
        <v>0</v>
      </c>
      <c r="Q269" s="14">
        <v>35</v>
      </c>
      <c r="R269" s="14">
        <v>72</v>
      </c>
      <c r="S269" s="14">
        <v>35</v>
      </c>
      <c r="T269" s="14">
        <v>72</v>
      </c>
      <c r="U269" s="22">
        <v>0</v>
      </c>
      <c r="V269" s="14">
        <v>0</v>
      </c>
      <c r="W269" s="14">
        <v>0</v>
      </c>
      <c r="X269" s="14">
        <v>0</v>
      </c>
      <c r="Y269" s="22">
        <v>0</v>
      </c>
      <c r="Z269" s="22">
        <v>0</v>
      </c>
      <c r="AA269" s="22">
        <v>0</v>
      </c>
      <c r="AB269" s="22">
        <v>100402</v>
      </c>
      <c r="AC269" s="22">
        <v>500</v>
      </c>
      <c r="AD269" s="22">
        <v>1</v>
      </c>
      <c r="AE269" s="43"/>
      <c r="GR269" s="6"/>
      <c r="GS269" s="6"/>
      <c r="GT269" s="6"/>
      <c r="GU269" s="6"/>
      <c r="GV269" s="6"/>
      <c r="GW269" s="6"/>
      <c r="GX269" s="6"/>
      <c r="GY269" s="6"/>
      <c r="GZ269" s="6"/>
      <c r="HA269" s="6"/>
      <c r="HB269" s="6"/>
      <c r="HC269" s="6"/>
      <c r="HD269" s="6"/>
      <c r="HE269" s="6"/>
      <c r="HF269" s="6"/>
      <c r="HG269" s="6"/>
      <c r="HH269" s="6"/>
      <c r="HI269" s="6"/>
      <c r="HJ269" s="6"/>
      <c r="HK269" s="6"/>
      <c r="HL269" s="6"/>
      <c r="HM269" s="6"/>
      <c r="HN269" s="6"/>
      <c r="HO269" s="6"/>
      <c r="HP269" s="6"/>
    </row>
    <row r="270" spans="3:224" ht="20.100000000000001" customHeight="1">
      <c r="C270" s="11">
        <v>15311013</v>
      </c>
      <c r="D270" s="37" t="s">
        <v>304</v>
      </c>
      <c r="E270" s="14">
        <v>1140003</v>
      </c>
      <c r="F270" s="14">
        <v>13031</v>
      </c>
      <c r="G270" s="14">
        <v>1</v>
      </c>
      <c r="H270" s="14">
        <v>40</v>
      </c>
      <c r="I270" s="22">
        <v>0.2</v>
      </c>
      <c r="J270" s="23">
        <v>15</v>
      </c>
      <c r="K270" s="14">
        <v>0</v>
      </c>
      <c r="L270" s="14">
        <v>5480</v>
      </c>
      <c r="M270" s="14">
        <f t="shared" si="36"/>
        <v>0</v>
      </c>
      <c r="N270" s="14">
        <v>0</v>
      </c>
      <c r="O270" s="14">
        <v>0</v>
      </c>
      <c r="P270" s="14">
        <v>0</v>
      </c>
      <c r="Q270" s="14">
        <v>60</v>
      </c>
      <c r="R270" s="14">
        <v>118</v>
      </c>
      <c r="S270" s="14">
        <v>60</v>
      </c>
      <c r="T270" s="14">
        <v>118</v>
      </c>
      <c r="U270" s="22">
        <v>0</v>
      </c>
      <c r="V270" s="14">
        <v>0</v>
      </c>
      <c r="W270" s="14">
        <v>0</v>
      </c>
      <c r="X270" s="14">
        <v>0</v>
      </c>
      <c r="Y270" s="22">
        <v>0</v>
      </c>
      <c r="Z270" s="22">
        <v>0</v>
      </c>
      <c r="AA270" s="22">
        <v>0</v>
      </c>
      <c r="AB270" s="22">
        <v>0</v>
      </c>
      <c r="AC270" s="22">
        <v>0</v>
      </c>
      <c r="AD270" s="22">
        <v>0</v>
      </c>
      <c r="AE270" s="43"/>
      <c r="GR270" s="6"/>
      <c r="GS270" s="6"/>
      <c r="GT270" s="6"/>
      <c r="GU270" s="6"/>
      <c r="GV270" s="6"/>
      <c r="GW270" s="6"/>
      <c r="GX270" s="6"/>
      <c r="GY270" s="6"/>
      <c r="GZ270" s="6"/>
      <c r="HA270" s="6"/>
      <c r="HB270" s="6"/>
      <c r="HC270" s="6"/>
      <c r="HD270" s="6"/>
      <c r="HE270" s="6"/>
      <c r="HF270" s="6"/>
      <c r="HG270" s="6"/>
      <c r="HH270" s="6"/>
      <c r="HI270" s="6"/>
      <c r="HJ270" s="6"/>
      <c r="HK270" s="6"/>
      <c r="HL270" s="6"/>
      <c r="HM270" s="6"/>
      <c r="HN270" s="6"/>
      <c r="HO270" s="6"/>
      <c r="HP270" s="6"/>
    </row>
    <row r="271" spans="3:224" ht="20.100000000000001" customHeight="1">
      <c r="C271" s="11">
        <v>15401001</v>
      </c>
      <c r="D271" s="14" t="s">
        <v>305</v>
      </c>
      <c r="E271" s="14">
        <v>1140003</v>
      </c>
      <c r="F271" s="14">
        <v>0</v>
      </c>
      <c r="G271" s="14">
        <v>1</v>
      </c>
      <c r="H271" s="14">
        <v>50</v>
      </c>
      <c r="I271" s="22">
        <v>0.2</v>
      </c>
      <c r="J271" s="23">
        <v>20</v>
      </c>
      <c r="K271" s="14">
        <v>0</v>
      </c>
      <c r="L271" s="14">
        <v>0</v>
      </c>
      <c r="M271" s="14">
        <f t="shared" si="36"/>
        <v>33</v>
      </c>
      <c r="N271" s="14">
        <v>65</v>
      </c>
      <c r="O271" s="14">
        <v>0</v>
      </c>
      <c r="P271" s="14">
        <v>0</v>
      </c>
      <c r="Q271" s="14">
        <f t="shared" si="37"/>
        <v>21</v>
      </c>
      <c r="R271" s="14">
        <v>42</v>
      </c>
      <c r="S271" s="14">
        <f t="shared" si="38"/>
        <v>21</v>
      </c>
      <c r="T271" s="14">
        <v>42</v>
      </c>
      <c r="U271" s="22">
        <v>0</v>
      </c>
      <c r="V271" s="14">
        <v>0</v>
      </c>
      <c r="W271" s="14">
        <v>0</v>
      </c>
      <c r="X271" s="14">
        <v>0</v>
      </c>
      <c r="Y271" s="22">
        <v>0</v>
      </c>
      <c r="Z271" s="22">
        <v>0</v>
      </c>
      <c r="AA271" s="22">
        <v>0</v>
      </c>
      <c r="AB271" s="22">
        <v>0</v>
      </c>
      <c r="AC271" s="22">
        <v>0</v>
      </c>
      <c r="AD271" s="22">
        <v>0</v>
      </c>
      <c r="AE271" s="43"/>
      <c r="GR271" s="6"/>
      <c r="GS271" s="6"/>
      <c r="GT271" s="6"/>
      <c r="GU271" s="6"/>
      <c r="GV271" s="6"/>
      <c r="GW271" s="6"/>
      <c r="GX271" s="6"/>
      <c r="GY271" s="6"/>
      <c r="GZ271" s="6"/>
      <c r="HA271" s="6"/>
      <c r="HB271" s="6"/>
      <c r="HC271" s="6"/>
      <c r="HD271" s="6"/>
      <c r="HE271" s="6"/>
      <c r="HF271" s="6"/>
      <c r="HG271" s="6"/>
      <c r="HH271" s="6"/>
      <c r="HI271" s="6"/>
      <c r="HJ271" s="6"/>
      <c r="HK271" s="6"/>
      <c r="HL271" s="6"/>
      <c r="HM271" s="6"/>
      <c r="HN271" s="6"/>
      <c r="HO271" s="6"/>
      <c r="HP271" s="6"/>
    </row>
    <row r="272" spans="3:224" ht="20.100000000000001" customHeight="1">
      <c r="C272" s="11">
        <v>15401002</v>
      </c>
      <c r="D272" s="45" t="s">
        <v>306</v>
      </c>
      <c r="E272" s="14">
        <v>1140003</v>
      </c>
      <c r="F272" s="14">
        <v>14011</v>
      </c>
      <c r="G272" s="14">
        <v>1</v>
      </c>
      <c r="H272" s="14">
        <v>50</v>
      </c>
      <c r="I272" s="22">
        <v>0.2</v>
      </c>
      <c r="J272" s="23">
        <v>20</v>
      </c>
      <c r="K272" s="14">
        <v>0</v>
      </c>
      <c r="L272" s="14">
        <v>0</v>
      </c>
      <c r="M272" s="14">
        <f t="shared" si="36"/>
        <v>43</v>
      </c>
      <c r="N272" s="14">
        <v>85</v>
      </c>
      <c r="O272" s="14">
        <v>0</v>
      </c>
      <c r="P272" s="14">
        <v>0</v>
      </c>
      <c r="Q272" s="14">
        <f t="shared" si="37"/>
        <v>26</v>
      </c>
      <c r="R272" s="14">
        <v>51</v>
      </c>
      <c r="S272" s="14">
        <f t="shared" si="38"/>
        <v>26</v>
      </c>
      <c r="T272" s="14">
        <v>51</v>
      </c>
      <c r="U272" s="22">
        <v>0</v>
      </c>
      <c r="V272" s="14">
        <v>0</v>
      </c>
      <c r="W272" s="14">
        <v>0</v>
      </c>
      <c r="X272" s="14">
        <v>0</v>
      </c>
      <c r="Y272" s="22">
        <v>0</v>
      </c>
      <c r="Z272" s="22">
        <v>0</v>
      </c>
      <c r="AA272" s="22">
        <v>0</v>
      </c>
      <c r="AB272" s="22">
        <v>0</v>
      </c>
      <c r="AC272" s="22">
        <v>0</v>
      </c>
      <c r="AD272" s="22">
        <v>0</v>
      </c>
      <c r="AE272" s="43"/>
      <c r="GR272" s="6"/>
      <c r="GS272" s="6"/>
      <c r="GT272" s="6"/>
      <c r="GU272" s="6"/>
      <c r="GV272" s="6"/>
      <c r="GW272" s="6"/>
      <c r="GX272" s="6"/>
      <c r="GY272" s="6"/>
      <c r="GZ272" s="6"/>
      <c r="HA272" s="6"/>
      <c r="HB272" s="6"/>
      <c r="HC272" s="6"/>
      <c r="HD272" s="6"/>
      <c r="HE272" s="6"/>
      <c r="HF272" s="6"/>
      <c r="HG272" s="6"/>
      <c r="HH272" s="6"/>
      <c r="HI272" s="6"/>
      <c r="HJ272" s="6"/>
      <c r="HK272" s="6"/>
      <c r="HL272" s="6"/>
      <c r="HM272" s="6"/>
      <c r="HN272" s="6"/>
      <c r="HO272" s="6"/>
      <c r="HP272" s="6"/>
    </row>
    <row r="273" spans="3:224" ht="20.100000000000001" customHeight="1">
      <c r="C273" s="11">
        <v>15401003</v>
      </c>
      <c r="D273" s="14" t="s">
        <v>307</v>
      </c>
      <c r="E273" s="14">
        <v>1140003</v>
      </c>
      <c r="F273" s="14">
        <v>0</v>
      </c>
      <c r="G273" s="14">
        <v>1</v>
      </c>
      <c r="H273" s="14">
        <v>50</v>
      </c>
      <c r="I273" s="22">
        <v>0.2</v>
      </c>
      <c r="J273" s="23">
        <v>20</v>
      </c>
      <c r="K273" s="14">
        <v>0</v>
      </c>
      <c r="L273" s="14">
        <v>0</v>
      </c>
      <c r="M273" s="14">
        <f t="shared" si="36"/>
        <v>44</v>
      </c>
      <c r="N273" s="14">
        <v>88</v>
      </c>
      <c r="O273" s="14">
        <v>0</v>
      </c>
      <c r="P273" s="14">
        <v>0</v>
      </c>
      <c r="Q273" s="14">
        <f t="shared" si="37"/>
        <v>16</v>
      </c>
      <c r="R273" s="14">
        <v>32</v>
      </c>
      <c r="S273" s="14">
        <f t="shared" si="38"/>
        <v>16</v>
      </c>
      <c r="T273" s="14">
        <v>32</v>
      </c>
      <c r="U273" s="22">
        <v>0</v>
      </c>
      <c r="V273" s="14">
        <v>0</v>
      </c>
      <c r="W273" s="14">
        <v>0</v>
      </c>
      <c r="X273" s="14">
        <v>0</v>
      </c>
      <c r="Y273" s="22">
        <v>0</v>
      </c>
      <c r="Z273" s="22">
        <v>0</v>
      </c>
      <c r="AA273" s="22">
        <v>0</v>
      </c>
      <c r="AB273" s="22">
        <v>0</v>
      </c>
      <c r="AC273" s="22">
        <v>0</v>
      </c>
      <c r="AD273" s="22">
        <v>0</v>
      </c>
      <c r="AE273" s="43"/>
      <c r="GR273" s="6"/>
      <c r="GS273" s="6"/>
      <c r="GT273" s="6"/>
      <c r="GU273" s="6"/>
      <c r="GV273" s="6"/>
      <c r="GW273" s="6"/>
      <c r="GX273" s="6"/>
      <c r="GY273" s="6"/>
      <c r="GZ273" s="6"/>
      <c r="HA273" s="6"/>
      <c r="HB273" s="6"/>
      <c r="HC273" s="6"/>
      <c r="HD273" s="6"/>
      <c r="HE273" s="6"/>
      <c r="HF273" s="6"/>
      <c r="HG273" s="6"/>
      <c r="HH273" s="6"/>
      <c r="HI273" s="6"/>
      <c r="HJ273" s="6"/>
      <c r="HK273" s="6"/>
      <c r="HL273" s="6"/>
      <c r="HM273" s="6"/>
      <c r="HN273" s="6"/>
      <c r="HO273" s="6"/>
      <c r="HP273" s="6"/>
    </row>
    <row r="274" spans="3:224" ht="20.100000000000001" customHeight="1">
      <c r="C274" s="11">
        <v>15401004</v>
      </c>
      <c r="D274" s="45" t="s">
        <v>308</v>
      </c>
      <c r="E274" s="14">
        <v>1140003</v>
      </c>
      <c r="F274" s="14">
        <v>14021</v>
      </c>
      <c r="G274" s="14">
        <v>1</v>
      </c>
      <c r="H274" s="14">
        <v>50</v>
      </c>
      <c r="I274" s="22">
        <v>0.2</v>
      </c>
      <c r="J274" s="23">
        <v>20</v>
      </c>
      <c r="K274" s="14">
        <v>0</v>
      </c>
      <c r="L274" s="14">
        <v>0</v>
      </c>
      <c r="M274" s="14">
        <f t="shared" ref="M274:M352" si="67">ROUND(N274/2,0)</f>
        <v>58</v>
      </c>
      <c r="N274" s="14">
        <v>115</v>
      </c>
      <c r="O274" s="14">
        <v>0</v>
      </c>
      <c r="P274" s="14">
        <v>0</v>
      </c>
      <c r="Q274" s="14">
        <f t="shared" ref="Q274:Q352" si="68">ROUND(R274/2,0)</f>
        <v>19</v>
      </c>
      <c r="R274" s="14">
        <v>38</v>
      </c>
      <c r="S274" s="14">
        <f t="shared" ref="S274:S352" si="69">ROUND(T274/2,0)</f>
        <v>19</v>
      </c>
      <c r="T274" s="14">
        <v>38</v>
      </c>
      <c r="U274" s="22">
        <v>0</v>
      </c>
      <c r="V274" s="14">
        <v>0</v>
      </c>
      <c r="W274" s="14">
        <v>0</v>
      </c>
      <c r="X274" s="14">
        <v>0</v>
      </c>
      <c r="Y274" s="22">
        <v>0</v>
      </c>
      <c r="Z274" s="22">
        <v>0</v>
      </c>
      <c r="AA274" s="22">
        <v>0</v>
      </c>
      <c r="AB274" s="22">
        <v>0</v>
      </c>
      <c r="AC274" s="22">
        <v>0</v>
      </c>
      <c r="AD274" s="22">
        <v>0</v>
      </c>
      <c r="AE274" s="43"/>
      <c r="GR274" s="6"/>
      <c r="GS274" s="6"/>
      <c r="GT274" s="6"/>
      <c r="GU274" s="6"/>
      <c r="GV274" s="6"/>
      <c r="GW274" s="6"/>
      <c r="GX274" s="6"/>
      <c r="GY274" s="6"/>
      <c r="GZ274" s="6"/>
      <c r="HA274" s="6"/>
      <c r="HB274" s="6"/>
      <c r="HC274" s="6"/>
      <c r="HD274" s="6"/>
      <c r="HE274" s="6"/>
      <c r="HF274" s="6"/>
      <c r="HG274" s="6"/>
      <c r="HH274" s="6"/>
      <c r="HI274" s="6"/>
      <c r="HJ274" s="6"/>
      <c r="HK274" s="6"/>
      <c r="HL274" s="6"/>
      <c r="HM274" s="6"/>
      <c r="HN274" s="6"/>
      <c r="HO274" s="6"/>
      <c r="HP274" s="6"/>
    </row>
    <row r="275" spans="3:224" ht="20.100000000000001" customHeight="1">
      <c r="C275" s="11">
        <v>15401005</v>
      </c>
      <c r="D275" s="14" t="s">
        <v>309</v>
      </c>
      <c r="E275" s="14">
        <v>1140003</v>
      </c>
      <c r="F275" s="14">
        <v>0</v>
      </c>
      <c r="G275" s="14">
        <v>1</v>
      </c>
      <c r="H275" s="14">
        <v>50</v>
      </c>
      <c r="I275" s="22">
        <v>0.2</v>
      </c>
      <c r="J275" s="23">
        <v>20</v>
      </c>
      <c r="K275" s="14">
        <v>0</v>
      </c>
      <c r="L275" s="14">
        <v>0</v>
      </c>
      <c r="M275" s="14">
        <f t="shared" si="67"/>
        <v>25</v>
      </c>
      <c r="N275" s="14">
        <v>49</v>
      </c>
      <c r="O275" s="14">
        <v>0</v>
      </c>
      <c r="P275" s="14">
        <v>0</v>
      </c>
      <c r="Q275" s="14">
        <f t="shared" si="68"/>
        <v>27</v>
      </c>
      <c r="R275" s="14">
        <v>53</v>
      </c>
      <c r="S275" s="14">
        <f t="shared" si="69"/>
        <v>27</v>
      </c>
      <c r="T275" s="14">
        <v>53</v>
      </c>
      <c r="U275" s="22">
        <v>0</v>
      </c>
      <c r="V275" s="14">
        <v>0</v>
      </c>
      <c r="W275" s="14">
        <v>0</v>
      </c>
      <c r="X275" s="14">
        <v>0</v>
      </c>
      <c r="Y275" s="22">
        <v>0</v>
      </c>
      <c r="Z275" s="22">
        <v>0</v>
      </c>
      <c r="AA275" s="22">
        <v>0</v>
      </c>
      <c r="AB275" s="22">
        <v>0</v>
      </c>
      <c r="AC275" s="22">
        <v>0</v>
      </c>
      <c r="AD275" s="22">
        <v>0</v>
      </c>
      <c r="AE275" s="43"/>
      <c r="GR275" s="6"/>
      <c r="GS275" s="6"/>
      <c r="GT275" s="6"/>
      <c r="GU275" s="6"/>
      <c r="GV275" s="6"/>
      <c r="GW275" s="6"/>
      <c r="GX275" s="6"/>
      <c r="GY275" s="6"/>
      <c r="GZ275" s="6"/>
      <c r="HA275" s="6"/>
      <c r="HB275" s="6"/>
      <c r="HC275" s="6"/>
      <c r="HD275" s="6"/>
      <c r="HE275" s="6"/>
      <c r="HF275" s="6"/>
      <c r="HG275" s="6"/>
      <c r="HH275" s="6"/>
      <c r="HI275" s="6"/>
      <c r="HJ275" s="6"/>
      <c r="HK275" s="6"/>
      <c r="HL275" s="6"/>
      <c r="HM275" s="6"/>
      <c r="HN275" s="6"/>
      <c r="HO275" s="6"/>
      <c r="HP275" s="6"/>
    </row>
    <row r="276" spans="3:224" ht="20.100000000000001" customHeight="1">
      <c r="C276" s="11">
        <v>15401006</v>
      </c>
      <c r="D276" s="45" t="s">
        <v>310</v>
      </c>
      <c r="E276" s="14">
        <v>1140003</v>
      </c>
      <c r="F276" s="14">
        <v>14031</v>
      </c>
      <c r="G276" s="14">
        <v>1</v>
      </c>
      <c r="H276" s="14">
        <v>50</v>
      </c>
      <c r="I276" s="22">
        <v>0.2</v>
      </c>
      <c r="J276" s="23">
        <v>20</v>
      </c>
      <c r="K276" s="14">
        <v>0</v>
      </c>
      <c r="L276" s="14">
        <v>0</v>
      </c>
      <c r="M276" s="14">
        <f t="shared" si="67"/>
        <v>32</v>
      </c>
      <c r="N276" s="14">
        <v>64</v>
      </c>
      <c r="O276" s="14">
        <v>0</v>
      </c>
      <c r="P276" s="14">
        <v>0</v>
      </c>
      <c r="Q276" s="14">
        <f t="shared" si="68"/>
        <v>32</v>
      </c>
      <c r="R276" s="14">
        <v>64</v>
      </c>
      <c r="S276" s="14">
        <f t="shared" si="69"/>
        <v>32</v>
      </c>
      <c r="T276" s="14">
        <v>64</v>
      </c>
      <c r="U276" s="22">
        <v>0</v>
      </c>
      <c r="V276" s="14">
        <v>0</v>
      </c>
      <c r="W276" s="14">
        <v>0</v>
      </c>
      <c r="X276" s="14">
        <v>0</v>
      </c>
      <c r="Y276" s="22">
        <v>0</v>
      </c>
      <c r="Z276" s="22">
        <v>0</v>
      </c>
      <c r="AA276" s="22">
        <v>0</v>
      </c>
      <c r="AB276" s="22">
        <v>0</v>
      </c>
      <c r="AC276" s="22">
        <v>0</v>
      </c>
      <c r="AD276" s="22">
        <v>0</v>
      </c>
      <c r="AE276" s="43"/>
      <c r="GR276" s="6"/>
      <c r="GS276" s="6"/>
      <c r="GT276" s="6"/>
      <c r="GU276" s="6"/>
      <c r="GV276" s="6"/>
      <c r="GW276" s="6"/>
      <c r="GX276" s="6"/>
      <c r="GY276" s="6"/>
      <c r="GZ276" s="6"/>
      <c r="HA276" s="6"/>
      <c r="HB276" s="6"/>
      <c r="HC276" s="6"/>
      <c r="HD276" s="6"/>
      <c r="HE276" s="6"/>
      <c r="HF276" s="6"/>
      <c r="HG276" s="6"/>
      <c r="HH276" s="6"/>
      <c r="HI276" s="6"/>
      <c r="HJ276" s="6"/>
      <c r="HK276" s="6"/>
      <c r="HL276" s="6"/>
      <c r="HM276" s="6"/>
      <c r="HN276" s="6"/>
      <c r="HO276" s="6"/>
      <c r="HP276" s="6"/>
    </row>
    <row r="277" spans="3:224" s="4" customFormat="1" ht="20.100000000000001" customHeight="1">
      <c r="C277" s="17">
        <v>15401007</v>
      </c>
      <c r="D277" s="42" t="s">
        <v>311</v>
      </c>
      <c r="E277" s="19">
        <v>1140003</v>
      </c>
      <c r="F277" s="19">
        <v>0</v>
      </c>
      <c r="G277" s="19">
        <v>1</v>
      </c>
      <c r="H277" s="19">
        <v>50</v>
      </c>
      <c r="I277" s="26">
        <v>0.2</v>
      </c>
      <c r="J277" s="23">
        <v>20</v>
      </c>
      <c r="K277" s="19">
        <v>0</v>
      </c>
      <c r="L277" s="19">
        <v>0</v>
      </c>
      <c r="M277" s="19">
        <f t="shared" ref="M277" si="70">ROUND(N277/2,0)</f>
        <v>40</v>
      </c>
      <c r="N277" s="19">
        <v>80</v>
      </c>
      <c r="O277" s="19">
        <v>0</v>
      </c>
      <c r="P277" s="19">
        <v>0</v>
      </c>
      <c r="Q277" s="19">
        <f t="shared" ref="Q277" si="71">ROUND(R277/2,0)</f>
        <v>36</v>
      </c>
      <c r="R277" s="19">
        <v>72</v>
      </c>
      <c r="S277" s="19">
        <f t="shared" ref="S277" si="72">ROUND(T277/2,0)</f>
        <v>36</v>
      </c>
      <c r="T277" s="19">
        <v>72</v>
      </c>
      <c r="U277" s="26">
        <v>0</v>
      </c>
      <c r="V277" s="19">
        <v>0</v>
      </c>
      <c r="W277" s="19">
        <v>0</v>
      </c>
      <c r="X277" s="19">
        <v>0</v>
      </c>
      <c r="Y277" s="26">
        <v>0</v>
      </c>
      <c r="Z277" s="26">
        <v>0</v>
      </c>
      <c r="AA277" s="26">
        <v>0</v>
      </c>
      <c r="AB277" s="26">
        <v>200103</v>
      </c>
      <c r="AC277" s="26">
        <v>300</v>
      </c>
      <c r="AD277" s="26">
        <v>1</v>
      </c>
      <c r="AE277" s="47"/>
      <c r="AF277" s="34"/>
      <c r="AG277" s="34"/>
      <c r="AH277" s="34"/>
      <c r="AI277" s="34"/>
      <c r="AJ277" s="34"/>
      <c r="AK277" s="34"/>
      <c r="AL277" s="34"/>
      <c r="AM277" s="34"/>
      <c r="AN277" s="34"/>
      <c r="AO277" s="34"/>
      <c r="AP277" s="34"/>
      <c r="AQ277" s="34"/>
      <c r="AR277" s="34"/>
      <c r="AS277" s="34"/>
      <c r="AT277" s="34"/>
      <c r="AU277" s="34"/>
      <c r="AV277" s="34"/>
      <c r="AW277" s="34"/>
      <c r="AX277" s="34"/>
      <c r="AY277" s="34"/>
      <c r="AZ277" s="34"/>
      <c r="BA277" s="34"/>
      <c r="BB277" s="34"/>
      <c r="BC277" s="34"/>
      <c r="BD277" s="34"/>
      <c r="BE277" s="34"/>
      <c r="BF277" s="34"/>
      <c r="BG277" s="34"/>
      <c r="BH277" s="34"/>
      <c r="BI277" s="34"/>
      <c r="BJ277" s="34"/>
      <c r="BK277" s="34"/>
      <c r="BL277" s="34"/>
      <c r="BM277" s="34"/>
      <c r="BN277" s="34"/>
      <c r="BO277" s="34"/>
      <c r="BP277" s="34"/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  <c r="CE277" s="34"/>
      <c r="CF277" s="34"/>
      <c r="CG277" s="34"/>
      <c r="CH277" s="34"/>
      <c r="CI277" s="34"/>
      <c r="CJ277" s="34"/>
      <c r="CK277" s="34"/>
      <c r="CL277" s="34"/>
      <c r="CM277" s="34"/>
      <c r="CN277" s="34"/>
      <c r="CO277" s="34"/>
      <c r="CP277" s="34"/>
      <c r="CQ277" s="34"/>
      <c r="CR277" s="34"/>
      <c r="CS277" s="34"/>
      <c r="CT277" s="34"/>
      <c r="CU277" s="34"/>
      <c r="CV277" s="34"/>
      <c r="CW277" s="34"/>
      <c r="CX277" s="34"/>
      <c r="CY277" s="34"/>
      <c r="CZ277" s="34"/>
      <c r="DA277" s="34"/>
      <c r="DB277" s="34"/>
      <c r="DC277" s="34"/>
      <c r="DD277" s="34"/>
      <c r="DE277" s="34"/>
      <c r="DF277" s="34"/>
      <c r="DG277" s="34"/>
      <c r="DH277" s="34"/>
      <c r="DI277" s="34"/>
      <c r="DJ277" s="34"/>
      <c r="DK277" s="34"/>
      <c r="DL277" s="34"/>
      <c r="DM277" s="34"/>
      <c r="DN277" s="34"/>
      <c r="DO277" s="34"/>
      <c r="DP277" s="34"/>
      <c r="DQ277" s="34"/>
      <c r="DR277" s="34"/>
      <c r="DS277" s="34"/>
      <c r="DT277" s="34"/>
      <c r="DU277" s="34"/>
      <c r="DV277" s="34"/>
      <c r="DW277" s="34"/>
      <c r="DX277" s="34"/>
      <c r="DY277" s="34"/>
      <c r="DZ277" s="34"/>
      <c r="EA277" s="34"/>
      <c r="EB277" s="34"/>
      <c r="EC277" s="34"/>
      <c r="ED277" s="34"/>
      <c r="EE277" s="34"/>
      <c r="EF277" s="34"/>
      <c r="EG277" s="34"/>
      <c r="EH277" s="34"/>
      <c r="EI277" s="34"/>
      <c r="EJ277" s="34"/>
      <c r="EK277" s="34"/>
      <c r="EL277" s="34"/>
      <c r="EM277" s="34"/>
      <c r="EN277" s="34"/>
      <c r="EO277" s="34"/>
      <c r="EP277" s="34"/>
      <c r="EQ277" s="34"/>
      <c r="ER277" s="34"/>
      <c r="ES277" s="34"/>
      <c r="ET277" s="34"/>
      <c r="EU277" s="34"/>
      <c r="EV277" s="34"/>
      <c r="EW277" s="34"/>
      <c r="EX277" s="34"/>
      <c r="EY277" s="34"/>
      <c r="EZ277" s="34"/>
      <c r="FA277" s="34"/>
      <c r="FB277" s="34"/>
      <c r="FC277" s="34"/>
      <c r="FD277" s="34"/>
      <c r="FE277" s="34"/>
      <c r="FF277" s="34"/>
      <c r="FG277" s="34"/>
      <c r="FH277" s="34"/>
      <c r="FI277" s="34"/>
      <c r="FJ277" s="34"/>
      <c r="FK277" s="34"/>
      <c r="FL277" s="34"/>
      <c r="FM277" s="34"/>
      <c r="FN277" s="34"/>
      <c r="FO277" s="34"/>
      <c r="FP277" s="34"/>
      <c r="FQ277" s="34"/>
      <c r="FR277" s="34"/>
      <c r="FS277" s="34"/>
      <c r="FT277" s="34"/>
      <c r="FU277" s="34"/>
      <c r="FV277" s="34"/>
      <c r="FW277" s="34"/>
      <c r="FX277" s="34"/>
      <c r="FY277" s="34"/>
      <c r="FZ277" s="34"/>
      <c r="GA277" s="34"/>
      <c r="GB277" s="34"/>
      <c r="GC277" s="34"/>
      <c r="GD277" s="34"/>
      <c r="GE277" s="34"/>
      <c r="GF277" s="34"/>
      <c r="GG277" s="34"/>
      <c r="GH277" s="34"/>
      <c r="GI277" s="34"/>
      <c r="GJ277" s="34"/>
      <c r="GK277" s="34"/>
      <c r="GL277" s="34"/>
      <c r="GM277" s="34"/>
      <c r="GN277" s="34"/>
      <c r="GO277" s="34"/>
      <c r="GP277" s="34"/>
      <c r="GQ277" s="34"/>
      <c r="GR277" s="34"/>
      <c r="GS277" s="34"/>
      <c r="GT277" s="34"/>
      <c r="GU277" s="34"/>
      <c r="GV277" s="34"/>
      <c r="GW277" s="34"/>
      <c r="GX277" s="34"/>
      <c r="GY277" s="34"/>
      <c r="GZ277" s="34"/>
      <c r="HA277" s="34"/>
      <c r="HB277" s="34"/>
      <c r="HC277" s="34"/>
      <c r="HD277" s="34"/>
      <c r="HE277" s="34"/>
      <c r="HF277" s="34"/>
      <c r="HG277" s="34"/>
      <c r="HH277" s="34"/>
      <c r="HI277" s="34"/>
      <c r="HJ277" s="34"/>
      <c r="HK277" s="34"/>
      <c r="HL277" s="34"/>
      <c r="HM277" s="34"/>
      <c r="HN277" s="34"/>
      <c r="HO277" s="34"/>
      <c r="HP277" s="34"/>
    </row>
    <row r="278" spans="3:224" ht="20.100000000000001" customHeight="1">
      <c r="C278" s="11">
        <v>15402001</v>
      </c>
      <c r="D278" s="14" t="s">
        <v>312</v>
      </c>
      <c r="E278" s="14">
        <v>1140003</v>
      </c>
      <c r="F278" s="14">
        <v>0</v>
      </c>
      <c r="G278" s="14">
        <v>1</v>
      </c>
      <c r="H278" s="14">
        <v>50</v>
      </c>
      <c r="I278" s="22">
        <v>0.2</v>
      </c>
      <c r="J278" s="23">
        <v>20</v>
      </c>
      <c r="K278" s="14">
        <v>0</v>
      </c>
      <c r="L278" s="14">
        <v>0</v>
      </c>
      <c r="M278" s="14">
        <f t="shared" si="67"/>
        <v>45</v>
      </c>
      <c r="N278" s="14">
        <v>90</v>
      </c>
      <c r="O278" s="14">
        <v>0</v>
      </c>
      <c r="P278" s="14">
        <v>0</v>
      </c>
      <c r="Q278" s="14">
        <f t="shared" si="68"/>
        <v>0</v>
      </c>
      <c r="R278" s="14">
        <v>0</v>
      </c>
      <c r="S278" s="14">
        <f t="shared" si="69"/>
        <v>60</v>
      </c>
      <c r="T278" s="14">
        <v>120</v>
      </c>
      <c r="U278" s="22">
        <v>0</v>
      </c>
      <c r="V278" s="14">
        <v>0</v>
      </c>
      <c r="W278" s="14">
        <v>0</v>
      </c>
      <c r="X278" s="14">
        <v>0</v>
      </c>
      <c r="Y278" s="22">
        <v>0</v>
      </c>
      <c r="Z278" s="22">
        <v>0</v>
      </c>
      <c r="AA278" s="22">
        <v>0</v>
      </c>
      <c r="AB278" s="22">
        <v>0</v>
      </c>
      <c r="AC278" s="22">
        <v>0</v>
      </c>
      <c r="AD278" s="22">
        <v>0</v>
      </c>
      <c r="AE278" s="43"/>
      <c r="GR278" s="6"/>
      <c r="GS278" s="6"/>
      <c r="GT278" s="6"/>
      <c r="GU278" s="6"/>
      <c r="GV278" s="6"/>
      <c r="GW278" s="6"/>
      <c r="GX278" s="6"/>
      <c r="GY278" s="6"/>
      <c r="GZ278" s="6"/>
      <c r="HA278" s="6"/>
      <c r="HB278" s="6"/>
      <c r="HC278" s="6"/>
      <c r="HD278" s="6"/>
      <c r="HE278" s="6"/>
      <c r="HF278" s="6"/>
      <c r="HG278" s="6"/>
      <c r="HH278" s="6"/>
      <c r="HI278" s="6"/>
      <c r="HJ278" s="6"/>
      <c r="HK278" s="6"/>
      <c r="HL278" s="6"/>
      <c r="HM278" s="6"/>
      <c r="HN278" s="6"/>
      <c r="HO278" s="6"/>
      <c r="HP278" s="6"/>
    </row>
    <row r="279" spans="3:224" ht="20.100000000000001" customHeight="1">
      <c r="C279" s="11">
        <v>15402002</v>
      </c>
      <c r="D279" s="14" t="s">
        <v>313</v>
      </c>
      <c r="E279" s="14">
        <v>1140003</v>
      </c>
      <c r="F279" s="14">
        <v>14011</v>
      </c>
      <c r="G279" s="14">
        <v>1</v>
      </c>
      <c r="H279" s="14">
        <v>50</v>
      </c>
      <c r="I279" s="22">
        <v>0.2</v>
      </c>
      <c r="J279" s="23">
        <v>20</v>
      </c>
      <c r="K279" s="14">
        <v>0</v>
      </c>
      <c r="L279" s="14">
        <v>0</v>
      </c>
      <c r="M279" s="14">
        <f t="shared" si="67"/>
        <v>56</v>
      </c>
      <c r="N279" s="14">
        <v>111</v>
      </c>
      <c r="O279" s="14">
        <v>0</v>
      </c>
      <c r="P279" s="14">
        <v>0</v>
      </c>
      <c r="Q279" s="14">
        <f t="shared" si="68"/>
        <v>0</v>
      </c>
      <c r="R279" s="14">
        <v>0</v>
      </c>
      <c r="S279" s="14">
        <f t="shared" si="69"/>
        <v>77</v>
      </c>
      <c r="T279" s="14">
        <v>153</v>
      </c>
      <c r="U279" s="22">
        <v>0</v>
      </c>
      <c r="V279" s="14">
        <v>0</v>
      </c>
      <c r="W279" s="14">
        <v>0</v>
      </c>
      <c r="X279" s="14">
        <v>0</v>
      </c>
      <c r="Y279" s="22">
        <v>0</v>
      </c>
      <c r="Z279" s="22">
        <v>0</v>
      </c>
      <c r="AA279" s="22">
        <v>0</v>
      </c>
      <c r="AB279" s="22">
        <v>0</v>
      </c>
      <c r="AC279" s="22">
        <v>0</v>
      </c>
      <c r="AD279" s="22">
        <v>0</v>
      </c>
      <c r="AE279" s="43"/>
      <c r="GR279" s="6"/>
      <c r="GS279" s="6"/>
      <c r="GT279" s="6"/>
      <c r="GU279" s="6"/>
      <c r="GV279" s="6"/>
      <c r="GW279" s="6"/>
      <c r="GX279" s="6"/>
      <c r="GY279" s="6"/>
      <c r="GZ279" s="6"/>
      <c r="HA279" s="6"/>
      <c r="HB279" s="6"/>
      <c r="HC279" s="6"/>
      <c r="HD279" s="6"/>
      <c r="HE279" s="6"/>
      <c r="HF279" s="6"/>
      <c r="HG279" s="6"/>
      <c r="HH279" s="6"/>
      <c r="HI279" s="6"/>
      <c r="HJ279" s="6"/>
      <c r="HK279" s="6"/>
      <c r="HL279" s="6"/>
      <c r="HM279" s="6"/>
      <c r="HN279" s="6"/>
      <c r="HO279" s="6"/>
      <c r="HP279" s="6"/>
    </row>
    <row r="280" spans="3:224" ht="20.100000000000001" customHeight="1">
      <c r="C280" s="11">
        <v>15402003</v>
      </c>
      <c r="D280" s="14" t="s">
        <v>314</v>
      </c>
      <c r="E280" s="14">
        <v>1140003</v>
      </c>
      <c r="F280" s="14">
        <v>0</v>
      </c>
      <c r="G280" s="14">
        <v>1</v>
      </c>
      <c r="H280" s="14">
        <v>50</v>
      </c>
      <c r="I280" s="22">
        <v>0.2</v>
      </c>
      <c r="J280" s="23">
        <v>20</v>
      </c>
      <c r="K280" s="14">
        <v>0</v>
      </c>
      <c r="L280" s="14">
        <v>0</v>
      </c>
      <c r="M280" s="14">
        <f t="shared" si="67"/>
        <v>61</v>
      </c>
      <c r="N280" s="14">
        <v>122</v>
      </c>
      <c r="O280" s="14">
        <v>0</v>
      </c>
      <c r="P280" s="14">
        <v>0</v>
      </c>
      <c r="Q280" s="14">
        <f t="shared" si="68"/>
        <v>0</v>
      </c>
      <c r="R280" s="14">
        <v>0</v>
      </c>
      <c r="S280" s="14">
        <f t="shared" si="69"/>
        <v>45</v>
      </c>
      <c r="T280" s="14">
        <v>90</v>
      </c>
      <c r="U280" s="22">
        <v>0</v>
      </c>
      <c r="V280" s="14">
        <v>0</v>
      </c>
      <c r="W280" s="14">
        <v>0</v>
      </c>
      <c r="X280" s="14">
        <v>0</v>
      </c>
      <c r="Y280" s="22">
        <v>0</v>
      </c>
      <c r="Z280" s="22">
        <v>0</v>
      </c>
      <c r="AA280" s="22">
        <v>0</v>
      </c>
      <c r="AB280" s="22">
        <v>0</v>
      </c>
      <c r="AC280" s="22">
        <v>0</v>
      </c>
      <c r="AD280" s="22">
        <v>0</v>
      </c>
      <c r="AE280" s="43"/>
      <c r="GR280" s="6"/>
      <c r="GS280" s="6"/>
      <c r="GT280" s="6"/>
      <c r="GU280" s="6"/>
      <c r="GV280" s="6"/>
      <c r="GW280" s="6"/>
      <c r="GX280" s="6"/>
      <c r="GY280" s="6"/>
      <c r="GZ280" s="6"/>
      <c r="HA280" s="6"/>
      <c r="HB280" s="6"/>
      <c r="HC280" s="6"/>
      <c r="HD280" s="6"/>
      <c r="HE280" s="6"/>
      <c r="HF280" s="6"/>
      <c r="HG280" s="6"/>
      <c r="HH280" s="6"/>
      <c r="HI280" s="6"/>
      <c r="HJ280" s="6"/>
      <c r="HK280" s="6"/>
      <c r="HL280" s="6"/>
      <c r="HM280" s="6"/>
      <c r="HN280" s="6"/>
      <c r="HO280" s="6"/>
      <c r="HP280" s="6"/>
    </row>
    <row r="281" spans="3:224" ht="20.100000000000001" customHeight="1">
      <c r="C281" s="11">
        <v>15402004</v>
      </c>
      <c r="D281" s="14" t="s">
        <v>315</v>
      </c>
      <c r="E281" s="14">
        <v>1140003</v>
      </c>
      <c r="F281" s="14">
        <v>14021</v>
      </c>
      <c r="G281" s="14">
        <v>1</v>
      </c>
      <c r="H281" s="14">
        <v>50</v>
      </c>
      <c r="I281" s="22">
        <v>0.2</v>
      </c>
      <c r="J281" s="23">
        <v>20</v>
      </c>
      <c r="K281" s="14">
        <v>0</v>
      </c>
      <c r="L281" s="14">
        <v>0</v>
      </c>
      <c r="M281" s="14">
        <f t="shared" si="67"/>
        <v>75</v>
      </c>
      <c r="N281" s="14">
        <v>150</v>
      </c>
      <c r="O281" s="14">
        <v>0</v>
      </c>
      <c r="P281" s="14">
        <v>0</v>
      </c>
      <c r="Q281" s="14">
        <f t="shared" si="68"/>
        <v>0</v>
      </c>
      <c r="R281" s="14">
        <v>0</v>
      </c>
      <c r="S281" s="14">
        <f t="shared" si="69"/>
        <v>58</v>
      </c>
      <c r="T281" s="14">
        <v>115</v>
      </c>
      <c r="U281" s="22">
        <v>0</v>
      </c>
      <c r="V281" s="14">
        <v>0</v>
      </c>
      <c r="W281" s="14">
        <v>0</v>
      </c>
      <c r="X281" s="14">
        <v>0</v>
      </c>
      <c r="Y281" s="22">
        <v>0</v>
      </c>
      <c r="Z281" s="22">
        <v>0</v>
      </c>
      <c r="AA281" s="22">
        <v>0</v>
      </c>
      <c r="AB281" s="22">
        <v>0</v>
      </c>
      <c r="AC281" s="22">
        <v>0</v>
      </c>
      <c r="AD281" s="22">
        <v>0</v>
      </c>
      <c r="AE281" s="43"/>
      <c r="GR281" s="6"/>
      <c r="GS281" s="6"/>
      <c r="GT281" s="6"/>
      <c r="GU281" s="6"/>
      <c r="GV281" s="6"/>
      <c r="GW281" s="6"/>
      <c r="GX281" s="6"/>
      <c r="GY281" s="6"/>
      <c r="GZ281" s="6"/>
      <c r="HA281" s="6"/>
      <c r="HB281" s="6"/>
      <c r="HC281" s="6"/>
      <c r="HD281" s="6"/>
      <c r="HE281" s="6"/>
      <c r="HF281" s="6"/>
      <c r="HG281" s="6"/>
      <c r="HH281" s="6"/>
      <c r="HI281" s="6"/>
      <c r="HJ281" s="6"/>
      <c r="HK281" s="6"/>
      <c r="HL281" s="6"/>
      <c r="HM281" s="6"/>
      <c r="HN281" s="6"/>
      <c r="HO281" s="6"/>
      <c r="HP281" s="6"/>
    </row>
    <row r="282" spans="3:224" ht="20.100000000000001" customHeight="1">
      <c r="C282" s="11">
        <v>15402005</v>
      </c>
      <c r="D282" s="14" t="s">
        <v>316</v>
      </c>
      <c r="E282" s="14">
        <v>1140003</v>
      </c>
      <c r="F282" s="14">
        <v>0</v>
      </c>
      <c r="G282" s="14">
        <v>1</v>
      </c>
      <c r="H282" s="14">
        <v>50</v>
      </c>
      <c r="I282" s="22">
        <v>0.2</v>
      </c>
      <c r="J282" s="23">
        <v>20</v>
      </c>
      <c r="K282" s="14">
        <v>0</v>
      </c>
      <c r="L282" s="14">
        <v>0</v>
      </c>
      <c r="M282" s="14">
        <f t="shared" si="67"/>
        <v>34</v>
      </c>
      <c r="N282" s="14">
        <v>68</v>
      </c>
      <c r="O282" s="14">
        <v>0</v>
      </c>
      <c r="P282" s="14">
        <v>0</v>
      </c>
      <c r="Q282" s="14">
        <f t="shared" si="68"/>
        <v>0</v>
      </c>
      <c r="R282" s="14">
        <v>0</v>
      </c>
      <c r="S282" s="14">
        <f t="shared" si="69"/>
        <v>75</v>
      </c>
      <c r="T282" s="14">
        <v>150</v>
      </c>
      <c r="U282" s="22">
        <v>0</v>
      </c>
      <c r="V282" s="14">
        <v>0</v>
      </c>
      <c r="W282" s="14">
        <v>0</v>
      </c>
      <c r="X282" s="14">
        <v>0</v>
      </c>
      <c r="Y282" s="22">
        <v>0</v>
      </c>
      <c r="Z282" s="22">
        <v>0</v>
      </c>
      <c r="AA282" s="22">
        <v>0</v>
      </c>
      <c r="AB282" s="22">
        <v>0</v>
      </c>
      <c r="AC282" s="22">
        <v>0</v>
      </c>
      <c r="AD282" s="22">
        <v>0</v>
      </c>
      <c r="AE282" s="43"/>
      <c r="GR282" s="6"/>
      <c r="GS282" s="6"/>
      <c r="GT282" s="6"/>
      <c r="GU282" s="6"/>
      <c r="GV282" s="6"/>
      <c r="GW282" s="6"/>
      <c r="GX282" s="6"/>
      <c r="GY282" s="6"/>
      <c r="GZ282" s="6"/>
      <c r="HA282" s="6"/>
      <c r="HB282" s="6"/>
      <c r="HC282" s="6"/>
      <c r="HD282" s="6"/>
      <c r="HE282" s="6"/>
      <c r="HF282" s="6"/>
      <c r="HG282" s="6"/>
      <c r="HH282" s="6"/>
      <c r="HI282" s="6"/>
      <c r="HJ282" s="6"/>
      <c r="HK282" s="6"/>
      <c r="HL282" s="6"/>
      <c r="HM282" s="6"/>
      <c r="HN282" s="6"/>
      <c r="HO282" s="6"/>
      <c r="HP282" s="6"/>
    </row>
    <row r="283" spans="3:224" ht="20.100000000000001" customHeight="1">
      <c r="C283" s="11">
        <v>15402006</v>
      </c>
      <c r="D283" s="14" t="s">
        <v>317</v>
      </c>
      <c r="E283" s="14">
        <v>1140003</v>
      </c>
      <c r="F283" s="14">
        <v>14031</v>
      </c>
      <c r="G283" s="14">
        <v>1</v>
      </c>
      <c r="H283" s="14">
        <v>50</v>
      </c>
      <c r="I283" s="22">
        <v>0.2</v>
      </c>
      <c r="J283" s="23">
        <v>20</v>
      </c>
      <c r="K283" s="14">
        <v>0</v>
      </c>
      <c r="L283" s="14">
        <v>0</v>
      </c>
      <c r="M283" s="14">
        <f t="shared" si="67"/>
        <v>42</v>
      </c>
      <c r="N283" s="14">
        <v>83</v>
      </c>
      <c r="O283" s="14">
        <v>0</v>
      </c>
      <c r="P283" s="14">
        <v>0</v>
      </c>
      <c r="Q283" s="14">
        <f t="shared" si="68"/>
        <v>0</v>
      </c>
      <c r="R283" s="14">
        <v>0</v>
      </c>
      <c r="S283" s="14">
        <f t="shared" si="69"/>
        <v>96</v>
      </c>
      <c r="T283" s="14">
        <v>191</v>
      </c>
      <c r="U283" s="22">
        <v>0</v>
      </c>
      <c r="V283" s="14">
        <v>0</v>
      </c>
      <c r="W283" s="14">
        <v>0</v>
      </c>
      <c r="X283" s="14">
        <v>0</v>
      </c>
      <c r="Y283" s="22">
        <v>0</v>
      </c>
      <c r="Z283" s="22">
        <v>0</v>
      </c>
      <c r="AA283" s="22">
        <v>0</v>
      </c>
      <c r="AB283" s="22">
        <v>0</v>
      </c>
      <c r="AC283" s="22">
        <v>0</v>
      </c>
      <c r="AD283" s="22">
        <v>0</v>
      </c>
      <c r="AE283" s="43"/>
      <c r="GR283" s="6"/>
      <c r="GS283" s="6"/>
      <c r="GT283" s="6"/>
      <c r="GU283" s="6"/>
      <c r="GV283" s="6"/>
      <c r="GW283" s="6"/>
      <c r="GX283" s="6"/>
      <c r="GY283" s="6"/>
      <c r="GZ283" s="6"/>
      <c r="HA283" s="6"/>
      <c r="HB283" s="6"/>
      <c r="HC283" s="6"/>
      <c r="HD283" s="6"/>
      <c r="HE283" s="6"/>
      <c r="HF283" s="6"/>
      <c r="HG283" s="6"/>
      <c r="HH283" s="6"/>
      <c r="HI283" s="6"/>
      <c r="HJ283" s="6"/>
      <c r="HK283" s="6"/>
      <c r="HL283" s="6"/>
      <c r="HM283" s="6"/>
      <c r="HN283" s="6"/>
      <c r="HO283" s="6"/>
      <c r="HP283" s="6"/>
    </row>
    <row r="284" spans="3:224" ht="20.100000000000001" customHeight="1">
      <c r="C284" s="11">
        <v>15403001</v>
      </c>
      <c r="D284" s="14" t="s">
        <v>318</v>
      </c>
      <c r="E284" s="14">
        <v>1140003</v>
      </c>
      <c r="F284" s="14">
        <v>0</v>
      </c>
      <c r="G284" s="14">
        <v>1</v>
      </c>
      <c r="H284" s="14">
        <v>50</v>
      </c>
      <c r="I284" s="22">
        <v>0.2</v>
      </c>
      <c r="J284" s="23">
        <v>20</v>
      </c>
      <c r="K284" s="14">
        <v>0</v>
      </c>
      <c r="L284" s="14">
        <v>1480</v>
      </c>
      <c r="M284" s="14">
        <f t="shared" si="67"/>
        <v>25</v>
      </c>
      <c r="N284" s="14">
        <v>50</v>
      </c>
      <c r="O284" s="14">
        <v>0</v>
      </c>
      <c r="P284" s="14">
        <v>0</v>
      </c>
      <c r="Q284" s="14">
        <f t="shared" si="68"/>
        <v>43</v>
      </c>
      <c r="R284" s="14">
        <v>85</v>
      </c>
      <c r="S284" s="14">
        <f t="shared" si="69"/>
        <v>0</v>
      </c>
      <c r="T284" s="14">
        <v>0</v>
      </c>
      <c r="U284" s="22">
        <v>0</v>
      </c>
      <c r="V284" s="14">
        <v>0</v>
      </c>
      <c r="W284" s="14">
        <v>0</v>
      </c>
      <c r="X284" s="14">
        <v>0</v>
      </c>
      <c r="Y284" s="22">
        <v>0</v>
      </c>
      <c r="Z284" s="22">
        <v>0</v>
      </c>
      <c r="AA284" s="22">
        <v>0</v>
      </c>
      <c r="AB284" s="22">
        <v>0</v>
      </c>
      <c r="AC284" s="22">
        <v>0</v>
      </c>
      <c r="AD284" s="22">
        <v>0</v>
      </c>
      <c r="AE284" s="43"/>
      <c r="GR284" s="6"/>
      <c r="GS284" s="6"/>
      <c r="GT284" s="6"/>
      <c r="GU284" s="6"/>
      <c r="GV284" s="6"/>
      <c r="GW284" s="6"/>
      <c r="GX284" s="6"/>
      <c r="GY284" s="6"/>
      <c r="GZ284" s="6"/>
      <c r="HA284" s="6"/>
      <c r="HB284" s="6"/>
      <c r="HC284" s="6"/>
      <c r="HD284" s="6"/>
      <c r="HE284" s="6"/>
      <c r="HF284" s="6"/>
      <c r="HG284" s="6"/>
      <c r="HH284" s="6"/>
      <c r="HI284" s="6"/>
      <c r="HJ284" s="6"/>
      <c r="HK284" s="6"/>
      <c r="HL284" s="6"/>
      <c r="HM284" s="6"/>
      <c r="HN284" s="6"/>
      <c r="HO284" s="6"/>
      <c r="HP284" s="6"/>
    </row>
    <row r="285" spans="3:224" ht="20.100000000000001" customHeight="1">
      <c r="C285" s="11">
        <v>15403002</v>
      </c>
      <c r="D285" s="14" t="s">
        <v>319</v>
      </c>
      <c r="E285" s="14">
        <v>1140003</v>
      </c>
      <c r="F285" s="14">
        <v>14011</v>
      </c>
      <c r="G285" s="14">
        <v>1</v>
      </c>
      <c r="H285" s="14">
        <v>50</v>
      </c>
      <c r="I285" s="22">
        <v>0.2</v>
      </c>
      <c r="J285" s="23">
        <v>20</v>
      </c>
      <c r="K285" s="14">
        <v>0</v>
      </c>
      <c r="L285" s="14">
        <v>1785</v>
      </c>
      <c r="M285" s="14">
        <f t="shared" si="67"/>
        <v>30</v>
      </c>
      <c r="N285" s="14">
        <v>60</v>
      </c>
      <c r="O285" s="14">
        <v>0</v>
      </c>
      <c r="P285" s="14">
        <v>0</v>
      </c>
      <c r="Q285" s="14">
        <f t="shared" si="68"/>
        <v>51</v>
      </c>
      <c r="R285" s="14">
        <v>102</v>
      </c>
      <c r="S285" s="14">
        <f t="shared" si="69"/>
        <v>0</v>
      </c>
      <c r="T285" s="14">
        <v>0</v>
      </c>
      <c r="U285" s="22">
        <v>0</v>
      </c>
      <c r="V285" s="14">
        <v>0</v>
      </c>
      <c r="W285" s="14">
        <v>0</v>
      </c>
      <c r="X285" s="14">
        <v>0</v>
      </c>
      <c r="Y285" s="22">
        <v>0</v>
      </c>
      <c r="Z285" s="22">
        <v>0</v>
      </c>
      <c r="AA285" s="22">
        <v>0</v>
      </c>
      <c r="AB285" s="22">
        <v>0</v>
      </c>
      <c r="AC285" s="22">
        <v>0</v>
      </c>
      <c r="AD285" s="22">
        <v>0</v>
      </c>
      <c r="AE285" s="43"/>
      <c r="GR285" s="6"/>
      <c r="GS285" s="6"/>
      <c r="GT285" s="6"/>
      <c r="GU285" s="6"/>
      <c r="GV285" s="6"/>
      <c r="GW285" s="6"/>
      <c r="GX285" s="6"/>
      <c r="GY285" s="6"/>
      <c r="GZ285" s="6"/>
      <c r="HA285" s="6"/>
      <c r="HB285" s="6"/>
      <c r="HC285" s="6"/>
      <c r="HD285" s="6"/>
      <c r="HE285" s="6"/>
      <c r="HF285" s="6"/>
      <c r="HG285" s="6"/>
      <c r="HH285" s="6"/>
      <c r="HI285" s="6"/>
      <c r="HJ285" s="6"/>
      <c r="HK285" s="6"/>
      <c r="HL285" s="6"/>
      <c r="HM285" s="6"/>
      <c r="HN285" s="6"/>
      <c r="HO285" s="6"/>
      <c r="HP285" s="6"/>
    </row>
    <row r="286" spans="3:224" ht="20.100000000000001" customHeight="1">
      <c r="C286" s="11">
        <v>15403003</v>
      </c>
      <c r="D286" s="14" t="s">
        <v>320</v>
      </c>
      <c r="E286" s="14">
        <v>1140003</v>
      </c>
      <c r="F286" s="14">
        <v>0</v>
      </c>
      <c r="G286" s="14">
        <v>1</v>
      </c>
      <c r="H286" s="14">
        <v>50</v>
      </c>
      <c r="I286" s="22">
        <v>0.2</v>
      </c>
      <c r="J286" s="23">
        <v>20</v>
      </c>
      <c r="K286" s="14">
        <v>0</v>
      </c>
      <c r="L286" s="14">
        <v>740</v>
      </c>
      <c r="M286" s="14">
        <f t="shared" si="67"/>
        <v>34</v>
      </c>
      <c r="N286" s="14">
        <v>68</v>
      </c>
      <c r="O286" s="14">
        <v>0</v>
      </c>
      <c r="P286" s="14">
        <v>0</v>
      </c>
      <c r="Q286" s="14">
        <f t="shared" si="68"/>
        <v>32</v>
      </c>
      <c r="R286" s="14">
        <v>64</v>
      </c>
      <c r="S286" s="14">
        <f t="shared" si="69"/>
        <v>0</v>
      </c>
      <c r="T286" s="14">
        <v>0</v>
      </c>
      <c r="U286" s="22">
        <v>0</v>
      </c>
      <c r="V286" s="14">
        <v>0</v>
      </c>
      <c r="W286" s="14">
        <v>0</v>
      </c>
      <c r="X286" s="14">
        <v>0</v>
      </c>
      <c r="Y286" s="22">
        <v>0</v>
      </c>
      <c r="Z286" s="22">
        <v>0</v>
      </c>
      <c r="AA286" s="22">
        <v>0</v>
      </c>
      <c r="AB286" s="22">
        <v>0</v>
      </c>
      <c r="AC286" s="22">
        <v>0</v>
      </c>
      <c r="AD286" s="22">
        <v>0</v>
      </c>
      <c r="AE286" s="43"/>
      <c r="GR286" s="6"/>
      <c r="GS286" s="6"/>
      <c r="GT286" s="6"/>
      <c r="GU286" s="6"/>
      <c r="GV286" s="6"/>
      <c r="GW286" s="6"/>
      <c r="GX286" s="6"/>
      <c r="GY286" s="6"/>
      <c r="GZ286" s="6"/>
      <c r="HA286" s="6"/>
      <c r="HB286" s="6"/>
      <c r="HC286" s="6"/>
      <c r="HD286" s="6"/>
      <c r="HE286" s="6"/>
      <c r="HF286" s="6"/>
      <c r="HG286" s="6"/>
      <c r="HH286" s="6"/>
      <c r="HI286" s="6"/>
      <c r="HJ286" s="6"/>
      <c r="HK286" s="6"/>
      <c r="HL286" s="6"/>
      <c r="HM286" s="6"/>
      <c r="HN286" s="6"/>
      <c r="HO286" s="6"/>
      <c r="HP286" s="6"/>
    </row>
    <row r="287" spans="3:224" ht="20.100000000000001" customHeight="1">
      <c r="C287" s="11">
        <v>15403004</v>
      </c>
      <c r="D287" s="14" t="s">
        <v>321</v>
      </c>
      <c r="E287" s="14">
        <v>1140003</v>
      </c>
      <c r="F287" s="14">
        <v>14021</v>
      </c>
      <c r="G287" s="14">
        <v>1</v>
      </c>
      <c r="H287" s="14">
        <v>50</v>
      </c>
      <c r="I287" s="22">
        <v>0.2</v>
      </c>
      <c r="J287" s="23">
        <v>20</v>
      </c>
      <c r="K287" s="14">
        <v>0</v>
      </c>
      <c r="L287" s="14">
        <v>890</v>
      </c>
      <c r="M287" s="14">
        <f t="shared" si="67"/>
        <v>41</v>
      </c>
      <c r="N287" s="14">
        <v>81</v>
      </c>
      <c r="O287" s="14">
        <v>0</v>
      </c>
      <c r="P287" s="14">
        <v>0</v>
      </c>
      <c r="Q287" s="14">
        <f t="shared" si="68"/>
        <v>39</v>
      </c>
      <c r="R287" s="14">
        <v>77</v>
      </c>
      <c r="S287" s="14">
        <f t="shared" si="69"/>
        <v>0</v>
      </c>
      <c r="T287" s="14">
        <v>0</v>
      </c>
      <c r="U287" s="22">
        <v>0</v>
      </c>
      <c r="V287" s="14">
        <v>0</v>
      </c>
      <c r="W287" s="14">
        <v>0</v>
      </c>
      <c r="X287" s="14">
        <v>0</v>
      </c>
      <c r="Y287" s="22">
        <v>0</v>
      </c>
      <c r="Z287" s="22">
        <v>0</v>
      </c>
      <c r="AA287" s="22">
        <v>0</v>
      </c>
      <c r="AB287" s="22">
        <v>0</v>
      </c>
      <c r="AC287" s="22">
        <v>0</v>
      </c>
      <c r="AD287" s="22">
        <v>0</v>
      </c>
      <c r="AE287" s="43"/>
      <c r="GR287" s="6"/>
      <c r="GS287" s="6"/>
      <c r="GT287" s="6"/>
      <c r="GU287" s="6"/>
      <c r="GV287" s="6"/>
      <c r="GW287" s="6"/>
      <c r="GX287" s="6"/>
      <c r="GY287" s="6"/>
      <c r="GZ287" s="6"/>
      <c r="HA287" s="6"/>
      <c r="HB287" s="6"/>
      <c r="HC287" s="6"/>
      <c r="HD287" s="6"/>
      <c r="HE287" s="6"/>
      <c r="HF287" s="6"/>
      <c r="HG287" s="6"/>
      <c r="HH287" s="6"/>
      <c r="HI287" s="6"/>
      <c r="HJ287" s="6"/>
      <c r="HK287" s="6"/>
      <c r="HL287" s="6"/>
      <c r="HM287" s="6"/>
      <c r="HN287" s="6"/>
      <c r="HO287" s="6"/>
      <c r="HP287" s="6"/>
    </row>
    <row r="288" spans="3:224" ht="20.100000000000001" customHeight="1">
      <c r="C288" s="11">
        <v>15403005</v>
      </c>
      <c r="D288" s="14" t="s">
        <v>322</v>
      </c>
      <c r="E288" s="14">
        <v>1140003</v>
      </c>
      <c r="F288" s="14">
        <v>0</v>
      </c>
      <c r="G288" s="14">
        <v>1</v>
      </c>
      <c r="H288" s="14">
        <v>50</v>
      </c>
      <c r="I288" s="22">
        <v>0.2</v>
      </c>
      <c r="J288" s="23">
        <v>20</v>
      </c>
      <c r="K288" s="14">
        <v>0</v>
      </c>
      <c r="L288" s="14">
        <v>2220</v>
      </c>
      <c r="M288" s="14">
        <f t="shared" si="67"/>
        <v>19</v>
      </c>
      <c r="N288" s="14">
        <v>38</v>
      </c>
      <c r="O288" s="14">
        <v>0</v>
      </c>
      <c r="P288" s="14">
        <v>0</v>
      </c>
      <c r="Q288" s="14">
        <f t="shared" si="68"/>
        <v>53</v>
      </c>
      <c r="R288" s="14">
        <v>106</v>
      </c>
      <c r="S288" s="14">
        <f t="shared" si="69"/>
        <v>0</v>
      </c>
      <c r="T288" s="14">
        <v>0</v>
      </c>
      <c r="U288" s="22">
        <v>0</v>
      </c>
      <c r="V288" s="14">
        <v>0</v>
      </c>
      <c r="W288" s="14">
        <v>0</v>
      </c>
      <c r="X288" s="14">
        <v>0</v>
      </c>
      <c r="Y288" s="22">
        <v>0</v>
      </c>
      <c r="Z288" s="22">
        <v>0</v>
      </c>
      <c r="AA288" s="22">
        <v>0</v>
      </c>
      <c r="AB288" s="22">
        <v>0</v>
      </c>
      <c r="AC288" s="22">
        <v>0</v>
      </c>
      <c r="AD288" s="22">
        <v>0</v>
      </c>
      <c r="AE288" s="43"/>
      <c r="GR288" s="6"/>
      <c r="GS288" s="6"/>
      <c r="GT288" s="6"/>
      <c r="GU288" s="6"/>
      <c r="GV288" s="6"/>
      <c r="GW288" s="6"/>
      <c r="GX288" s="6"/>
      <c r="GY288" s="6"/>
      <c r="GZ288" s="6"/>
      <c r="HA288" s="6"/>
      <c r="HB288" s="6"/>
      <c r="HC288" s="6"/>
      <c r="HD288" s="6"/>
      <c r="HE288" s="6"/>
      <c r="HF288" s="6"/>
      <c r="HG288" s="6"/>
      <c r="HH288" s="6"/>
      <c r="HI288" s="6"/>
      <c r="HJ288" s="6"/>
      <c r="HK288" s="6"/>
      <c r="HL288" s="6"/>
      <c r="HM288" s="6"/>
      <c r="HN288" s="6"/>
      <c r="HO288" s="6"/>
      <c r="HP288" s="6"/>
    </row>
    <row r="289" spans="3:224" ht="20.100000000000001" customHeight="1">
      <c r="C289" s="11">
        <v>15403006</v>
      </c>
      <c r="D289" s="14" t="s">
        <v>323</v>
      </c>
      <c r="E289" s="14">
        <v>1140003</v>
      </c>
      <c r="F289" s="14">
        <v>14031</v>
      </c>
      <c r="G289" s="14">
        <v>1</v>
      </c>
      <c r="H289" s="14">
        <v>50</v>
      </c>
      <c r="I289" s="22">
        <v>0.2</v>
      </c>
      <c r="J289" s="23">
        <v>20</v>
      </c>
      <c r="K289" s="14">
        <v>0</v>
      </c>
      <c r="L289" s="14">
        <v>2680</v>
      </c>
      <c r="M289" s="14">
        <f t="shared" si="67"/>
        <v>23</v>
      </c>
      <c r="N289" s="14">
        <v>45</v>
      </c>
      <c r="O289" s="14">
        <v>0</v>
      </c>
      <c r="P289" s="14">
        <v>0</v>
      </c>
      <c r="Q289" s="14">
        <f t="shared" si="68"/>
        <v>64</v>
      </c>
      <c r="R289" s="14">
        <v>128</v>
      </c>
      <c r="S289" s="14">
        <f t="shared" si="69"/>
        <v>0</v>
      </c>
      <c r="T289" s="14">
        <v>0</v>
      </c>
      <c r="U289" s="22">
        <v>0</v>
      </c>
      <c r="V289" s="14">
        <v>0</v>
      </c>
      <c r="W289" s="14">
        <v>0</v>
      </c>
      <c r="X289" s="14">
        <v>0</v>
      </c>
      <c r="Y289" s="22">
        <v>0</v>
      </c>
      <c r="Z289" s="22">
        <v>0</v>
      </c>
      <c r="AA289" s="22">
        <v>0</v>
      </c>
      <c r="AB289" s="22">
        <v>0</v>
      </c>
      <c r="AC289" s="22">
        <v>0</v>
      </c>
      <c r="AD289" s="22">
        <v>0</v>
      </c>
      <c r="AE289" s="43"/>
      <c r="GR289" s="6"/>
      <c r="GS289" s="6"/>
      <c r="GT289" s="6"/>
      <c r="GU289" s="6"/>
      <c r="GV289" s="6"/>
      <c r="GW289" s="6"/>
      <c r="GX289" s="6"/>
      <c r="GY289" s="6"/>
      <c r="GZ289" s="6"/>
      <c r="HA289" s="6"/>
      <c r="HB289" s="6"/>
      <c r="HC289" s="6"/>
      <c r="HD289" s="6"/>
      <c r="HE289" s="6"/>
      <c r="HF289" s="6"/>
      <c r="HG289" s="6"/>
      <c r="HH289" s="6"/>
      <c r="HI289" s="6"/>
      <c r="HJ289" s="6"/>
      <c r="HK289" s="6"/>
      <c r="HL289" s="6"/>
      <c r="HM289" s="6"/>
      <c r="HN289" s="6"/>
      <c r="HO289" s="6"/>
      <c r="HP289" s="6"/>
    </row>
    <row r="290" spans="3:224" ht="20.100000000000001" customHeight="1">
      <c r="C290" s="11">
        <v>15404001</v>
      </c>
      <c r="D290" s="14" t="s">
        <v>324</v>
      </c>
      <c r="E290" s="14">
        <v>1140003</v>
      </c>
      <c r="F290" s="14">
        <v>0</v>
      </c>
      <c r="G290" s="14">
        <v>1</v>
      </c>
      <c r="H290" s="14">
        <v>50</v>
      </c>
      <c r="I290" s="22">
        <v>0.2</v>
      </c>
      <c r="J290" s="23">
        <v>20</v>
      </c>
      <c r="K290" s="14">
        <v>0</v>
      </c>
      <c r="L290" s="14">
        <v>0</v>
      </c>
      <c r="M290" s="14">
        <f t="shared" si="67"/>
        <v>38</v>
      </c>
      <c r="N290" s="14">
        <v>75</v>
      </c>
      <c r="O290" s="14">
        <v>0</v>
      </c>
      <c r="P290" s="14">
        <v>0</v>
      </c>
      <c r="Q290" s="14">
        <f t="shared" si="68"/>
        <v>40</v>
      </c>
      <c r="R290" s="14">
        <v>80</v>
      </c>
      <c r="S290" s="14">
        <f t="shared" si="69"/>
        <v>40</v>
      </c>
      <c r="T290" s="14">
        <v>80</v>
      </c>
      <c r="U290" s="22">
        <v>0</v>
      </c>
      <c r="V290" s="14">
        <v>0</v>
      </c>
      <c r="W290" s="14">
        <v>0</v>
      </c>
      <c r="X290" s="14">
        <v>0</v>
      </c>
      <c r="Y290" s="22">
        <v>0</v>
      </c>
      <c r="Z290" s="22">
        <v>0</v>
      </c>
      <c r="AA290" s="22">
        <v>0</v>
      </c>
      <c r="AB290" s="22">
        <v>0</v>
      </c>
      <c r="AC290" s="22">
        <v>0</v>
      </c>
      <c r="AD290" s="22">
        <v>0</v>
      </c>
      <c r="AE290" s="43"/>
      <c r="GR290" s="6"/>
      <c r="GS290" s="6"/>
      <c r="GT290" s="6"/>
      <c r="GU290" s="6"/>
      <c r="GV290" s="6"/>
      <c r="GW290" s="6"/>
      <c r="GX290" s="6"/>
      <c r="GY290" s="6"/>
      <c r="GZ290" s="6"/>
      <c r="HA290" s="6"/>
      <c r="HB290" s="6"/>
      <c r="HC290" s="6"/>
      <c r="HD290" s="6"/>
      <c r="HE290" s="6"/>
      <c r="HF290" s="6"/>
      <c r="HG290" s="6"/>
      <c r="HH290" s="6"/>
      <c r="HI290" s="6"/>
      <c r="HJ290" s="6"/>
      <c r="HK290" s="6"/>
      <c r="HL290" s="6"/>
      <c r="HM290" s="6"/>
      <c r="HN290" s="6"/>
      <c r="HO290" s="6"/>
      <c r="HP290" s="6"/>
    </row>
    <row r="291" spans="3:224" ht="20.100000000000001" customHeight="1">
      <c r="C291" s="11">
        <v>15404002</v>
      </c>
      <c r="D291" s="14" t="s">
        <v>325</v>
      </c>
      <c r="E291" s="14">
        <v>1140003</v>
      </c>
      <c r="F291" s="14">
        <v>14011</v>
      </c>
      <c r="G291" s="14">
        <v>1</v>
      </c>
      <c r="H291" s="14">
        <v>50</v>
      </c>
      <c r="I291" s="22">
        <v>0.2</v>
      </c>
      <c r="J291" s="23">
        <v>20</v>
      </c>
      <c r="K291" s="14">
        <v>0</v>
      </c>
      <c r="L291" s="14">
        <v>0</v>
      </c>
      <c r="M291" s="14">
        <f t="shared" si="67"/>
        <v>47</v>
      </c>
      <c r="N291" s="14">
        <v>94</v>
      </c>
      <c r="O291" s="14">
        <v>0</v>
      </c>
      <c r="P291" s="14">
        <v>0</v>
      </c>
      <c r="Q291" s="14">
        <f t="shared" si="68"/>
        <v>51</v>
      </c>
      <c r="R291" s="14">
        <v>102</v>
      </c>
      <c r="S291" s="14">
        <f t="shared" si="69"/>
        <v>51</v>
      </c>
      <c r="T291" s="14">
        <v>102</v>
      </c>
      <c r="U291" s="22">
        <v>0</v>
      </c>
      <c r="V291" s="14">
        <v>0</v>
      </c>
      <c r="W291" s="14">
        <v>0</v>
      </c>
      <c r="X291" s="14">
        <v>0</v>
      </c>
      <c r="Y291" s="22">
        <v>0</v>
      </c>
      <c r="Z291" s="22">
        <v>0</v>
      </c>
      <c r="AA291" s="22">
        <v>0</v>
      </c>
      <c r="AB291" s="22">
        <v>0</v>
      </c>
      <c r="AC291" s="22">
        <v>0</v>
      </c>
      <c r="AD291" s="22">
        <v>0</v>
      </c>
      <c r="AE291" s="43"/>
      <c r="GR291" s="6"/>
      <c r="GS291" s="6"/>
      <c r="GT291" s="6"/>
      <c r="GU291" s="6"/>
      <c r="GV291" s="6"/>
      <c r="GW291" s="6"/>
      <c r="GX291" s="6"/>
      <c r="GY291" s="6"/>
      <c r="GZ291" s="6"/>
      <c r="HA291" s="6"/>
      <c r="HB291" s="6"/>
      <c r="HC291" s="6"/>
      <c r="HD291" s="6"/>
      <c r="HE291" s="6"/>
      <c r="HF291" s="6"/>
      <c r="HG291" s="6"/>
      <c r="HH291" s="6"/>
      <c r="HI291" s="6"/>
      <c r="HJ291" s="6"/>
      <c r="HK291" s="6"/>
      <c r="HL291" s="6"/>
      <c r="HM291" s="6"/>
      <c r="HN291" s="6"/>
      <c r="HO291" s="6"/>
      <c r="HP291" s="6"/>
    </row>
    <row r="292" spans="3:224" ht="20.100000000000001" customHeight="1">
      <c r="C292" s="11">
        <v>15404003</v>
      </c>
      <c r="D292" s="14" t="s">
        <v>326</v>
      </c>
      <c r="E292" s="14">
        <v>1140003</v>
      </c>
      <c r="F292" s="14">
        <v>0</v>
      </c>
      <c r="G292" s="14">
        <v>1</v>
      </c>
      <c r="H292" s="14">
        <v>50</v>
      </c>
      <c r="I292" s="22">
        <v>0.2</v>
      </c>
      <c r="J292" s="23">
        <v>20</v>
      </c>
      <c r="K292" s="14">
        <v>0</v>
      </c>
      <c r="L292" s="14">
        <v>0</v>
      </c>
      <c r="M292" s="14">
        <f t="shared" si="67"/>
        <v>51</v>
      </c>
      <c r="N292" s="14">
        <v>101</v>
      </c>
      <c r="O292" s="14">
        <v>0</v>
      </c>
      <c r="P292" s="14">
        <v>0</v>
      </c>
      <c r="Q292" s="14">
        <f t="shared" si="68"/>
        <v>30</v>
      </c>
      <c r="R292" s="14">
        <v>60</v>
      </c>
      <c r="S292" s="14">
        <f t="shared" si="69"/>
        <v>30</v>
      </c>
      <c r="T292" s="14">
        <v>60</v>
      </c>
      <c r="U292" s="22">
        <v>0</v>
      </c>
      <c r="V292" s="14">
        <v>0</v>
      </c>
      <c r="W292" s="14">
        <v>0</v>
      </c>
      <c r="X292" s="14">
        <v>0</v>
      </c>
      <c r="Y292" s="22">
        <v>0</v>
      </c>
      <c r="Z292" s="22">
        <v>0</v>
      </c>
      <c r="AA292" s="22">
        <v>0</v>
      </c>
      <c r="AB292" s="22">
        <v>0</v>
      </c>
      <c r="AC292" s="22">
        <v>0</v>
      </c>
      <c r="AD292" s="22">
        <v>0</v>
      </c>
      <c r="AE292" s="43"/>
      <c r="GR292" s="6"/>
      <c r="GS292" s="6"/>
      <c r="GT292" s="6"/>
      <c r="GU292" s="6"/>
      <c r="GV292" s="6"/>
      <c r="GW292" s="6"/>
      <c r="GX292" s="6"/>
      <c r="GY292" s="6"/>
      <c r="GZ292" s="6"/>
      <c r="HA292" s="6"/>
      <c r="HB292" s="6"/>
      <c r="HC292" s="6"/>
      <c r="HD292" s="6"/>
      <c r="HE292" s="6"/>
      <c r="HF292" s="6"/>
      <c r="HG292" s="6"/>
      <c r="HH292" s="6"/>
      <c r="HI292" s="6"/>
      <c r="HJ292" s="6"/>
      <c r="HK292" s="6"/>
      <c r="HL292" s="6"/>
      <c r="HM292" s="6"/>
      <c r="HN292" s="6"/>
      <c r="HO292" s="6"/>
      <c r="HP292" s="6"/>
    </row>
    <row r="293" spans="3:224" ht="20.100000000000001" customHeight="1">
      <c r="C293" s="11">
        <v>15404004</v>
      </c>
      <c r="D293" s="14" t="s">
        <v>327</v>
      </c>
      <c r="E293" s="14">
        <v>1140003</v>
      </c>
      <c r="F293" s="14">
        <v>14021</v>
      </c>
      <c r="G293" s="14">
        <v>1</v>
      </c>
      <c r="H293" s="14">
        <v>50</v>
      </c>
      <c r="I293" s="22">
        <v>0.2</v>
      </c>
      <c r="J293" s="23">
        <v>20</v>
      </c>
      <c r="K293" s="14">
        <v>0</v>
      </c>
      <c r="L293" s="14">
        <v>0</v>
      </c>
      <c r="M293" s="14">
        <f t="shared" si="67"/>
        <v>64</v>
      </c>
      <c r="N293" s="14">
        <v>127</v>
      </c>
      <c r="O293" s="14">
        <v>0</v>
      </c>
      <c r="P293" s="14">
        <v>0</v>
      </c>
      <c r="Q293" s="14">
        <f t="shared" si="68"/>
        <v>39</v>
      </c>
      <c r="R293" s="14">
        <v>77</v>
      </c>
      <c r="S293" s="14">
        <f t="shared" si="69"/>
        <v>39</v>
      </c>
      <c r="T293" s="14">
        <v>77</v>
      </c>
      <c r="U293" s="22">
        <v>0</v>
      </c>
      <c r="V293" s="14">
        <v>0</v>
      </c>
      <c r="W293" s="14">
        <v>0</v>
      </c>
      <c r="X293" s="14">
        <v>0</v>
      </c>
      <c r="Y293" s="22">
        <v>0</v>
      </c>
      <c r="Z293" s="22">
        <v>0</v>
      </c>
      <c r="AA293" s="22">
        <v>0</v>
      </c>
      <c r="AB293" s="22">
        <v>0</v>
      </c>
      <c r="AC293" s="22">
        <v>0</v>
      </c>
      <c r="AD293" s="22">
        <v>0</v>
      </c>
      <c r="AE293" s="43"/>
      <c r="GR293" s="6"/>
      <c r="GS293" s="6"/>
      <c r="GT293" s="6"/>
      <c r="GU293" s="6"/>
      <c r="GV293" s="6"/>
      <c r="GW293" s="6"/>
      <c r="GX293" s="6"/>
      <c r="GY293" s="6"/>
      <c r="GZ293" s="6"/>
      <c r="HA293" s="6"/>
      <c r="HB293" s="6"/>
      <c r="HC293" s="6"/>
      <c r="HD293" s="6"/>
      <c r="HE293" s="6"/>
      <c r="HF293" s="6"/>
      <c r="HG293" s="6"/>
      <c r="HH293" s="6"/>
      <c r="HI293" s="6"/>
      <c r="HJ293" s="6"/>
      <c r="HK293" s="6"/>
      <c r="HL293" s="6"/>
      <c r="HM293" s="6"/>
      <c r="HN293" s="6"/>
      <c r="HO293" s="6"/>
      <c r="HP293" s="6"/>
    </row>
    <row r="294" spans="3:224" ht="20.100000000000001" customHeight="1">
      <c r="C294" s="11">
        <v>15404005</v>
      </c>
      <c r="D294" s="14" t="s">
        <v>328</v>
      </c>
      <c r="E294" s="14">
        <v>1140003</v>
      </c>
      <c r="F294" s="14">
        <v>0</v>
      </c>
      <c r="G294" s="14">
        <v>1</v>
      </c>
      <c r="H294" s="14">
        <v>50</v>
      </c>
      <c r="I294" s="22">
        <v>0.2</v>
      </c>
      <c r="J294" s="23">
        <v>20</v>
      </c>
      <c r="K294" s="14">
        <v>0</v>
      </c>
      <c r="L294" s="14">
        <v>0</v>
      </c>
      <c r="M294" s="14">
        <f t="shared" si="67"/>
        <v>28</v>
      </c>
      <c r="N294" s="14">
        <v>56</v>
      </c>
      <c r="O294" s="14">
        <v>0</v>
      </c>
      <c r="P294" s="14">
        <v>0</v>
      </c>
      <c r="Q294" s="14">
        <f t="shared" si="68"/>
        <v>50</v>
      </c>
      <c r="R294" s="14">
        <v>100</v>
      </c>
      <c r="S294" s="14">
        <f t="shared" si="69"/>
        <v>50</v>
      </c>
      <c r="T294" s="14">
        <v>100</v>
      </c>
      <c r="U294" s="22">
        <v>0</v>
      </c>
      <c r="V294" s="14">
        <v>0</v>
      </c>
      <c r="W294" s="14">
        <v>0</v>
      </c>
      <c r="X294" s="14">
        <v>0</v>
      </c>
      <c r="Y294" s="22">
        <v>0</v>
      </c>
      <c r="Z294" s="22">
        <v>0</v>
      </c>
      <c r="AA294" s="22">
        <v>0</v>
      </c>
      <c r="AB294" s="22">
        <v>0</v>
      </c>
      <c r="AC294" s="22">
        <v>0</v>
      </c>
      <c r="AD294" s="22">
        <v>0</v>
      </c>
      <c r="AE294" s="43"/>
      <c r="GR294" s="6"/>
      <c r="GS294" s="6"/>
      <c r="GT294" s="6"/>
      <c r="GU294" s="6"/>
      <c r="GV294" s="6"/>
      <c r="GW294" s="6"/>
      <c r="GX294" s="6"/>
      <c r="GY294" s="6"/>
      <c r="GZ294" s="6"/>
      <c r="HA294" s="6"/>
      <c r="HB294" s="6"/>
      <c r="HC294" s="6"/>
      <c r="HD294" s="6"/>
      <c r="HE294" s="6"/>
      <c r="HF294" s="6"/>
      <c r="HG294" s="6"/>
      <c r="HH294" s="6"/>
      <c r="HI294" s="6"/>
      <c r="HJ294" s="6"/>
      <c r="HK294" s="6"/>
      <c r="HL294" s="6"/>
      <c r="HM294" s="6"/>
      <c r="HN294" s="6"/>
      <c r="HO294" s="6"/>
      <c r="HP294" s="6"/>
    </row>
    <row r="295" spans="3:224" ht="20.100000000000001" customHeight="1">
      <c r="C295" s="11">
        <v>15404006</v>
      </c>
      <c r="D295" s="14" t="s">
        <v>329</v>
      </c>
      <c r="E295" s="14">
        <v>1140003</v>
      </c>
      <c r="F295" s="14">
        <v>14031</v>
      </c>
      <c r="G295" s="14">
        <v>1</v>
      </c>
      <c r="H295" s="14">
        <v>50</v>
      </c>
      <c r="I295" s="22">
        <v>0.2</v>
      </c>
      <c r="J295" s="23">
        <v>20</v>
      </c>
      <c r="K295" s="14">
        <v>0</v>
      </c>
      <c r="L295" s="14">
        <v>0</v>
      </c>
      <c r="M295" s="14">
        <f t="shared" si="67"/>
        <v>36</v>
      </c>
      <c r="N295" s="14">
        <v>71</v>
      </c>
      <c r="O295" s="14">
        <v>0</v>
      </c>
      <c r="P295" s="14">
        <v>0</v>
      </c>
      <c r="Q295" s="14">
        <f t="shared" si="68"/>
        <v>64</v>
      </c>
      <c r="R295" s="14">
        <v>128</v>
      </c>
      <c r="S295" s="14">
        <f t="shared" si="69"/>
        <v>64</v>
      </c>
      <c r="T295" s="14">
        <v>128</v>
      </c>
      <c r="U295" s="22">
        <v>0</v>
      </c>
      <c r="V295" s="14">
        <v>0</v>
      </c>
      <c r="W295" s="14">
        <v>0</v>
      </c>
      <c r="X295" s="14">
        <v>0</v>
      </c>
      <c r="Y295" s="22">
        <v>0</v>
      </c>
      <c r="Z295" s="22">
        <v>0</v>
      </c>
      <c r="AA295" s="22">
        <v>0</v>
      </c>
      <c r="AB295" s="22">
        <v>0</v>
      </c>
      <c r="AC295" s="22">
        <v>0</v>
      </c>
      <c r="AD295" s="22">
        <v>0</v>
      </c>
      <c r="AE295" s="43"/>
      <c r="GR295" s="6"/>
      <c r="GS295" s="6"/>
      <c r="GT295" s="6"/>
      <c r="GU295" s="6"/>
      <c r="GV295" s="6"/>
      <c r="GW295" s="6"/>
      <c r="GX295" s="6"/>
      <c r="GY295" s="6"/>
      <c r="GZ295" s="6"/>
      <c r="HA295" s="6"/>
      <c r="HB295" s="6"/>
      <c r="HC295" s="6"/>
      <c r="HD295" s="6"/>
      <c r="HE295" s="6"/>
      <c r="HF295" s="6"/>
      <c r="HG295" s="6"/>
      <c r="HH295" s="6"/>
      <c r="HI295" s="6"/>
      <c r="HJ295" s="6"/>
      <c r="HK295" s="6"/>
      <c r="HL295" s="6"/>
      <c r="HM295" s="6"/>
      <c r="HN295" s="6"/>
      <c r="HO295" s="6"/>
      <c r="HP295" s="6"/>
    </row>
    <row r="296" spans="3:224" ht="20.100000000000001" customHeight="1">
      <c r="C296" s="11">
        <v>15405001</v>
      </c>
      <c r="D296" s="14" t="s">
        <v>330</v>
      </c>
      <c r="E296" s="14">
        <v>1140003</v>
      </c>
      <c r="F296" s="14">
        <v>0</v>
      </c>
      <c r="G296" s="14">
        <v>1</v>
      </c>
      <c r="H296" s="14">
        <v>50</v>
      </c>
      <c r="I296" s="22">
        <v>0.2</v>
      </c>
      <c r="J296" s="23">
        <v>20</v>
      </c>
      <c r="K296" s="14">
        <v>0</v>
      </c>
      <c r="L296" s="14">
        <v>3580</v>
      </c>
      <c r="M296" s="14">
        <f t="shared" si="67"/>
        <v>53</v>
      </c>
      <c r="N296" s="14">
        <v>105</v>
      </c>
      <c r="O296" s="14">
        <v>0</v>
      </c>
      <c r="P296" s="14">
        <v>0</v>
      </c>
      <c r="Q296" s="14">
        <f t="shared" si="68"/>
        <v>21</v>
      </c>
      <c r="R296" s="14">
        <v>42</v>
      </c>
      <c r="S296" s="14">
        <f t="shared" si="69"/>
        <v>0</v>
      </c>
      <c r="T296" s="14">
        <v>0</v>
      </c>
      <c r="U296" s="22">
        <v>0</v>
      </c>
      <c r="V296" s="14">
        <v>0</v>
      </c>
      <c r="W296" s="14">
        <v>0</v>
      </c>
      <c r="X296" s="14">
        <v>0</v>
      </c>
      <c r="Y296" s="22">
        <v>0</v>
      </c>
      <c r="Z296" s="22">
        <v>0</v>
      </c>
      <c r="AA296" s="22">
        <v>0</v>
      </c>
      <c r="AB296" s="22">
        <v>0</v>
      </c>
      <c r="AC296" s="22">
        <v>0</v>
      </c>
      <c r="AD296" s="22">
        <v>0</v>
      </c>
      <c r="AE296" s="43"/>
      <c r="GR296" s="6"/>
      <c r="GS296" s="6"/>
      <c r="GT296" s="6"/>
      <c r="GU296" s="6"/>
      <c r="GV296" s="6"/>
      <c r="GW296" s="6"/>
      <c r="GX296" s="6"/>
      <c r="GY296" s="6"/>
      <c r="GZ296" s="6"/>
      <c r="HA296" s="6"/>
      <c r="HB296" s="6"/>
      <c r="HC296" s="6"/>
      <c r="HD296" s="6"/>
      <c r="HE296" s="6"/>
      <c r="HF296" s="6"/>
      <c r="HG296" s="6"/>
      <c r="HH296" s="6"/>
      <c r="HI296" s="6"/>
      <c r="HJ296" s="6"/>
      <c r="HK296" s="6"/>
      <c r="HL296" s="6"/>
      <c r="HM296" s="6"/>
      <c r="HN296" s="6"/>
      <c r="HO296" s="6"/>
      <c r="HP296" s="6"/>
    </row>
    <row r="297" spans="3:224" ht="20.100000000000001" customHeight="1">
      <c r="C297" s="11">
        <v>15405002</v>
      </c>
      <c r="D297" s="14" t="s">
        <v>331</v>
      </c>
      <c r="E297" s="14">
        <v>1140003</v>
      </c>
      <c r="F297" s="14">
        <v>14011</v>
      </c>
      <c r="G297" s="14">
        <v>1</v>
      </c>
      <c r="H297" s="14">
        <v>50</v>
      </c>
      <c r="I297" s="22">
        <v>0.2</v>
      </c>
      <c r="J297" s="23">
        <v>20</v>
      </c>
      <c r="K297" s="14">
        <v>0</v>
      </c>
      <c r="L297" s="14">
        <v>4450</v>
      </c>
      <c r="M297" s="14">
        <f t="shared" si="67"/>
        <v>64</v>
      </c>
      <c r="N297" s="14">
        <v>128</v>
      </c>
      <c r="O297" s="14">
        <v>0</v>
      </c>
      <c r="P297" s="14">
        <v>0</v>
      </c>
      <c r="Q297" s="14">
        <f t="shared" si="68"/>
        <v>26</v>
      </c>
      <c r="R297" s="14">
        <v>51</v>
      </c>
      <c r="S297" s="14">
        <f t="shared" si="69"/>
        <v>0</v>
      </c>
      <c r="T297" s="14">
        <v>0</v>
      </c>
      <c r="U297" s="22">
        <v>0</v>
      </c>
      <c r="V297" s="14">
        <v>0</v>
      </c>
      <c r="W297" s="14">
        <v>0</v>
      </c>
      <c r="X297" s="14">
        <v>0</v>
      </c>
      <c r="Y297" s="22">
        <v>0</v>
      </c>
      <c r="Z297" s="22">
        <v>0</v>
      </c>
      <c r="AA297" s="22">
        <v>0</v>
      </c>
      <c r="AB297" s="22">
        <v>0</v>
      </c>
      <c r="AC297" s="22">
        <v>0</v>
      </c>
      <c r="AD297" s="22">
        <v>0</v>
      </c>
      <c r="AE297" s="43"/>
      <c r="GR297" s="6"/>
      <c r="GS297" s="6"/>
      <c r="GT297" s="6"/>
      <c r="GU297" s="6"/>
      <c r="GV297" s="6"/>
      <c r="GW297" s="6"/>
      <c r="GX297" s="6"/>
      <c r="GY297" s="6"/>
      <c r="GZ297" s="6"/>
      <c r="HA297" s="6"/>
      <c r="HB297" s="6"/>
      <c r="HC297" s="6"/>
      <c r="HD297" s="6"/>
      <c r="HE297" s="6"/>
      <c r="HF297" s="6"/>
      <c r="HG297" s="6"/>
      <c r="HH297" s="6"/>
      <c r="HI297" s="6"/>
      <c r="HJ297" s="6"/>
      <c r="HK297" s="6"/>
      <c r="HL297" s="6"/>
      <c r="HM297" s="6"/>
      <c r="HN297" s="6"/>
      <c r="HO297" s="6"/>
      <c r="HP297" s="6"/>
    </row>
    <row r="298" spans="3:224" ht="20.100000000000001" customHeight="1">
      <c r="C298" s="11">
        <v>15405003</v>
      </c>
      <c r="D298" s="14" t="s">
        <v>332</v>
      </c>
      <c r="E298" s="14">
        <v>1140003</v>
      </c>
      <c r="F298" s="14">
        <v>0</v>
      </c>
      <c r="G298" s="14">
        <v>1</v>
      </c>
      <c r="H298" s="14">
        <v>50</v>
      </c>
      <c r="I298" s="22">
        <v>0.2</v>
      </c>
      <c r="J298" s="23">
        <v>20</v>
      </c>
      <c r="K298" s="14">
        <v>0</v>
      </c>
      <c r="L298" s="14">
        <v>1790</v>
      </c>
      <c r="M298" s="14">
        <f t="shared" si="67"/>
        <v>71</v>
      </c>
      <c r="N298" s="14">
        <v>142</v>
      </c>
      <c r="O298" s="14">
        <v>0</v>
      </c>
      <c r="P298" s="14">
        <v>0</v>
      </c>
      <c r="Q298" s="14">
        <f t="shared" si="68"/>
        <v>16</v>
      </c>
      <c r="R298" s="14">
        <v>32</v>
      </c>
      <c r="S298" s="14">
        <f t="shared" si="69"/>
        <v>0</v>
      </c>
      <c r="T298" s="14">
        <v>0</v>
      </c>
      <c r="U298" s="22">
        <v>0</v>
      </c>
      <c r="V298" s="14">
        <v>0</v>
      </c>
      <c r="W298" s="14">
        <v>0</v>
      </c>
      <c r="X298" s="14">
        <v>0</v>
      </c>
      <c r="Y298" s="22">
        <v>0</v>
      </c>
      <c r="Z298" s="22">
        <v>0</v>
      </c>
      <c r="AA298" s="22">
        <v>0</v>
      </c>
      <c r="AB298" s="22">
        <v>0</v>
      </c>
      <c r="AC298" s="22">
        <v>0</v>
      </c>
      <c r="AD298" s="22">
        <v>0</v>
      </c>
      <c r="AE298" s="43"/>
      <c r="GR298" s="6"/>
      <c r="GS298" s="6"/>
      <c r="GT298" s="6"/>
      <c r="GU298" s="6"/>
      <c r="GV298" s="6"/>
      <c r="GW298" s="6"/>
      <c r="GX298" s="6"/>
      <c r="GY298" s="6"/>
      <c r="GZ298" s="6"/>
      <c r="HA298" s="6"/>
      <c r="HB298" s="6"/>
      <c r="HC298" s="6"/>
      <c r="HD298" s="6"/>
      <c r="HE298" s="6"/>
      <c r="HF298" s="6"/>
      <c r="HG298" s="6"/>
      <c r="HH298" s="6"/>
      <c r="HI298" s="6"/>
      <c r="HJ298" s="6"/>
      <c r="HK298" s="6"/>
      <c r="HL298" s="6"/>
      <c r="HM298" s="6"/>
      <c r="HN298" s="6"/>
      <c r="HO298" s="6"/>
      <c r="HP298" s="6"/>
    </row>
    <row r="299" spans="3:224" ht="20.100000000000001" customHeight="1">
      <c r="C299" s="11">
        <v>15405004</v>
      </c>
      <c r="D299" s="14" t="s">
        <v>333</v>
      </c>
      <c r="E299" s="14">
        <v>1140003</v>
      </c>
      <c r="F299" s="14">
        <v>14021</v>
      </c>
      <c r="G299" s="14">
        <v>1</v>
      </c>
      <c r="H299" s="14">
        <v>50</v>
      </c>
      <c r="I299" s="22">
        <v>0.2</v>
      </c>
      <c r="J299" s="23">
        <v>20</v>
      </c>
      <c r="K299" s="14">
        <v>0</v>
      </c>
      <c r="L299" s="14">
        <v>2230</v>
      </c>
      <c r="M299" s="14">
        <f t="shared" si="67"/>
        <v>87</v>
      </c>
      <c r="N299" s="14">
        <v>173</v>
      </c>
      <c r="O299" s="14">
        <v>0</v>
      </c>
      <c r="P299" s="14">
        <v>0</v>
      </c>
      <c r="Q299" s="14">
        <f t="shared" si="68"/>
        <v>19</v>
      </c>
      <c r="R299" s="14">
        <v>38</v>
      </c>
      <c r="S299" s="14">
        <f t="shared" si="69"/>
        <v>0</v>
      </c>
      <c r="T299" s="14">
        <v>0</v>
      </c>
      <c r="U299" s="22">
        <v>0</v>
      </c>
      <c r="V299" s="14">
        <v>0</v>
      </c>
      <c r="W299" s="14">
        <v>0</v>
      </c>
      <c r="X299" s="14">
        <v>0</v>
      </c>
      <c r="Y299" s="22">
        <v>0</v>
      </c>
      <c r="Z299" s="22">
        <v>0</v>
      </c>
      <c r="AA299" s="22">
        <v>0</v>
      </c>
      <c r="AB299" s="22">
        <v>0</v>
      </c>
      <c r="AC299" s="22">
        <v>0</v>
      </c>
      <c r="AD299" s="22">
        <v>0</v>
      </c>
      <c r="AE299" s="43"/>
      <c r="GR299" s="6"/>
      <c r="GS299" s="6"/>
      <c r="GT299" s="6"/>
      <c r="GU299" s="6"/>
      <c r="GV299" s="6"/>
      <c r="GW299" s="6"/>
      <c r="GX299" s="6"/>
      <c r="GY299" s="6"/>
      <c r="GZ299" s="6"/>
      <c r="HA299" s="6"/>
      <c r="HB299" s="6"/>
      <c r="HC299" s="6"/>
      <c r="HD299" s="6"/>
      <c r="HE299" s="6"/>
      <c r="HF299" s="6"/>
      <c r="HG299" s="6"/>
      <c r="HH299" s="6"/>
      <c r="HI299" s="6"/>
      <c r="HJ299" s="6"/>
      <c r="HK299" s="6"/>
      <c r="HL299" s="6"/>
      <c r="HM299" s="6"/>
      <c r="HN299" s="6"/>
      <c r="HO299" s="6"/>
      <c r="HP299" s="6"/>
    </row>
    <row r="300" spans="3:224" ht="20.100000000000001" customHeight="1">
      <c r="C300" s="11">
        <v>15405005</v>
      </c>
      <c r="D300" s="14" t="s">
        <v>334</v>
      </c>
      <c r="E300" s="14">
        <v>1140003</v>
      </c>
      <c r="F300" s="14">
        <v>0</v>
      </c>
      <c r="G300" s="14">
        <v>1</v>
      </c>
      <c r="H300" s="14">
        <v>50</v>
      </c>
      <c r="I300" s="22">
        <v>0.2</v>
      </c>
      <c r="J300" s="23">
        <v>20</v>
      </c>
      <c r="K300" s="14">
        <v>0</v>
      </c>
      <c r="L300" s="14">
        <v>5370</v>
      </c>
      <c r="M300" s="14">
        <f t="shared" si="67"/>
        <v>40</v>
      </c>
      <c r="N300" s="14">
        <v>79</v>
      </c>
      <c r="O300" s="14">
        <v>0</v>
      </c>
      <c r="P300" s="14">
        <v>0</v>
      </c>
      <c r="Q300" s="14">
        <f t="shared" si="68"/>
        <v>27</v>
      </c>
      <c r="R300" s="14">
        <v>53</v>
      </c>
      <c r="S300" s="14">
        <f t="shared" si="69"/>
        <v>0</v>
      </c>
      <c r="T300" s="14">
        <v>0</v>
      </c>
      <c r="U300" s="22">
        <v>0</v>
      </c>
      <c r="V300" s="14">
        <v>0</v>
      </c>
      <c r="W300" s="14">
        <v>0</v>
      </c>
      <c r="X300" s="14">
        <v>0</v>
      </c>
      <c r="Y300" s="22">
        <v>0</v>
      </c>
      <c r="Z300" s="22">
        <v>0</v>
      </c>
      <c r="AA300" s="22">
        <v>0</v>
      </c>
      <c r="AB300" s="22">
        <v>0</v>
      </c>
      <c r="AC300" s="22">
        <v>0</v>
      </c>
      <c r="AD300" s="22">
        <v>0</v>
      </c>
      <c r="AE300" s="43"/>
      <c r="GR300" s="6"/>
      <c r="GS300" s="6"/>
      <c r="GT300" s="6"/>
      <c r="GU300" s="6"/>
      <c r="GV300" s="6"/>
      <c r="GW300" s="6"/>
      <c r="GX300" s="6"/>
      <c r="GY300" s="6"/>
      <c r="GZ300" s="6"/>
      <c r="HA300" s="6"/>
      <c r="HB300" s="6"/>
      <c r="HC300" s="6"/>
      <c r="HD300" s="6"/>
      <c r="HE300" s="6"/>
      <c r="HF300" s="6"/>
      <c r="HG300" s="6"/>
      <c r="HH300" s="6"/>
      <c r="HI300" s="6"/>
      <c r="HJ300" s="6"/>
      <c r="HK300" s="6"/>
      <c r="HL300" s="6"/>
      <c r="HM300" s="6"/>
      <c r="HN300" s="6"/>
      <c r="HO300" s="6"/>
      <c r="HP300" s="6"/>
    </row>
    <row r="301" spans="3:224" ht="20.100000000000001" customHeight="1">
      <c r="C301" s="11">
        <v>15405006</v>
      </c>
      <c r="D301" s="14" t="s">
        <v>335</v>
      </c>
      <c r="E301" s="14">
        <v>1140003</v>
      </c>
      <c r="F301" s="14">
        <v>14031</v>
      </c>
      <c r="G301" s="14">
        <v>1</v>
      </c>
      <c r="H301" s="14">
        <v>50</v>
      </c>
      <c r="I301" s="22">
        <v>0.2</v>
      </c>
      <c r="J301" s="23">
        <v>20</v>
      </c>
      <c r="K301" s="14">
        <v>0</v>
      </c>
      <c r="L301" s="14">
        <v>6680</v>
      </c>
      <c r="M301" s="14">
        <f t="shared" si="67"/>
        <v>48</v>
      </c>
      <c r="N301" s="14">
        <v>96</v>
      </c>
      <c r="O301" s="14">
        <v>0</v>
      </c>
      <c r="P301" s="14">
        <v>0</v>
      </c>
      <c r="Q301" s="14">
        <f t="shared" si="68"/>
        <v>32</v>
      </c>
      <c r="R301" s="14">
        <v>64</v>
      </c>
      <c r="S301" s="14">
        <f t="shared" si="69"/>
        <v>0</v>
      </c>
      <c r="T301" s="14">
        <v>0</v>
      </c>
      <c r="U301" s="22">
        <v>0</v>
      </c>
      <c r="V301" s="14">
        <v>0</v>
      </c>
      <c r="W301" s="14">
        <v>0</v>
      </c>
      <c r="X301" s="14">
        <v>0</v>
      </c>
      <c r="Y301" s="22">
        <v>0</v>
      </c>
      <c r="Z301" s="22">
        <v>0</v>
      </c>
      <c r="AA301" s="22">
        <v>0</v>
      </c>
      <c r="AB301" s="22">
        <v>0</v>
      </c>
      <c r="AC301" s="22">
        <v>0</v>
      </c>
      <c r="AD301" s="22">
        <v>0</v>
      </c>
      <c r="AE301" s="43"/>
      <c r="GR301" s="6"/>
      <c r="GS301" s="6"/>
      <c r="GT301" s="6"/>
      <c r="GU301" s="6"/>
      <c r="GV301" s="6"/>
      <c r="GW301" s="6"/>
      <c r="GX301" s="6"/>
      <c r="GY301" s="6"/>
      <c r="GZ301" s="6"/>
      <c r="HA301" s="6"/>
      <c r="HB301" s="6"/>
      <c r="HC301" s="6"/>
      <c r="HD301" s="6"/>
      <c r="HE301" s="6"/>
      <c r="HF301" s="6"/>
      <c r="HG301" s="6"/>
      <c r="HH301" s="6"/>
      <c r="HI301" s="6"/>
      <c r="HJ301" s="6"/>
      <c r="HK301" s="6"/>
      <c r="HL301" s="6"/>
      <c r="HM301" s="6"/>
      <c r="HN301" s="6"/>
      <c r="HO301" s="6"/>
      <c r="HP301" s="6"/>
    </row>
    <row r="302" spans="3:224" ht="20.100000000000001" customHeight="1">
      <c r="C302" s="11">
        <v>15406001</v>
      </c>
      <c r="D302" s="14" t="s">
        <v>336</v>
      </c>
      <c r="E302" s="14">
        <v>1140002</v>
      </c>
      <c r="F302" s="14">
        <v>0</v>
      </c>
      <c r="G302" s="14">
        <v>1</v>
      </c>
      <c r="H302" s="14">
        <v>50</v>
      </c>
      <c r="I302" s="22">
        <v>0.2</v>
      </c>
      <c r="J302" s="23">
        <v>20</v>
      </c>
      <c r="K302" s="14">
        <v>0</v>
      </c>
      <c r="L302" s="14">
        <v>0</v>
      </c>
      <c r="M302" s="14">
        <f t="shared" si="67"/>
        <v>100</v>
      </c>
      <c r="N302" s="14">
        <v>200</v>
      </c>
      <c r="O302" s="14">
        <v>0</v>
      </c>
      <c r="P302" s="14">
        <v>0</v>
      </c>
      <c r="Q302" s="14">
        <f t="shared" si="68"/>
        <v>31</v>
      </c>
      <c r="R302" s="14">
        <v>62</v>
      </c>
      <c r="S302" s="14">
        <f t="shared" si="69"/>
        <v>0</v>
      </c>
      <c r="T302" s="14">
        <v>0</v>
      </c>
      <c r="U302" s="22">
        <v>0</v>
      </c>
      <c r="V302" s="14">
        <v>0</v>
      </c>
      <c r="W302" s="14">
        <v>0</v>
      </c>
      <c r="X302" s="14">
        <v>0</v>
      </c>
      <c r="Y302" s="22">
        <v>0</v>
      </c>
      <c r="Z302" s="22">
        <v>0</v>
      </c>
      <c r="AA302" s="22">
        <v>0</v>
      </c>
      <c r="AB302" s="22">
        <v>0</v>
      </c>
      <c r="AC302" s="22">
        <v>0</v>
      </c>
      <c r="AD302" s="22">
        <v>0</v>
      </c>
      <c r="AE302" s="43"/>
      <c r="GR302" s="6"/>
      <c r="GS302" s="6"/>
      <c r="GT302" s="6"/>
      <c r="GU302" s="6"/>
      <c r="GV302" s="6"/>
      <c r="GW302" s="6"/>
      <c r="GX302" s="6"/>
      <c r="GY302" s="6"/>
      <c r="GZ302" s="6"/>
      <c r="HA302" s="6"/>
      <c r="HB302" s="6"/>
      <c r="HC302" s="6"/>
      <c r="HD302" s="6"/>
      <c r="HE302" s="6"/>
      <c r="HF302" s="6"/>
      <c r="HG302" s="6"/>
      <c r="HH302" s="6"/>
      <c r="HI302" s="6"/>
      <c r="HJ302" s="6"/>
      <c r="HK302" s="6"/>
      <c r="HL302" s="6"/>
      <c r="HM302" s="6"/>
      <c r="HN302" s="6"/>
      <c r="HO302" s="6"/>
      <c r="HP302" s="6"/>
    </row>
    <row r="303" spans="3:224" ht="20.100000000000001" customHeight="1">
      <c r="C303" s="11">
        <v>15406002</v>
      </c>
      <c r="D303" s="14" t="s">
        <v>337</v>
      </c>
      <c r="E303" s="14">
        <v>1140002</v>
      </c>
      <c r="F303" s="14">
        <v>0</v>
      </c>
      <c r="G303" s="14">
        <v>1</v>
      </c>
      <c r="H303" s="14">
        <v>50</v>
      </c>
      <c r="I303" s="22">
        <v>0.2</v>
      </c>
      <c r="J303" s="23">
        <v>20</v>
      </c>
      <c r="K303" s="14">
        <v>0</v>
      </c>
      <c r="L303" s="14">
        <v>0</v>
      </c>
      <c r="M303" s="14">
        <f t="shared" si="67"/>
        <v>128</v>
      </c>
      <c r="N303" s="14">
        <v>255</v>
      </c>
      <c r="O303" s="14">
        <v>0</v>
      </c>
      <c r="P303" s="14">
        <v>0</v>
      </c>
      <c r="Q303" s="14">
        <f t="shared" si="68"/>
        <v>39</v>
      </c>
      <c r="R303" s="14">
        <v>77</v>
      </c>
      <c r="S303" s="14">
        <f t="shared" si="69"/>
        <v>0</v>
      </c>
      <c r="T303" s="14">
        <v>0</v>
      </c>
      <c r="U303" s="22">
        <v>0</v>
      </c>
      <c r="V303" s="14">
        <v>0</v>
      </c>
      <c r="W303" s="14">
        <v>0</v>
      </c>
      <c r="X303" s="14">
        <v>0</v>
      </c>
      <c r="Y303" s="22">
        <v>0</v>
      </c>
      <c r="Z303" s="22">
        <v>0</v>
      </c>
      <c r="AA303" s="22">
        <v>0</v>
      </c>
      <c r="AB303" s="22">
        <v>0</v>
      </c>
      <c r="AC303" s="22">
        <v>0</v>
      </c>
      <c r="AD303" s="22">
        <v>0</v>
      </c>
      <c r="AE303" s="43"/>
      <c r="GR303" s="6"/>
      <c r="GS303" s="6"/>
      <c r="GT303" s="6"/>
      <c r="GU303" s="6"/>
      <c r="GV303" s="6"/>
      <c r="GW303" s="6"/>
      <c r="GX303" s="6"/>
      <c r="GY303" s="6"/>
      <c r="GZ303" s="6"/>
      <c r="HA303" s="6"/>
      <c r="HB303" s="6"/>
      <c r="HC303" s="6"/>
      <c r="HD303" s="6"/>
      <c r="HE303" s="6"/>
      <c r="HF303" s="6"/>
      <c r="HG303" s="6"/>
      <c r="HH303" s="6"/>
      <c r="HI303" s="6"/>
      <c r="HJ303" s="6"/>
      <c r="HK303" s="6"/>
      <c r="HL303" s="6"/>
      <c r="HM303" s="6"/>
      <c r="HN303" s="6"/>
      <c r="HO303" s="6"/>
      <c r="HP303" s="6"/>
    </row>
    <row r="304" spans="3:224" ht="20.100000000000001" customHeight="1">
      <c r="C304" s="11">
        <v>15406003</v>
      </c>
      <c r="D304" s="37" t="s">
        <v>338</v>
      </c>
      <c r="E304" s="14">
        <v>1140002</v>
      </c>
      <c r="F304" s="14">
        <v>14051</v>
      </c>
      <c r="G304" s="14">
        <v>1</v>
      </c>
      <c r="H304" s="14">
        <v>50</v>
      </c>
      <c r="I304" s="22">
        <v>0.2</v>
      </c>
      <c r="J304" s="23">
        <v>20</v>
      </c>
      <c r="K304" s="14">
        <v>0</v>
      </c>
      <c r="L304" s="14">
        <v>0</v>
      </c>
      <c r="M304" s="14">
        <f t="shared" ref="M304" si="73">ROUND(N304/2,0)</f>
        <v>160</v>
      </c>
      <c r="N304" s="14">
        <v>320</v>
      </c>
      <c r="O304" s="14">
        <v>0</v>
      </c>
      <c r="P304" s="14">
        <v>0</v>
      </c>
      <c r="Q304" s="14">
        <f t="shared" ref="Q304" si="74">ROUND(R304/2,0)</f>
        <v>50</v>
      </c>
      <c r="R304" s="14">
        <v>100</v>
      </c>
      <c r="S304" s="14">
        <f t="shared" ref="S304" si="75">ROUND(T304/2,0)</f>
        <v>0</v>
      </c>
      <c r="T304" s="14">
        <v>0</v>
      </c>
      <c r="U304" s="22">
        <v>0</v>
      </c>
      <c r="V304" s="14">
        <v>0</v>
      </c>
      <c r="W304" s="14">
        <v>0</v>
      </c>
      <c r="X304" s="14">
        <v>0</v>
      </c>
      <c r="Y304" s="22">
        <v>0</v>
      </c>
      <c r="Z304" s="22">
        <v>0</v>
      </c>
      <c r="AA304" s="22">
        <v>0</v>
      </c>
      <c r="AB304" s="22">
        <v>0</v>
      </c>
      <c r="AC304" s="22">
        <v>0</v>
      </c>
      <c r="AD304" s="22">
        <v>0</v>
      </c>
      <c r="AE304" s="43"/>
      <c r="GR304" s="6"/>
      <c r="GS304" s="6"/>
      <c r="GT304" s="6"/>
      <c r="GU304" s="6"/>
      <c r="GV304" s="6"/>
      <c r="GW304" s="6"/>
      <c r="GX304" s="6"/>
      <c r="GY304" s="6"/>
      <c r="GZ304" s="6"/>
      <c r="HA304" s="6"/>
      <c r="HB304" s="6"/>
      <c r="HC304" s="6"/>
      <c r="HD304" s="6"/>
      <c r="HE304" s="6"/>
      <c r="HF304" s="6"/>
      <c r="HG304" s="6"/>
      <c r="HH304" s="6"/>
      <c r="HI304" s="6"/>
      <c r="HJ304" s="6"/>
      <c r="HK304" s="6"/>
      <c r="HL304" s="6"/>
      <c r="HM304" s="6"/>
      <c r="HN304" s="6"/>
      <c r="HO304" s="6"/>
      <c r="HP304" s="6"/>
    </row>
    <row r="305" spans="3:224" ht="20.100000000000001" customHeight="1">
      <c r="C305" s="11">
        <v>15407001</v>
      </c>
      <c r="D305" s="14" t="s">
        <v>339</v>
      </c>
      <c r="E305" s="14">
        <v>1140002</v>
      </c>
      <c r="F305" s="14">
        <v>0</v>
      </c>
      <c r="G305" s="14">
        <v>1</v>
      </c>
      <c r="H305" s="14">
        <v>50</v>
      </c>
      <c r="I305" s="22">
        <v>0.2</v>
      </c>
      <c r="J305" s="23">
        <v>20</v>
      </c>
      <c r="K305" s="14">
        <v>0</v>
      </c>
      <c r="L305" s="14">
        <v>0</v>
      </c>
      <c r="M305" s="14">
        <f t="shared" si="67"/>
        <v>100</v>
      </c>
      <c r="N305" s="14">
        <v>200</v>
      </c>
      <c r="O305" s="14">
        <v>0</v>
      </c>
      <c r="P305" s="14">
        <v>0</v>
      </c>
      <c r="Q305" s="14">
        <f t="shared" si="68"/>
        <v>0</v>
      </c>
      <c r="R305" s="14">
        <v>0</v>
      </c>
      <c r="S305" s="14">
        <f t="shared" si="69"/>
        <v>31</v>
      </c>
      <c r="T305" s="14">
        <v>62</v>
      </c>
      <c r="U305" s="22">
        <v>0</v>
      </c>
      <c r="V305" s="14">
        <v>0</v>
      </c>
      <c r="W305" s="14">
        <v>0</v>
      </c>
      <c r="X305" s="14">
        <v>0</v>
      </c>
      <c r="Y305" s="22">
        <v>0</v>
      </c>
      <c r="Z305" s="22">
        <v>0</v>
      </c>
      <c r="AA305" s="22">
        <v>0</v>
      </c>
      <c r="AB305" s="22">
        <v>0</v>
      </c>
      <c r="AC305" s="22">
        <v>0</v>
      </c>
      <c r="AD305" s="22">
        <v>0</v>
      </c>
      <c r="AE305" s="43"/>
      <c r="GR305" s="6"/>
      <c r="GS305" s="6"/>
      <c r="GT305" s="6"/>
      <c r="GU305" s="6"/>
      <c r="GV305" s="6"/>
      <c r="GW305" s="6"/>
      <c r="GX305" s="6"/>
      <c r="GY305" s="6"/>
      <c r="GZ305" s="6"/>
      <c r="HA305" s="6"/>
      <c r="HB305" s="6"/>
      <c r="HC305" s="6"/>
      <c r="HD305" s="6"/>
      <c r="HE305" s="6"/>
      <c r="HF305" s="6"/>
      <c r="HG305" s="6"/>
      <c r="HH305" s="6"/>
      <c r="HI305" s="6"/>
      <c r="HJ305" s="6"/>
      <c r="HK305" s="6"/>
      <c r="HL305" s="6"/>
      <c r="HM305" s="6"/>
      <c r="HN305" s="6"/>
      <c r="HO305" s="6"/>
      <c r="HP305" s="6"/>
    </row>
    <row r="306" spans="3:224" ht="20.100000000000001" customHeight="1">
      <c r="C306" s="11">
        <v>15407002</v>
      </c>
      <c r="D306" s="14" t="s">
        <v>340</v>
      </c>
      <c r="E306" s="14">
        <v>1140002</v>
      </c>
      <c r="F306" s="14">
        <v>0</v>
      </c>
      <c r="G306" s="14">
        <v>1</v>
      </c>
      <c r="H306" s="14">
        <v>50</v>
      </c>
      <c r="I306" s="22">
        <v>0.2</v>
      </c>
      <c r="J306" s="23">
        <v>20</v>
      </c>
      <c r="K306" s="14">
        <v>0</v>
      </c>
      <c r="L306" s="14">
        <v>0</v>
      </c>
      <c r="M306" s="14">
        <f t="shared" si="67"/>
        <v>128</v>
      </c>
      <c r="N306" s="14">
        <v>255</v>
      </c>
      <c r="O306" s="14">
        <v>0</v>
      </c>
      <c r="P306" s="14">
        <v>0</v>
      </c>
      <c r="Q306" s="14">
        <f t="shared" si="68"/>
        <v>0</v>
      </c>
      <c r="R306" s="14">
        <v>0</v>
      </c>
      <c r="S306" s="14">
        <f t="shared" si="69"/>
        <v>39</v>
      </c>
      <c r="T306" s="14">
        <v>77</v>
      </c>
      <c r="U306" s="22">
        <v>0</v>
      </c>
      <c r="V306" s="14">
        <v>0</v>
      </c>
      <c r="W306" s="14">
        <v>0</v>
      </c>
      <c r="X306" s="14">
        <v>0</v>
      </c>
      <c r="Y306" s="22">
        <v>0</v>
      </c>
      <c r="Z306" s="22">
        <v>0</v>
      </c>
      <c r="AA306" s="22">
        <v>0</v>
      </c>
      <c r="AB306" s="22">
        <v>0</v>
      </c>
      <c r="AC306" s="22">
        <v>0</v>
      </c>
      <c r="AD306" s="22">
        <v>0</v>
      </c>
      <c r="AE306" s="43"/>
      <c r="GR306" s="6"/>
      <c r="GS306" s="6"/>
      <c r="GT306" s="6"/>
      <c r="GU306" s="6"/>
      <c r="GV306" s="6"/>
      <c r="GW306" s="6"/>
      <c r="GX306" s="6"/>
      <c r="GY306" s="6"/>
      <c r="GZ306" s="6"/>
      <c r="HA306" s="6"/>
      <c r="HB306" s="6"/>
      <c r="HC306" s="6"/>
      <c r="HD306" s="6"/>
      <c r="HE306" s="6"/>
      <c r="HF306" s="6"/>
      <c r="HG306" s="6"/>
      <c r="HH306" s="6"/>
      <c r="HI306" s="6"/>
      <c r="HJ306" s="6"/>
      <c r="HK306" s="6"/>
      <c r="HL306" s="6"/>
      <c r="HM306" s="6"/>
      <c r="HN306" s="6"/>
      <c r="HO306" s="6"/>
      <c r="HP306" s="6"/>
    </row>
    <row r="307" spans="3:224" s="4" customFormat="1" ht="20.100000000000001" customHeight="1">
      <c r="C307" s="17">
        <v>15407003</v>
      </c>
      <c r="D307" s="19" t="s">
        <v>341</v>
      </c>
      <c r="E307" s="19">
        <v>1140002</v>
      </c>
      <c r="F307" s="19">
        <v>0</v>
      </c>
      <c r="G307" s="19">
        <v>1</v>
      </c>
      <c r="H307" s="19">
        <v>50</v>
      </c>
      <c r="I307" s="26">
        <v>0.2</v>
      </c>
      <c r="J307" s="23">
        <v>20</v>
      </c>
      <c r="K307" s="19">
        <v>0</v>
      </c>
      <c r="L307" s="19">
        <v>0</v>
      </c>
      <c r="M307" s="19">
        <f t="shared" ref="M307" si="76">ROUND(N307/2,0)</f>
        <v>150</v>
      </c>
      <c r="N307" s="19">
        <v>300</v>
      </c>
      <c r="O307" s="19">
        <v>0</v>
      </c>
      <c r="P307" s="19">
        <v>0</v>
      </c>
      <c r="Q307" s="19">
        <f t="shared" ref="Q307" si="77">ROUND(R307/2,0)</f>
        <v>0</v>
      </c>
      <c r="R307" s="19">
        <v>0</v>
      </c>
      <c r="S307" s="19">
        <f t="shared" ref="S307" si="78">ROUND(T307/2,0)</f>
        <v>39</v>
      </c>
      <c r="T307" s="19">
        <v>77</v>
      </c>
      <c r="U307" s="26">
        <v>0</v>
      </c>
      <c r="V307" s="19">
        <v>0</v>
      </c>
      <c r="W307" s="19">
        <v>0</v>
      </c>
      <c r="X307" s="19">
        <v>0</v>
      </c>
      <c r="Y307" s="26">
        <v>0</v>
      </c>
      <c r="Z307" s="26">
        <v>0</v>
      </c>
      <c r="AA307" s="26">
        <v>0</v>
      </c>
      <c r="AB307" s="26">
        <v>204001</v>
      </c>
      <c r="AC307" s="26">
        <v>500</v>
      </c>
      <c r="AD307" s="26">
        <v>1</v>
      </c>
      <c r="AE307" s="47"/>
      <c r="AF307" s="34"/>
      <c r="AG307" s="34"/>
      <c r="AH307" s="34"/>
      <c r="AI307" s="34"/>
      <c r="AJ307" s="34"/>
      <c r="AK307" s="34"/>
      <c r="AL307" s="34"/>
      <c r="AM307" s="34"/>
      <c r="AN307" s="34"/>
      <c r="AO307" s="34"/>
      <c r="AP307" s="34"/>
      <c r="AQ307" s="34"/>
      <c r="AR307" s="34"/>
      <c r="AS307" s="34"/>
      <c r="AT307" s="34"/>
      <c r="AU307" s="34"/>
      <c r="AV307" s="34"/>
      <c r="AW307" s="34"/>
      <c r="AX307" s="34"/>
      <c r="AY307" s="34"/>
      <c r="AZ307" s="34"/>
      <c r="BA307" s="34"/>
      <c r="BB307" s="34"/>
      <c r="BC307" s="34"/>
      <c r="BD307" s="34"/>
      <c r="BE307" s="34"/>
      <c r="BF307" s="34"/>
      <c r="BG307" s="34"/>
      <c r="BH307" s="34"/>
      <c r="BI307" s="34"/>
      <c r="BJ307" s="34"/>
      <c r="BK307" s="34"/>
      <c r="BL307" s="34"/>
      <c r="BM307" s="34"/>
      <c r="BN307" s="34"/>
      <c r="BO307" s="34"/>
      <c r="BP307" s="34"/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  <c r="CE307" s="34"/>
      <c r="CF307" s="34"/>
      <c r="CG307" s="34"/>
      <c r="CH307" s="34"/>
      <c r="CI307" s="34"/>
      <c r="CJ307" s="34"/>
      <c r="CK307" s="34"/>
      <c r="CL307" s="34"/>
      <c r="CM307" s="34"/>
      <c r="CN307" s="34"/>
      <c r="CO307" s="34"/>
      <c r="CP307" s="34"/>
      <c r="CQ307" s="34"/>
      <c r="CR307" s="34"/>
      <c r="CS307" s="34"/>
      <c r="CT307" s="34"/>
      <c r="CU307" s="34"/>
      <c r="CV307" s="34"/>
      <c r="CW307" s="34"/>
      <c r="CX307" s="34"/>
      <c r="CY307" s="34"/>
      <c r="CZ307" s="34"/>
      <c r="DA307" s="34"/>
      <c r="DB307" s="34"/>
      <c r="DC307" s="34"/>
      <c r="DD307" s="34"/>
      <c r="DE307" s="34"/>
      <c r="DF307" s="34"/>
      <c r="DG307" s="34"/>
      <c r="DH307" s="34"/>
      <c r="DI307" s="34"/>
      <c r="DJ307" s="34"/>
      <c r="DK307" s="34"/>
      <c r="DL307" s="34"/>
      <c r="DM307" s="34"/>
      <c r="DN307" s="34"/>
      <c r="DO307" s="34"/>
      <c r="DP307" s="34"/>
      <c r="DQ307" s="34"/>
      <c r="DR307" s="34"/>
      <c r="DS307" s="34"/>
      <c r="DT307" s="34"/>
      <c r="DU307" s="34"/>
      <c r="DV307" s="34"/>
      <c r="DW307" s="34"/>
      <c r="DX307" s="34"/>
      <c r="DY307" s="34"/>
      <c r="DZ307" s="34"/>
      <c r="EA307" s="34"/>
      <c r="EB307" s="34"/>
      <c r="EC307" s="34"/>
      <c r="ED307" s="34"/>
      <c r="EE307" s="34"/>
      <c r="EF307" s="34"/>
      <c r="EG307" s="34"/>
      <c r="EH307" s="34"/>
      <c r="EI307" s="34"/>
      <c r="EJ307" s="34"/>
      <c r="EK307" s="34"/>
      <c r="EL307" s="34"/>
      <c r="EM307" s="34"/>
      <c r="EN307" s="34"/>
      <c r="EO307" s="34"/>
      <c r="EP307" s="34"/>
      <c r="EQ307" s="34"/>
      <c r="ER307" s="34"/>
      <c r="ES307" s="34"/>
      <c r="ET307" s="34"/>
      <c r="EU307" s="34"/>
      <c r="EV307" s="34"/>
      <c r="EW307" s="34"/>
      <c r="EX307" s="34"/>
      <c r="EY307" s="34"/>
      <c r="EZ307" s="34"/>
      <c r="FA307" s="34"/>
      <c r="FB307" s="34"/>
      <c r="FC307" s="34"/>
      <c r="FD307" s="34"/>
      <c r="FE307" s="34"/>
      <c r="FF307" s="34"/>
      <c r="FG307" s="34"/>
      <c r="FH307" s="34"/>
      <c r="FI307" s="34"/>
      <c r="FJ307" s="34"/>
      <c r="FK307" s="34"/>
      <c r="FL307" s="34"/>
      <c r="FM307" s="34"/>
      <c r="FN307" s="34"/>
      <c r="FO307" s="34"/>
      <c r="FP307" s="34"/>
      <c r="FQ307" s="34"/>
      <c r="FR307" s="34"/>
      <c r="FS307" s="34"/>
      <c r="FT307" s="34"/>
      <c r="FU307" s="34"/>
      <c r="FV307" s="34"/>
      <c r="FW307" s="34"/>
      <c r="FX307" s="34"/>
      <c r="FY307" s="34"/>
      <c r="FZ307" s="34"/>
      <c r="GA307" s="34"/>
      <c r="GB307" s="34"/>
      <c r="GC307" s="34"/>
      <c r="GD307" s="34"/>
      <c r="GE307" s="34"/>
      <c r="GF307" s="34"/>
      <c r="GG307" s="34"/>
      <c r="GH307" s="34"/>
      <c r="GI307" s="34"/>
      <c r="GJ307" s="34"/>
      <c r="GK307" s="34"/>
      <c r="GL307" s="34"/>
      <c r="GM307" s="34"/>
      <c r="GN307" s="34"/>
      <c r="GO307" s="34"/>
      <c r="GP307" s="34"/>
      <c r="GQ307" s="34"/>
      <c r="GR307" s="34"/>
      <c r="GS307" s="34"/>
      <c r="GT307" s="34"/>
      <c r="GU307" s="34"/>
      <c r="GV307" s="34"/>
      <c r="GW307" s="34"/>
      <c r="GX307" s="34"/>
      <c r="GY307" s="34"/>
      <c r="GZ307" s="34"/>
      <c r="HA307" s="34"/>
      <c r="HB307" s="34"/>
      <c r="HC307" s="34"/>
      <c r="HD307" s="34"/>
      <c r="HE307" s="34"/>
      <c r="HF307" s="34"/>
      <c r="HG307" s="34"/>
      <c r="HH307" s="34"/>
      <c r="HI307" s="34"/>
      <c r="HJ307" s="34"/>
      <c r="HK307" s="34"/>
      <c r="HL307" s="34"/>
      <c r="HM307" s="34"/>
      <c r="HN307" s="34"/>
      <c r="HO307" s="34"/>
      <c r="HP307" s="34"/>
    </row>
    <row r="308" spans="3:224" ht="20.100000000000001" customHeight="1">
      <c r="C308" s="11">
        <v>15408001</v>
      </c>
      <c r="D308" s="14" t="s">
        <v>151</v>
      </c>
      <c r="E308" s="14">
        <v>1140002</v>
      </c>
      <c r="F308" s="14">
        <v>0</v>
      </c>
      <c r="G308" s="14">
        <v>1</v>
      </c>
      <c r="H308" s="14">
        <v>50</v>
      </c>
      <c r="I308" s="22">
        <v>0.2</v>
      </c>
      <c r="J308" s="23">
        <v>20</v>
      </c>
      <c r="K308" s="14">
        <v>0</v>
      </c>
      <c r="L308" s="14">
        <v>0</v>
      </c>
      <c r="M308" s="14">
        <v>20</v>
      </c>
      <c r="N308" s="14">
        <v>35</v>
      </c>
      <c r="O308" s="14">
        <v>0</v>
      </c>
      <c r="P308" s="14">
        <v>0</v>
      </c>
      <c r="Q308" s="14">
        <f t="shared" si="68"/>
        <v>0</v>
      </c>
      <c r="R308" s="14">
        <v>0</v>
      </c>
      <c r="S308" s="14">
        <f t="shared" si="69"/>
        <v>0</v>
      </c>
      <c r="T308" s="14">
        <v>0</v>
      </c>
      <c r="U308" s="22">
        <v>0</v>
      </c>
      <c r="V308" s="14">
        <v>0</v>
      </c>
      <c r="W308" s="14">
        <v>0</v>
      </c>
      <c r="X308" s="14">
        <v>0</v>
      </c>
      <c r="Y308" s="22">
        <v>0</v>
      </c>
      <c r="Z308" s="22">
        <v>0</v>
      </c>
      <c r="AA308" s="22">
        <v>0</v>
      </c>
      <c r="AB308" s="22">
        <v>0</v>
      </c>
      <c r="AC308" s="22">
        <v>0</v>
      </c>
      <c r="AD308" s="22">
        <v>0</v>
      </c>
      <c r="AE308" s="43"/>
      <c r="GR308" s="6"/>
      <c r="GS308" s="6"/>
      <c r="GT308" s="6"/>
      <c r="GU308" s="6"/>
      <c r="GV308" s="6"/>
      <c r="GW308" s="6"/>
      <c r="GX308" s="6"/>
      <c r="GY308" s="6"/>
      <c r="GZ308" s="6"/>
      <c r="HA308" s="6"/>
      <c r="HB308" s="6"/>
      <c r="HC308" s="6"/>
      <c r="HD308" s="6"/>
      <c r="HE308" s="6"/>
      <c r="HF308" s="6"/>
      <c r="HG308" s="6"/>
      <c r="HH308" s="6"/>
      <c r="HI308" s="6"/>
      <c r="HJ308" s="6"/>
      <c r="HK308" s="6"/>
      <c r="HL308" s="6"/>
      <c r="HM308" s="6"/>
      <c r="HN308" s="6"/>
      <c r="HO308" s="6"/>
      <c r="HP308" s="6"/>
    </row>
    <row r="309" spans="3:224" ht="20.100000000000001" customHeight="1">
      <c r="C309" s="11">
        <v>15408002</v>
      </c>
      <c r="D309" s="14" t="s">
        <v>342</v>
      </c>
      <c r="E309" s="14">
        <v>1140002</v>
      </c>
      <c r="F309" s="14">
        <v>0</v>
      </c>
      <c r="G309" s="14">
        <v>1</v>
      </c>
      <c r="H309" s="14">
        <v>50</v>
      </c>
      <c r="I309" s="22">
        <v>0.2</v>
      </c>
      <c r="J309" s="23">
        <v>20</v>
      </c>
      <c r="K309" s="14">
        <v>0</v>
      </c>
      <c r="L309" s="14">
        <v>0</v>
      </c>
      <c r="M309" s="14">
        <v>25</v>
      </c>
      <c r="N309" s="14">
        <v>45</v>
      </c>
      <c r="O309" s="14">
        <v>0</v>
      </c>
      <c r="P309" s="14">
        <v>0</v>
      </c>
      <c r="Q309" s="14">
        <f t="shared" si="68"/>
        <v>0</v>
      </c>
      <c r="R309" s="14">
        <v>0</v>
      </c>
      <c r="S309" s="14">
        <f t="shared" si="69"/>
        <v>0</v>
      </c>
      <c r="T309" s="14">
        <v>0</v>
      </c>
      <c r="U309" s="22">
        <v>0</v>
      </c>
      <c r="V309" s="14">
        <v>0</v>
      </c>
      <c r="W309" s="14">
        <v>0</v>
      </c>
      <c r="X309" s="14">
        <v>0</v>
      </c>
      <c r="Y309" s="22">
        <v>0</v>
      </c>
      <c r="Z309" s="22">
        <v>0</v>
      </c>
      <c r="AA309" s="22">
        <v>0</v>
      </c>
      <c r="AB309" s="22">
        <v>0</v>
      </c>
      <c r="AC309" s="22">
        <v>0</v>
      </c>
      <c r="AD309" s="22">
        <v>0</v>
      </c>
      <c r="AE309" s="43"/>
      <c r="GR309" s="6"/>
      <c r="GS309" s="6"/>
      <c r="GT309" s="6"/>
      <c r="GU309" s="6"/>
      <c r="GV309" s="6"/>
      <c r="GW309" s="6"/>
      <c r="GX309" s="6"/>
      <c r="GY309" s="6"/>
      <c r="GZ309" s="6"/>
      <c r="HA309" s="6"/>
      <c r="HB309" s="6"/>
      <c r="HC309" s="6"/>
      <c r="HD309" s="6"/>
      <c r="HE309" s="6"/>
      <c r="HF309" s="6"/>
      <c r="HG309" s="6"/>
      <c r="HH309" s="6"/>
      <c r="HI309" s="6"/>
      <c r="HJ309" s="6"/>
      <c r="HK309" s="6"/>
      <c r="HL309" s="6"/>
      <c r="HM309" s="6"/>
      <c r="HN309" s="6"/>
      <c r="HO309" s="6"/>
      <c r="HP309" s="6"/>
    </row>
    <row r="310" spans="3:224" s="4" customFormat="1" ht="20.100000000000001" customHeight="1">
      <c r="C310" s="17">
        <v>15408003</v>
      </c>
      <c r="D310" s="19" t="s">
        <v>343</v>
      </c>
      <c r="E310" s="19">
        <v>1140002</v>
      </c>
      <c r="F310" s="19">
        <v>0</v>
      </c>
      <c r="G310" s="19">
        <v>1</v>
      </c>
      <c r="H310" s="19">
        <v>50</v>
      </c>
      <c r="I310" s="26">
        <v>0.2</v>
      </c>
      <c r="J310" s="23">
        <v>20</v>
      </c>
      <c r="K310" s="19">
        <v>0</v>
      </c>
      <c r="L310" s="19">
        <v>0</v>
      </c>
      <c r="M310" s="19">
        <v>25</v>
      </c>
      <c r="N310" s="19">
        <v>55</v>
      </c>
      <c r="O310" s="19">
        <v>0</v>
      </c>
      <c r="P310" s="19">
        <v>0</v>
      </c>
      <c r="Q310" s="19">
        <f t="shared" ref="Q310" si="79">ROUND(R310/2,0)</f>
        <v>0</v>
      </c>
      <c r="R310" s="19">
        <v>0</v>
      </c>
      <c r="S310" s="19">
        <f t="shared" ref="S310" si="80">ROUND(T310/2,0)</f>
        <v>0</v>
      </c>
      <c r="T310" s="19">
        <v>0</v>
      </c>
      <c r="U310" s="26">
        <v>0</v>
      </c>
      <c r="V310" s="19">
        <v>0</v>
      </c>
      <c r="W310" s="19">
        <v>0</v>
      </c>
      <c r="X310" s="19">
        <v>0</v>
      </c>
      <c r="Y310" s="26">
        <v>0</v>
      </c>
      <c r="Z310" s="26">
        <v>0</v>
      </c>
      <c r="AA310" s="26">
        <v>0</v>
      </c>
      <c r="AB310" s="26">
        <v>0</v>
      </c>
      <c r="AC310" s="26">
        <v>0</v>
      </c>
      <c r="AD310" s="26">
        <v>0</v>
      </c>
      <c r="AE310" s="47"/>
      <c r="AF310" s="34"/>
      <c r="AG310" s="34"/>
      <c r="AH310" s="34"/>
      <c r="AI310" s="34"/>
      <c r="AJ310" s="34"/>
      <c r="AK310" s="34"/>
      <c r="AL310" s="34"/>
      <c r="AM310" s="34"/>
      <c r="AN310" s="34"/>
      <c r="AO310" s="34"/>
      <c r="AP310" s="34"/>
      <c r="AQ310" s="34"/>
      <c r="AR310" s="34"/>
      <c r="AS310" s="34"/>
      <c r="AT310" s="34"/>
      <c r="AU310" s="34"/>
      <c r="AV310" s="34"/>
      <c r="AW310" s="34"/>
      <c r="AX310" s="34"/>
      <c r="AY310" s="34"/>
      <c r="AZ310" s="34"/>
      <c r="BA310" s="34"/>
      <c r="BB310" s="34"/>
      <c r="BC310" s="34"/>
      <c r="BD310" s="34"/>
      <c r="BE310" s="34"/>
      <c r="BF310" s="34"/>
      <c r="BG310" s="34"/>
      <c r="BH310" s="34"/>
      <c r="BI310" s="34"/>
      <c r="BJ310" s="34"/>
      <c r="BK310" s="34"/>
      <c r="BL310" s="34"/>
      <c r="BM310" s="34"/>
      <c r="BN310" s="34"/>
      <c r="BO310" s="34"/>
      <c r="BP310" s="34"/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  <c r="CE310" s="34"/>
      <c r="CF310" s="34"/>
      <c r="CG310" s="34"/>
      <c r="CH310" s="34"/>
      <c r="CI310" s="34"/>
      <c r="CJ310" s="34"/>
      <c r="CK310" s="34"/>
      <c r="CL310" s="34"/>
      <c r="CM310" s="34"/>
      <c r="CN310" s="34"/>
      <c r="CO310" s="34"/>
      <c r="CP310" s="34"/>
      <c r="CQ310" s="34"/>
      <c r="CR310" s="34"/>
      <c r="CS310" s="34"/>
      <c r="CT310" s="34"/>
      <c r="CU310" s="34"/>
      <c r="CV310" s="34"/>
      <c r="CW310" s="34"/>
      <c r="CX310" s="34"/>
      <c r="CY310" s="34"/>
      <c r="CZ310" s="34"/>
      <c r="DA310" s="34"/>
      <c r="DB310" s="34"/>
      <c r="DC310" s="34"/>
      <c r="DD310" s="34"/>
      <c r="DE310" s="34"/>
      <c r="DF310" s="34"/>
      <c r="DG310" s="34"/>
      <c r="DH310" s="34"/>
      <c r="DI310" s="34"/>
      <c r="DJ310" s="34"/>
      <c r="DK310" s="34"/>
      <c r="DL310" s="34"/>
      <c r="DM310" s="34"/>
      <c r="DN310" s="34"/>
      <c r="DO310" s="34"/>
      <c r="DP310" s="34"/>
      <c r="DQ310" s="34"/>
      <c r="DR310" s="34"/>
      <c r="DS310" s="34"/>
      <c r="DT310" s="34"/>
      <c r="DU310" s="34"/>
      <c r="DV310" s="34"/>
      <c r="DW310" s="34"/>
      <c r="DX310" s="34"/>
      <c r="DY310" s="34"/>
      <c r="DZ310" s="34"/>
      <c r="EA310" s="34"/>
      <c r="EB310" s="34"/>
      <c r="EC310" s="34"/>
      <c r="ED310" s="34"/>
      <c r="EE310" s="34"/>
      <c r="EF310" s="34"/>
      <c r="EG310" s="34"/>
      <c r="EH310" s="34"/>
      <c r="EI310" s="34"/>
      <c r="EJ310" s="34"/>
      <c r="EK310" s="34"/>
      <c r="EL310" s="34"/>
      <c r="EM310" s="34"/>
      <c r="EN310" s="34"/>
      <c r="EO310" s="34"/>
      <c r="EP310" s="34"/>
      <c r="EQ310" s="34"/>
      <c r="ER310" s="34"/>
      <c r="ES310" s="34"/>
      <c r="ET310" s="34"/>
      <c r="EU310" s="34"/>
      <c r="EV310" s="34"/>
      <c r="EW310" s="34"/>
      <c r="EX310" s="34"/>
      <c r="EY310" s="34"/>
      <c r="EZ310" s="34"/>
      <c r="FA310" s="34"/>
      <c r="FB310" s="34"/>
      <c r="FC310" s="34"/>
      <c r="FD310" s="34"/>
      <c r="FE310" s="34"/>
      <c r="FF310" s="34"/>
      <c r="FG310" s="34"/>
      <c r="FH310" s="34"/>
      <c r="FI310" s="34"/>
      <c r="FJ310" s="34"/>
      <c r="FK310" s="34"/>
      <c r="FL310" s="34"/>
      <c r="FM310" s="34"/>
      <c r="FN310" s="34"/>
      <c r="FO310" s="34"/>
      <c r="FP310" s="34"/>
      <c r="FQ310" s="34"/>
      <c r="FR310" s="34"/>
      <c r="FS310" s="34"/>
      <c r="FT310" s="34"/>
      <c r="FU310" s="34"/>
      <c r="FV310" s="34"/>
      <c r="FW310" s="34"/>
      <c r="FX310" s="34"/>
      <c r="FY310" s="34"/>
      <c r="FZ310" s="34"/>
      <c r="GA310" s="34"/>
      <c r="GB310" s="34"/>
      <c r="GC310" s="34"/>
      <c r="GD310" s="34"/>
      <c r="GE310" s="34"/>
      <c r="GF310" s="34"/>
      <c r="GG310" s="34"/>
      <c r="GH310" s="34"/>
      <c r="GI310" s="34"/>
      <c r="GJ310" s="34"/>
      <c r="GK310" s="34"/>
      <c r="GL310" s="34"/>
      <c r="GM310" s="34"/>
      <c r="GN310" s="34"/>
      <c r="GO310" s="34"/>
      <c r="GP310" s="34"/>
      <c r="GQ310" s="34"/>
      <c r="GR310" s="34"/>
      <c r="GS310" s="34"/>
      <c r="GT310" s="34"/>
      <c r="GU310" s="34"/>
      <c r="GV310" s="34"/>
      <c r="GW310" s="34"/>
      <c r="GX310" s="34"/>
      <c r="GY310" s="34"/>
      <c r="GZ310" s="34"/>
      <c r="HA310" s="34"/>
      <c r="HB310" s="34"/>
      <c r="HC310" s="34"/>
      <c r="HD310" s="34"/>
      <c r="HE310" s="34"/>
      <c r="HF310" s="34"/>
      <c r="HG310" s="34"/>
      <c r="HH310" s="34"/>
      <c r="HI310" s="34"/>
      <c r="HJ310" s="34"/>
      <c r="HK310" s="34"/>
      <c r="HL310" s="34"/>
      <c r="HM310" s="34"/>
      <c r="HN310" s="34"/>
      <c r="HO310" s="34"/>
      <c r="HP310" s="34"/>
    </row>
    <row r="311" spans="3:224" ht="20.100000000000001" customHeight="1">
      <c r="C311" s="11">
        <v>15409001</v>
      </c>
      <c r="D311" s="14" t="s">
        <v>344</v>
      </c>
      <c r="E311" s="14">
        <v>1140001</v>
      </c>
      <c r="F311" s="14">
        <v>0</v>
      </c>
      <c r="G311" s="14">
        <v>1</v>
      </c>
      <c r="H311" s="14">
        <v>50</v>
      </c>
      <c r="I311" s="22">
        <v>0.2</v>
      </c>
      <c r="J311" s="23">
        <v>20</v>
      </c>
      <c r="K311" s="14">
        <v>0</v>
      </c>
      <c r="L311" s="14">
        <v>5750</v>
      </c>
      <c r="M311" s="14">
        <f t="shared" si="67"/>
        <v>0</v>
      </c>
      <c r="N311" s="14">
        <v>0</v>
      </c>
      <c r="O311" s="14">
        <v>0</v>
      </c>
      <c r="P311" s="14">
        <v>0</v>
      </c>
      <c r="Q311" s="14">
        <f t="shared" si="68"/>
        <v>0</v>
      </c>
      <c r="R311" s="14">
        <v>0</v>
      </c>
      <c r="S311" s="14">
        <f t="shared" si="69"/>
        <v>0</v>
      </c>
      <c r="T311" s="14">
        <v>0</v>
      </c>
      <c r="U311" s="22">
        <v>0</v>
      </c>
      <c r="V311" s="14">
        <v>0</v>
      </c>
      <c r="W311" s="14">
        <v>0</v>
      </c>
      <c r="X311" s="14">
        <v>0</v>
      </c>
      <c r="Y311" s="22">
        <v>0</v>
      </c>
      <c r="Z311" s="22">
        <v>0</v>
      </c>
      <c r="AA311" s="22">
        <v>0</v>
      </c>
      <c r="AB311" s="22">
        <v>0</v>
      </c>
      <c r="AC311" s="22">
        <v>0</v>
      </c>
      <c r="AD311" s="22">
        <v>0</v>
      </c>
      <c r="AE311" s="43"/>
      <c r="GR311" s="6"/>
      <c r="GS311" s="6"/>
      <c r="GT311" s="6"/>
      <c r="GU311" s="6"/>
      <c r="GV311" s="6"/>
      <c r="GW311" s="6"/>
      <c r="GX311" s="6"/>
      <c r="GY311" s="6"/>
      <c r="GZ311" s="6"/>
      <c r="HA311" s="6"/>
      <c r="HB311" s="6"/>
      <c r="HC311" s="6"/>
      <c r="HD311" s="6"/>
      <c r="HE311" s="6"/>
      <c r="HF311" s="6"/>
      <c r="HG311" s="6"/>
      <c r="HH311" s="6"/>
      <c r="HI311" s="6"/>
      <c r="HJ311" s="6"/>
      <c r="HK311" s="6"/>
      <c r="HL311" s="6"/>
      <c r="HM311" s="6"/>
      <c r="HN311" s="6"/>
      <c r="HO311" s="6"/>
      <c r="HP311" s="6"/>
    </row>
    <row r="312" spans="3:224" ht="20.100000000000001" customHeight="1">
      <c r="C312" s="11">
        <v>15409002</v>
      </c>
      <c r="D312" s="14" t="s">
        <v>345</v>
      </c>
      <c r="E312" s="14">
        <v>1140001</v>
      </c>
      <c r="F312" s="14">
        <v>0</v>
      </c>
      <c r="G312" s="14">
        <v>1</v>
      </c>
      <c r="H312" s="14">
        <v>50</v>
      </c>
      <c r="I312" s="22">
        <v>0.2</v>
      </c>
      <c r="J312" s="23">
        <v>20</v>
      </c>
      <c r="K312" s="14">
        <v>0</v>
      </c>
      <c r="L312" s="14">
        <v>7140</v>
      </c>
      <c r="M312" s="14">
        <f t="shared" si="67"/>
        <v>0</v>
      </c>
      <c r="N312" s="14">
        <v>0</v>
      </c>
      <c r="O312" s="14">
        <v>0</v>
      </c>
      <c r="P312" s="14">
        <v>0</v>
      </c>
      <c r="Q312" s="14">
        <f t="shared" si="68"/>
        <v>0</v>
      </c>
      <c r="R312" s="14">
        <v>0</v>
      </c>
      <c r="S312" s="14">
        <f t="shared" si="69"/>
        <v>0</v>
      </c>
      <c r="T312" s="14">
        <v>0</v>
      </c>
      <c r="U312" s="22">
        <v>0</v>
      </c>
      <c r="V312" s="14">
        <v>0</v>
      </c>
      <c r="W312" s="14">
        <v>0</v>
      </c>
      <c r="X312" s="14">
        <v>0</v>
      </c>
      <c r="Y312" s="22">
        <v>0</v>
      </c>
      <c r="Z312" s="22">
        <v>0</v>
      </c>
      <c r="AA312" s="22">
        <v>0</v>
      </c>
      <c r="AB312" s="22">
        <v>0</v>
      </c>
      <c r="AC312" s="22">
        <v>0</v>
      </c>
      <c r="AD312" s="22">
        <v>0</v>
      </c>
      <c r="AE312" s="43"/>
      <c r="GR312" s="6"/>
      <c r="GS312" s="6"/>
      <c r="GT312" s="6"/>
      <c r="GU312" s="6"/>
      <c r="GV312" s="6"/>
      <c r="GW312" s="6"/>
      <c r="GX312" s="6"/>
      <c r="GY312" s="6"/>
      <c r="GZ312" s="6"/>
      <c r="HA312" s="6"/>
      <c r="HB312" s="6"/>
      <c r="HC312" s="6"/>
      <c r="HD312" s="6"/>
      <c r="HE312" s="6"/>
      <c r="HF312" s="6"/>
      <c r="HG312" s="6"/>
      <c r="HH312" s="6"/>
      <c r="HI312" s="6"/>
      <c r="HJ312" s="6"/>
      <c r="HK312" s="6"/>
      <c r="HL312" s="6"/>
      <c r="HM312" s="6"/>
      <c r="HN312" s="6"/>
      <c r="HO312" s="6"/>
      <c r="HP312" s="6"/>
    </row>
    <row r="313" spans="3:224" ht="20.100000000000001" customHeight="1">
      <c r="C313" s="11">
        <v>15410001</v>
      </c>
      <c r="D313" s="11" t="s">
        <v>346</v>
      </c>
      <c r="E313" s="14">
        <v>1140001</v>
      </c>
      <c r="F313" s="14">
        <v>0</v>
      </c>
      <c r="G313" s="14">
        <v>1</v>
      </c>
      <c r="H313" s="14">
        <v>50</v>
      </c>
      <c r="I313" s="22">
        <v>0.2</v>
      </c>
      <c r="J313" s="23">
        <v>20</v>
      </c>
      <c r="K313" s="14">
        <v>0</v>
      </c>
      <c r="L313" s="14">
        <v>0</v>
      </c>
      <c r="M313" s="14">
        <f t="shared" si="67"/>
        <v>290</v>
      </c>
      <c r="N313" s="14">
        <v>580</v>
      </c>
      <c r="O313" s="14">
        <v>0</v>
      </c>
      <c r="P313" s="14">
        <v>0</v>
      </c>
      <c r="Q313" s="14">
        <f t="shared" si="68"/>
        <v>0</v>
      </c>
      <c r="R313" s="14">
        <v>0</v>
      </c>
      <c r="S313" s="14">
        <f t="shared" si="69"/>
        <v>0</v>
      </c>
      <c r="T313" s="14">
        <v>0</v>
      </c>
      <c r="U313" s="22">
        <v>0</v>
      </c>
      <c r="V313" s="14">
        <v>0</v>
      </c>
      <c r="W313" s="14">
        <v>0</v>
      </c>
      <c r="X313" s="14">
        <v>0</v>
      </c>
      <c r="Y313" s="22">
        <v>0</v>
      </c>
      <c r="Z313" s="22">
        <v>0</v>
      </c>
      <c r="AA313" s="22">
        <v>0</v>
      </c>
      <c r="AB313" s="22">
        <v>0</v>
      </c>
      <c r="AC313" s="22">
        <v>0</v>
      </c>
      <c r="AD313" s="22">
        <v>0</v>
      </c>
      <c r="AE313" s="43"/>
      <c r="GR313" s="6"/>
      <c r="GS313" s="6"/>
      <c r="GT313" s="6"/>
      <c r="GU313" s="6"/>
      <c r="GV313" s="6"/>
      <c r="GW313" s="6"/>
      <c r="GX313" s="6"/>
      <c r="GY313" s="6"/>
      <c r="GZ313" s="6"/>
      <c r="HA313" s="6"/>
      <c r="HB313" s="6"/>
      <c r="HC313" s="6"/>
      <c r="HD313" s="6"/>
      <c r="HE313" s="6"/>
      <c r="HF313" s="6"/>
      <c r="HG313" s="6"/>
      <c r="HH313" s="6"/>
      <c r="HI313" s="6"/>
      <c r="HJ313" s="6"/>
      <c r="HK313" s="6"/>
      <c r="HL313" s="6"/>
      <c r="HM313" s="6"/>
      <c r="HN313" s="6"/>
      <c r="HO313" s="6"/>
      <c r="HP313" s="6"/>
    </row>
    <row r="314" spans="3:224" ht="20.100000000000001" customHeight="1">
      <c r="C314" s="11">
        <v>15410002</v>
      </c>
      <c r="D314" s="11" t="s">
        <v>347</v>
      </c>
      <c r="E314" s="14">
        <v>1140001</v>
      </c>
      <c r="F314" s="14">
        <v>0</v>
      </c>
      <c r="G314" s="14">
        <v>1</v>
      </c>
      <c r="H314" s="14">
        <v>50</v>
      </c>
      <c r="I314" s="22">
        <v>0.2</v>
      </c>
      <c r="J314" s="23">
        <v>20</v>
      </c>
      <c r="K314" s="14">
        <v>0</v>
      </c>
      <c r="L314" s="14">
        <v>0</v>
      </c>
      <c r="M314" s="14">
        <f t="shared" si="67"/>
        <v>358</v>
      </c>
      <c r="N314" s="14">
        <v>715</v>
      </c>
      <c r="O314" s="14">
        <v>0</v>
      </c>
      <c r="P314" s="14">
        <v>0</v>
      </c>
      <c r="Q314" s="14">
        <f t="shared" si="68"/>
        <v>0</v>
      </c>
      <c r="R314" s="14">
        <v>0</v>
      </c>
      <c r="S314" s="14">
        <f t="shared" si="69"/>
        <v>0</v>
      </c>
      <c r="T314" s="14">
        <v>0</v>
      </c>
      <c r="U314" s="22">
        <v>0</v>
      </c>
      <c r="V314" s="14">
        <v>0</v>
      </c>
      <c r="W314" s="14">
        <v>0</v>
      </c>
      <c r="X314" s="14">
        <v>0</v>
      </c>
      <c r="Y314" s="22">
        <v>0</v>
      </c>
      <c r="Z314" s="22">
        <v>0</v>
      </c>
      <c r="AA314" s="22">
        <v>0</v>
      </c>
      <c r="AB314" s="22">
        <v>0</v>
      </c>
      <c r="AC314" s="22">
        <v>0</v>
      </c>
      <c r="AD314" s="22">
        <v>0</v>
      </c>
      <c r="AE314" s="43"/>
      <c r="GR314" s="6"/>
      <c r="GS314" s="6"/>
      <c r="GT314" s="6"/>
      <c r="GU314" s="6"/>
      <c r="GV314" s="6"/>
      <c r="GW314" s="6"/>
      <c r="GX314" s="6"/>
      <c r="GY314" s="6"/>
      <c r="GZ314" s="6"/>
      <c r="HA314" s="6"/>
      <c r="HB314" s="6"/>
      <c r="HC314" s="6"/>
      <c r="HD314" s="6"/>
      <c r="HE314" s="6"/>
      <c r="HF314" s="6"/>
      <c r="HG314" s="6"/>
      <c r="HH314" s="6"/>
      <c r="HI314" s="6"/>
      <c r="HJ314" s="6"/>
      <c r="HK314" s="6"/>
      <c r="HL314" s="6"/>
      <c r="HM314" s="6"/>
      <c r="HN314" s="6"/>
      <c r="HO314" s="6"/>
      <c r="HP314" s="6"/>
    </row>
    <row r="315" spans="3:224" ht="20.100000000000001" customHeight="1">
      <c r="C315" s="11">
        <v>15410003</v>
      </c>
      <c r="D315" s="11" t="s">
        <v>348</v>
      </c>
      <c r="E315" s="14">
        <v>1140001</v>
      </c>
      <c r="F315" s="14">
        <v>0</v>
      </c>
      <c r="G315" s="14">
        <v>1</v>
      </c>
      <c r="H315" s="14">
        <v>50</v>
      </c>
      <c r="I315" s="22">
        <v>0.2</v>
      </c>
      <c r="J315" s="23">
        <v>20</v>
      </c>
      <c r="K315" s="14">
        <v>0</v>
      </c>
      <c r="L315" s="14">
        <v>0</v>
      </c>
      <c r="M315" s="14">
        <f t="shared" si="67"/>
        <v>290</v>
      </c>
      <c r="N315" s="14">
        <v>580</v>
      </c>
      <c r="O315" s="14">
        <v>0</v>
      </c>
      <c r="P315" s="14">
        <v>0</v>
      </c>
      <c r="Q315" s="14">
        <f t="shared" si="68"/>
        <v>0</v>
      </c>
      <c r="R315" s="14">
        <v>0</v>
      </c>
      <c r="S315" s="14">
        <f t="shared" si="69"/>
        <v>0</v>
      </c>
      <c r="T315" s="14">
        <v>0</v>
      </c>
      <c r="U315" s="22">
        <v>0</v>
      </c>
      <c r="V315" s="14">
        <v>0</v>
      </c>
      <c r="W315" s="14">
        <v>0</v>
      </c>
      <c r="X315" s="14">
        <v>0</v>
      </c>
      <c r="Y315" s="22">
        <v>0</v>
      </c>
      <c r="Z315" s="22">
        <v>0</v>
      </c>
      <c r="AA315" s="22">
        <v>0</v>
      </c>
      <c r="AB315" s="22">
        <v>0</v>
      </c>
      <c r="AC315" s="22">
        <v>0</v>
      </c>
      <c r="AD315" s="22">
        <v>0</v>
      </c>
      <c r="AE315" s="43"/>
      <c r="GR315" s="6"/>
      <c r="GS315" s="6"/>
      <c r="GT315" s="6"/>
      <c r="GU315" s="6"/>
      <c r="GV315" s="6"/>
      <c r="GW315" s="6"/>
      <c r="GX315" s="6"/>
      <c r="GY315" s="6"/>
      <c r="GZ315" s="6"/>
      <c r="HA315" s="6"/>
      <c r="HB315" s="6"/>
      <c r="HC315" s="6"/>
      <c r="HD315" s="6"/>
      <c r="HE315" s="6"/>
      <c r="HF315" s="6"/>
      <c r="HG315" s="6"/>
      <c r="HH315" s="6"/>
      <c r="HI315" s="6"/>
      <c r="HJ315" s="6"/>
      <c r="HK315" s="6"/>
      <c r="HL315" s="6"/>
      <c r="HM315" s="6"/>
      <c r="HN315" s="6"/>
      <c r="HO315" s="6"/>
      <c r="HP315" s="6"/>
    </row>
    <row r="316" spans="3:224" ht="20.100000000000001" customHeight="1">
      <c r="C316" s="11">
        <v>15410004</v>
      </c>
      <c r="D316" s="11" t="s">
        <v>347</v>
      </c>
      <c r="E316" s="14">
        <v>1140001</v>
      </c>
      <c r="F316" s="14">
        <v>0</v>
      </c>
      <c r="G316" s="14">
        <v>1</v>
      </c>
      <c r="H316" s="14">
        <v>50</v>
      </c>
      <c r="I316" s="22">
        <v>0.2</v>
      </c>
      <c r="J316" s="23">
        <v>20</v>
      </c>
      <c r="K316" s="14">
        <v>0</v>
      </c>
      <c r="L316" s="14">
        <v>0</v>
      </c>
      <c r="M316" s="14">
        <f t="shared" si="67"/>
        <v>358</v>
      </c>
      <c r="N316" s="14">
        <v>715</v>
      </c>
      <c r="O316" s="14">
        <v>0</v>
      </c>
      <c r="P316" s="14">
        <v>0</v>
      </c>
      <c r="Q316" s="14">
        <f t="shared" si="68"/>
        <v>0</v>
      </c>
      <c r="R316" s="14">
        <v>0</v>
      </c>
      <c r="S316" s="14">
        <f t="shared" si="69"/>
        <v>0</v>
      </c>
      <c r="T316" s="14">
        <v>0</v>
      </c>
      <c r="U316" s="22">
        <v>0</v>
      </c>
      <c r="V316" s="14">
        <v>0</v>
      </c>
      <c r="W316" s="14">
        <v>0</v>
      </c>
      <c r="X316" s="14">
        <v>0</v>
      </c>
      <c r="Y316" s="22">
        <v>0</v>
      </c>
      <c r="Z316" s="22">
        <v>0</v>
      </c>
      <c r="AA316" s="22">
        <v>0</v>
      </c>
      <c r="AB316" s="22">
        <v>0</v>
      </c>
      <c r="AC316" s="22">
        <v>0</v>
      </c>
      <c r="AD316" s="22">
        <v>0</v>
      </c>
      <c r="AE316" s="43"/>
      <c r="GR316" s="6"/>
      <c r="GS316" s="6"/>
      <c r="GT316" s="6"/>
      <c r="GU316" s="6"/>
      <c r="GV316" s="6"/>
      <c r="GW316" s="6"/>
      <c r="GX316" s="6"/>
      <c r="GY316" s="6"/>
      <c r="GZ316" s="6"/>
      <c r="HA316" s="6"/>
      <c r="HB316" s="6"/>
      <c r="HC316" s="6"/>
      <c r="HD316" s="6"/>
      <c r="HE316" s="6"/>
      <c r="HF316" s="6"/>
      <c r="HG316" s="6"/>
      <c r="HH316" s="6"/>
      <c r="HI316" s="6"/>
      <c r="HJ316" s="6"/>
      <c r="HK316" s="6"/>
      <c r="HL316" s="6"/>
      <c r="HM316" s="6"/>
      <c r="HN316" s="6"/>
      <c r="HO316" s="6"/>
      <c r="HP316" s="6"/>
    </row>
    <row r="317" spans="3:224" ht="20.100000000000001" customHeight="1">
      <c r="C317" s="11">
        <v>15410011</v>
      </c>
      <c r="D317" s="37" t="s">
        <v>349</v>
      </c>
      <c r="E317" s="14">
        <v>1140001</v>
      </c>
      <c r="F317" s="14">
        <v>14051</v>
      </c>
      <c r="G317" s="14">
        <v>1</v>
      </c>
      <c r="H317" s="14">
        <v>50</v>
      </c>
      <c r="I317" s="22">
        <v>0.2</v>
      </c>
      <c r="J317" s="23">
        <v>20</v>
      </c>
      <c r="K317" s="14">
        <v>0</v>
      </c>
      <c r="L317" s="14">
        <v>0</v>
      </c>
      <c r="M317" s="14">
        <f t="shared" ref="M317:M318" si="81">ROUND(N317/2,0)</f>
        <v>440</v>
      </c>
      <c r="N317" s="14">
        <v>880</v>
      </c>
      <c r="O317" s="14">
        <v>0</v>
      </c>
      <c r="P317" s="14">
        <v>0</v>
      </c>
      <c r="Q317" s="14">
        <f t="shared" ref="Q317:Q318" si="82">ROUND(R317/2,0)</f>
        <v>0</v>
      </c>
      <c r="R317" s="14">
        <v>0</v>
      </c>
      <c r="S317" s="14">
        <f t="shared" ref="S317:S318" si="83">ROUND(T317/2,0)</f>
        <v>0</v>
      </c>
      <c r="T317" s="14">
        <v>0</v>
      </c>
      <c r="U317" s="22">
        <v>0</v>
      </c>
      <c r="V317" s="14">
        <v>0</v>
      </c>
      <c r="W317" s="14">
        <v>0</v>
      </c>
      <c r="X317" s="14">
        <v>0</v>
      </c>
      <c r="Y317" s="22">
        <v>0</v>
      </c>
      <c r="Z317" s="22">
        <v>0</v>
      </c>
      <c r="AA317" s="22">
        <v>0</v>
      </c>
      <c r="AB317" s="22">
        <v>0</v>
      </c>
      <c r="AC317" s="22">
        <v>0</v>
      </c>
      <c r="AD317" s="22">
        <v>0</v>
      </c>
      <c r="AE317" s="43"/>
      <c r="GR317" s="6"/>
      <c r="GS317" s="6"/>
      <c r="GT317" s="6"/>
      <c r="GU317" s="6"/>
      <c r="GV317" s="6"/>
      <c r="GW317" s="6"/>
      <c r="GX317" s="6"/>
      <c r="GY317" s="6"/>
      <c r="GZ317" s="6"/>
      <c r="HA317" s="6"/>
      <c r="HB317" s="6"/>
      <c r="HC317" s="6"/>
      <c r="HD317" s="6"/>
      <c r="HE317" s="6"/>
      <c r="HF317" s="6"/>
      <c r="HG317" s="6"/>
      <c r="HH317" s="6"/>
      <c r="HI317" s="6"/>
      <c r="HJ317" s="6"/>
      <c r="HK317" s="6"/>
      <c r="HL317" s="6"/>
      <c r="HM317" s="6"/>
      <c r="HN317" s="6"/>
      <c r="HO317" s="6"/>
      <c r="HP317" s="6"/>
    </row>
    <row r="318" spans="3:224" ht="20.100000000000001" customHeight="1">
      <c r="C318" s="11">
        <v>15410012</v>
      </c>
      <c r="D318" s="37" t="s">
        <v>350</v>
      </c>
      <c r="E318" s="14">
        <v>1140001</v>
      </c>
      <c r="F318" s="14">
        <v>14051</v>
      </c>
      <c r="G318" s="14">
        <v>1</v>
      </c>
      <c r="H318" s="14">
        <v>50</v>
      </c>
      <c r="I318" s="22">
        <v>0.2</v>
      </c>
      <c r="J318" s="23">
        <v>20</v>
      </c>
      <c r="K318" s="14">
        <v>0</v>
      </c>
      <c r="L318" s="14">
        <v>0</v>
      </c>
      <c r="M318" s="14">
        <f t="shared" si="81"/>
        <v>440</v>
      </c>
      <c r="N318" s="14">
        <v>880</v>
      </c>
      <c r="O318" s="14">
        <v>0</v>
      </c>
      <c r="P318" s="14">
        <v>0</v>
      </c>
      <c r="Q318" s="14">
        <f t="shared" si="82"/>
        <v>0</v>
      </c>
      <c r="R318" s="14">
        <v>0</v>
      </c>
      <c r="S318" s="14">
        <f t="shared" si="83"/>
        <v>0</v>
      </c>
      <c r="T318" s="14">
        <v>0</v>
      </c>
      <c r="U318" s="22">
        <v>0</v>
      </c>
      <c r="V318" s="14">
        <v>0</v>
      </c>
      <c r="W318" s="14">
        <v>0</v>
      </c>
      <c r="X318" s="14">
        <v>0</v>
      </c>
      <c r="Y318" s="22">
        <v>0</v>
      </c>
      <c r="Z318" s="22">
        <v>0</v>
      </c>
      <c r="AA318" s="22">
        <v>0</v>
      </c>
      <c r="AB318" s="22">
        <v>0</v>
      </c>
      <c r="AC318" s="22">
        <v>0</v>
      </c>
      <c r="AD318" s="22">
        <v>0</v>
      </c>
      <c r="AE318" s="43">
        <v>100006</v>
      </c>
      <c r="GR318" s="6"/>
      <c r="GS318" s="6"/>
      <c r="GT318" s="6"/>
      <c r="GU318" s="6"/>
      <c r="GV318" s="6"/>
      <c r="GW318" s="6"/>
      <c r="GX318" s="6"/>
      <c r="GY318" s="6"/>
      <c r="GZ318" s="6"/>
      <c r="HA318" s="6"/>
      <c r="HB318" s="6"/>
      <c r="HC318" s="6"/>
      <c r="HD318" s="6"/>
      <c r="HE318" s="6"/>
      <c r="HF318" s="6"/>
      <c r="HG318" s="6"/>
      <c r="HH318" s="6"/>
      <c r="HI318" s="6"/>
      <c r="HJ318" s="6"/>
      <c r="HK318" s="6"/>
      <c r="HL318" s="6"/>
      <c r="HM318" s="6"/>
      <c r="HN318" s="6"/>
      <c r="HO318" s="6"/>
      <c r="HP318" s="6"/>
    </row>
    <row r="319" spans="3:224" ht="20.100000000000001" customHeight="1">
      <c r="C319" s="11">
        <v>15410111</v>
      </c>
      <c r="D319" s="37" t="s">
        <v>351</v>
      </c>
      <c r="E319" s="14">
        <v>1140001</v>
      </c>
      <c r="F319" s="14">
        <v>14051</v>
      </c>
      <c r="G319" s="14">
        <v>1</v>
      </c>
      <c r="H319" s="14">
        <v>50</v>
      </c>
      <c r="I319" s="22">
        <v>0.2</v>
      </c>
      <c r="J319" s="23">
        <v>20</v>
      </c>
      <c r="K319" s="14">
        <v>0</v>
      </c>
      <c r="L319" s="14">
        <v>0</v>
      </c>
      <c r="M319" s="14">
        <f t="shared" ref="M319:M323" si="84">ROUND(N319/2,0)</f>
        <v>440</v>
      </c>
      <c r="N319" s="14">
        <v>880</v>
      </c>
      <c r="O319" s="14">
        <v>0</v>
      </c>
      <c r="P319" s="14">
        <v>0</v>
      </c>
      <c r="Q319" s="14">
        <f t="shared" ref="Q319:Q323" si="85">ROUND(R319/2,0)</f>
        <v>0</v>
      </c>
      <c r="R319" s="14">
        <v>0</v>
      </c>
      <c r="S319" s="14">
        <f t="shared" ref="S319:S323" si="86">ROUND(T319/2,0)</f>
        <v>0</v>
      </c>
      <c r="T319" s="14">
        <v>0</v>
      </c>
      <c r="U319" s="22">
        <v>0</v>
      </c>
      <c r="V319" s="14">
        <v>0</v>
      </c>
      <c r="W319" s="14">
        <v>0</v>
      </c>
      <c r="X319" s="14">
        <v>0</v>
      </c>
      <c r="Y319" s="22">
        <v>0</v>
      </c>
      <c r="Z319" s="22">
        <v>0</v>
      </c>
      <c r="AA319" s="22">
        <v>0</v>
      </c>
      <c r="AB319" s="22">
        <v>0</v>
      </c>
      <c r="AC319" s="22">
        <v>0</v>
      </c>
      <c r="AD319" s="22">
        <v>0</v>
      </c>
      <c r="AE319" s="43">
        <v>100007</v>
      </c>
      <c r="GR319" s="6"/>
      <c r="GS319" s="6"/>
      <c r="GT319" s="6"/>
      <c r="GU319" s="6"/>
      <c r="GV319" s="6"/>
      <c r="GW319" s="6"/>
      <c r="GX319" s="6"/>
      <c r="GY319" s="6"/>
      <c r="GZ319" s="6"/>
      <c r="HA319" s="6"/>
      <c r="HB319" s="6"/>
      <c r="HC319" s="6"/>
      <c r="HD319" s="6"/>
      <c r="HE319" s="6"/>
      <c r="HF319" s="6"/>
      <c r="HG319" s="6"/>
      <c r="HH319" s="6"/>
      <c r="HI319" s="6"/>
      <c r="HJ319" s="6"/>
      <c r="HK319" s="6"/>
      <c r="HL319" s="6"/>
      <c r="HM319" s="6"/>
      <c r="HN319" s="6"/>
      <c r="HO319" s="6"/>
      <c r="HP319" s="6"/>
    </row>
    <row r="320" spans="3:224" ht="20.100000000000001" customHeight="1">
      <c r="C320" s="11">
        <v>15410112</v>
      </c>
      <c r="D320" s="37" t="s">
        <v>352</v>
      </c>
      <c r="E320" s="14">
        <v>1140001</v>
      </c>
      <c r="F320" s="14">
        <v>14051</v>
      </c>
      <c r="G320" s="14">
        <v>1</v>
      </c>
      <c r="H320" s="14">
        <v>50</v>
      </c>
      <c r="I320" s="22">
        <v>0.2</v>
      </c>
      <c r="J320" s="23">
        <v>20</v>
      </c>
      <c r="K320" s="14">
        <v>0</v>
      </c>
      <c r="L320" s="14">
        <v>0</v>
      </c>
      <c r="M320" s="14">
        <f t="shared" si="84"/>
        <v>440</v>
      </c>
      <c r="N320" s="14">
        <v>880</v>
      </c>
      <c r="O320" s="14">
        <v>0</v>
      </c>
      <c r="P320" s="14">
        <v>0</v>
      </c>
      <c r="Q320" s="14">
        <f t="shared" si="85"/>
        <v>0</v>
      </c>
      <c r="R320" s="14">
        <v>0</v>
      </c>
      <c r="S320" s="14">
        <f t="shared" si="86"/>
        <v>0</v>
      </c>
      <c r="T320" s="14">
        <v>0</v>
      </c>
      <c r="U320" s="22">
        <v>0</v>
      </c>
      <c r="V320" s="14">
        <v>0</v>
      </c>
      <c r="W320" s="14">
        <v>0</v>
      </c>
      <c r="X320" s="14">
        <v>0</v>
      </c>
      <c r="Y320" s="22">
        <v>0</v>
      </c>
      <c r="Z320" s="22">
        <v>0</v>
      </c>
      <c r="AA320" s="22">
        <v>0</v>
      </c>
      <c r="AB320" s="22">
        <v>0</v>
      </c>
      <c r="AC320" s="22">
        <v>0</v>
      </c>
      <c r="AD320" s="22">
        <v>0</v>
      </c>
      <c r="AE320" s="43"/>
      <c r="GR320" s="6"/>
      <c r="GS320" s="6"/>
      <c r="GT320" s="6"/>
      <c r="GU320" s="6"/>
      <c r="GV320" s="6"/>
      <c r="GW320" s="6"/>
      <c r="GX320" s="6"/>
      <c r="GY320" s="6"/>
      <c r="GZ320" s="6"/>
      <c r="HA320" s="6"/>
      <c r="HB320" s="6"/>
      <c r="HC320" s="6"/>
      <c r="HD320" s="6"/>
      <c r="HE320" s="6"/>
      <c r="HF320" s="6"/>
      <c r="HG320" s="6"/>
      <c r="HH320" s="6"/>
      <c r="HI320" s="6"/>
      <c r="HJ320" s="6"/>
      <c r="HK320" s="6"/>
      <c r="HL320" s="6"/>
      <c r="HM320" s="6"/>
      <c r="HN320" s="6"/>
      <c r="HO320" s="6"/>
      <c r="HP320" s="6"/>
    </row>
    <row r="321" spans="3:224" ht="20.100000000000001" customHeight="1">
      <c r="C321" s="11">
        <v>15410201</v>
      </c>
      <c r="D321" s="11" t="s">
        <v>293</v>
      </c>
      <c r="E321" s="14">
        <v>1140001</v>
      </c>
      <c r="F321" s="14">
        <v>0</v>
      </c>
      <c r="G321" s="14">
        <v>1</v>
      </c>
      <c r="H321" s="14">
        <v>50</v>
      </c>
      <c r="I321" s="22">
        <v>0.2</v>
      </c>
      <c r="J321" s="23">
        <v>20</v>
      </c>
      <c r="K321" s="14">
        <v>0</v>
      </c>
      <c r="L321" s="14">
        <v>0</v>
      </c>
      <c r="M321" s="14">
        <f t="shared" si="84"/>
        <v>290</v>
      </c>
      <c r="N321" s="14">
        <v>580</v>
      </c>
      <c r="O321" s="14">
        <v>0</v>
      </c>
      <c r="P321" s="14">
        <v>0</v>
      </c>
      <c r="Q321" s="14">
        <f t="shared" si="85"/>
        <v>0</v>
      </c>
      <c r="R321" s="14">
        <v>0</v>
      </c>
      <c r="S321" s="14">
        <f t="shared" si="86"/>
        <v>0</v>
      </c>
      <c r="T321" s="14">
        <v>0</v>
      </c>
      <c r="U321" s="22">
        <v>0</v>
      </c>
      <c r="V321" s="14">
        <v>0</v>
      </c>
      <c r="W321" s="14">
        <v>0</v>
      </c>
      <c r="X321" s="14">
        <v>0</v>
      </c>
      <c r="Y321" s="22">
        <v>0</v>
      </c>
      <c r="Z321" s="22">
        <v>0</v>
      </c>
      <c r="AA321" s="22">
        <v>0</v>
      </c>
      <c r="AB321" s="22">
        <v>0</v>
      </c>
      <c r="AC321" s="22">
        <v>0</v>
      </c>
      <c r="AD321" s="22">
        <v>0</v>
      </c>
      <c r="AE321" s="43"/>
      <c r="GR321" s="6"/>
      <c r="GS321" s="6"/>
      <c r="GT321" s="6"/>
      <c r="GU321" s="6"/>
      <c r="GV321" s="6"/>
      <c r="GW321" s="6"/>
      <c r="GX321" s="6"/>
      <c r="GY321" s="6"/>
      <c r="GZ321" s="6"/>
      <c r="HA321" s="6"/>
      <c r="HB321" s="6"/>
      <c r="HC321" s="6"/>
      <c r="HD321" s="6"/>
      <c r="HE321" s="6"/>
      <c r="HF321" s="6"/>
      <c r="HG321" s="6"/>
      <c r="HH321" s="6"/>
      <c r="HI321" s="6"/>
      <c r="HJ321" s="6"/>
      <c r="HK321" s="6"/>
      <c r="HL321" s="6"/>
      <c r="HM321" s="6"/>
      <c r="HN321" s="6"/>
      <c r="HO321" s="6"/>
      <c r="HP321" s="6"/>
    </row>
    <row r="322" spans="3:224" ht="20.100000000000001" customHeight="1">
      <c r="C322" s="11">
        <v>15410202</v>
      </c>
      <c r="D322" s="11" t="s">
        <v>294</v>
      </c>
      <c r="E322" s="14">
        <v>1140001</v>
      </c>
      <c r="F322" s="14">
        <v>0</v>
      </c>
      <c r="G322" s="14">
        <v>1</v>
      </c>
      <c r="H322" s="14">
        <v>50</v>
      </c>
      <c r="I322" s="22">
        <v>0.2</v>
      </c>
      <c r="J322" s="23">
        <v>20</v>
      </c>
      <c r="K322" s="14">
        <v>0</v>
      </c>
      <c r="L322" s="14">
        <v>0</v>
      </c>
      <c r="M322" s="14">
        <f t="shared" si="84"/>
        <v>358</v>
      </c>
      <c r="N322" s="14">
        <v>715</v>
      </c>
      <c r="O322" s="14">
        <v>0</v>
      </c>
      <c r="P322" s="14">
        <v>0</v>
      </c>
      <c r="Q322" s="14">
        <f t="shared" si="85"/>
        <v>0</v>
      </c>
      <c r="R322" s="14">
        <v>0</v>
      </c>
      <c r="S322" s="14">
        <f t="shared" si="86"/>
        <v>0</v>
      </c>
      <c r="T322" s="14">
        <v>0</v>
      </c>
      <c r="U322" s="22">
        <v>0</v>
      </c>
      <c r="V322" s="14">
        <v>0</v>
      </c>
      <c r="W322" s="14">
        <v>0</v>
      </c>
      <c r="X322" s="14">
        <v>0</v>
      </c>
      <c r="Y322" s="22">
        <v>0</v>
      </c>
      <c r="Z322" s="22">
        <v>0</v>
      </c>
      <c r="AA322" s="22">
        <v>0</v>
      </c>
      <c r="AB322" s="22">
        <v>0</v>
      </c>
      <c r="AC322" s="22">
        <v>0</v>
      </c>
      <c r="AD322" s="22">
        <v>0</v>
      </c>
      <c r="AE322" s="43"/>
      <c r="GR322" s="6"/>
      <c r="GS322" s="6"/>
      <c r="GT322" s="6"/>
      <c r="GU322" s="6"/>
      <c r="GV322" s="6"/>
      <c r="GW322" s="6"/>
      <c r="GX322" s="6"/>
      <c r="GY322" s="6"/>
      <c r="GZ322" s="6"/>
      <c r="HA322" s="6"/>
      <c r="HB322" s="6"/>
      <c r="HC322" s="6"/>
      <c r="HD322" s="6"/>
      <c r="HE322" s="6"/>
      <c r="HF322" s="6"/>
      <c r="HG322" s="6"/>
      <c r="HH322" s="6"/>
      <c r="HI322" s="6"/>
      <c r="HJ322" s="6"/>
      <c r="HK322" s="6"/>
      <c r="HL322" s="6"/>
      <c r="HM322" s="6"/>
      <c r="HN322" s="6"/>
      <c r="HO322" s="6"/>
      <c r="HP322" s="6"/>
    </row>
    <row r="323" spans="3:224" ht="20.100000000000001" customHeight="1">
      <c r="C323" s="11">
        <v>15410211</v>
      </c>
      <c r="D323" s="37" t="s">
        <v>295</v>
      </c>
      <c r="E323" s="14">
        <v>1140001</v>
      </c>
      <c r="F323" s="14">
        <v>14051</v>
      </c>
      <c r="G323" s="14">
        <v>1</v>
      </c>
      <c r="H323" s="14">
        <v>50</v>
      </c>
      <c r="I323" s="22">
        <v>0.2</v>
      </c>
      <c r="J323" s="23">
        <v>20</v>
      </c>
      <c r="K323" s="14">
        <v>0</v>
      </c>
      <c r="L323" s="14">
        <v>0</v>
      </c>
      <c r="M323" s="14">
        <f t="shared" si="84"/>
        <v>440</v>
      </c>
      <c r="N323" s="14">
        <v>880</v>
      </c>
      <c r="O323" s="14">
        <v>0</v>
      </c>
      <c r="P323" s="14">
        <v>0</v>
      </c>
      <c r="Q323" s="14">
        <f t="shared" si="85"/>
        <v>0</v>
      </c>
      <c r="R323" s="14">
        <v>0</v>
      </c>
      <c r="S323" s="14">
        <f t="shared" si="86"/>
        <v>0</v>
      </c>
      <c r="T323" s="14">
        <v>0</v>
      </c>
      <c r="U323" s="22">
        <v>0</v>
      </c>
      <c r="V323" s="14">
        <v>0</v>
      </c>
      <c r="W323" s="14">
        <v>0</v>
      </c>
      <c r="X323" s="14">
        <v>0</v>
      </c>
      <c r="Y323" s="22">
        <v>0</v>
      </c>
      <c r="Z323" s="22">
        <v>0</v>
      </c>
      <c r="AA323" s="22">
        <v>0</v>
      </c>
      <c r="AB323" s="22">
        <v>202403</v>
      </c>
      <c r="AC323" s="22">
        <v>300</v>
      </c>
      <c r="AD323" s="22">
        <v>1</v>
      </c>
      <c r="AE323" s="43"/>
      <c r="GR323" s="6"/>
      <c r="GS323" s="6"/>
      <c r="GT323" s="6"/>
      <c r="GU323" s="6"/>
      <c r="GV323" s="6"/>
      <c r="GW323" s="6"/>
      <c r="GX323" s="6"/>
      <c r="GY323" s="6"/>
      <c r="GZ323" s="6"/>
      <c r="HA323" s="6"/>
      <c r="HB323" s="6"/>
      <c r="HC323" s="6"/>
      <c r="HD323" s="6"/>
      <c r="HE323" s="6"/>
      <c r="HF323" s="6"/>
      <c r="HG323" s="6"/>
      <c r="HH323" s="6"/>
      <c r="HI323" s="6"/>
      <c r="HJ323" s="6"/>
      <c r="HK323" s="6"/>
      <c r="HL323" s="6"/>
      <c r="HM323" s="6"/>
      <c r="HN323" s="6"/>
      <c r="HO323" s="6"/>
      <c r="HP323" s="6"/>
    </row>
    <row r="324" spans="3:224" ht="20.100000000000001" customHeight="1">
      <c r="C324" s="11">
        <v>15411001</v>
      </c>
      <c r="D324" s="14" t="s">
        <v>353</v>
      </c>
      <c r="E324" s="14">
        <v>1140003</v>
      </c>
      <c r="F324" s="14">
        <v>0</v>
      </c>
      <c r="G324" s="14">
        <v>1</v>
      </c>
      <c r="H324" s="14">
        <v>50</v>
      </c>
      <c r="I324" s="22">
        <v>0.2</v>
      </c>
      <c r="J324" s="23">
        <v>20</v>
      </c>
      <c r="K324" s="14">
        <v>0</v>
      </c>
      <c r="L324" s="14">
        <v>3960</v>
      </c>
      <c r="M324" s="14">
        <f t="shared" si="67"/>
        <v>0</v>
      </c>
      <c r="N324" s="14">
        <v>0</v>
      </c>
      <c r="O324" s="14">
        <v>0</v>
      </c>
      <c r="P324" s="14">
        <v>0</v>
      </c>
      <c r="Q324" s="14">
        <f t="shared" si="68"/>
        <v>23</v>
      </c>
      <c r="R324" s="14">
        <v>45</v>
      </c>
      <c r="S324" s="14">
        <f t="shared" si="69"/>
        <v>23</v>
      </c>
      <c r="T324" s="14">
        <v>45</v>
      </c>
      <c r="U324" s="22">
        <v>0</v>
      </c>
      <c r="V324" s="14">
        <v>0</v>
      </c>
      <c r="W324" s="14">
        <v>0</v>
      </c>
      <c r="X324" s="14">
        <v>0</v>
      </c>
      <c r="Y324" s="22">
        <v>0</v>
      </c>
      <c r="Z324" s="22">
        <v>0</v>
      </c>
      <c r="AA324" s="22">
        <v>0</v>
      </c>
      <c r="AB324" s="22">
        <v>0</v>
      </c>
      <c r="AC324" s="22">
        <v>0</v>
      </c>
      <c r="AD324" s="22">
        <v>0</v>
      </c>
      <c r="AE324" s="43"/>
      <c r="GR324" s="6"/>
      <c r="GS324" s="6"/>
      <c r="GT324" s="6"/>
      <c r="GU324" s="6"/>
      <c r="GV324" s="6"/>
      <c r="GW324" s="6"/>
      <c r="GX324" s="6"/>
      <c r="GY324" s="6"/>
      <c r="GZ324" s="6"/>
      <c r="HA324" s="6"/>
      <c r="HB324" s="6"/>
      <c r="HC324" s="6"/>
      <c r="HD324" s="6"/>
      <c r="HE324" s="6"/>
      <c r="HF324" s="6"/>
      <c r="HG324" s="6"/>
      <c r="HH324" s="6"/>
      <c r="HI324" s="6"/>
      <c r="HJ324" s="6"/>
      <c r="HK324" s="6"/>
      <c r="HL324" s="6"/>
      <c r="HM324" s="6"/>
      <c r="HN324" s="6"/>
      <c r="HO324" s="6"/>
      <c r="HP324" s="6"/>
    </row>
    <row r="325" spans="3:224" ht="20.100000000000001" customHeight="1">
      <c r="C325" s="11">
        <v>15411002</v>
      </c>
      <c r="D325" s="14" t="s">
        <v>354</v>
      </c>
      <c r="E325" s="14">
        <v>1140003</v>
      </c>
      <c r="F325" s="14">
        <v>14011</v>
      </c>
      <c r="G325" s="14">
        <v>1</v>
      </c>
      <c r="H325" s="14">
        <v>50</v>
      </c>
      <c r="I325" s="22">
        <v>0.2</v>
      </c>
      <c r="J325" s="23">
        <v>20</v>
      </c>
      <c r="K325" s="14">
        <v>0</v>
      </c>
      <c r="L325" s="14">
        <v>5040</v>
      </c>
      <c r="M325" s="14">
        <f t="shared" si="67"/>
        <v>0</v>
      </c>
      <c r="N325" s="14">
        <v>0</v>
      </c>
      <c r="O325" s="14">
        <v>0</v>
      </c>
      <c r="P325" s="14">
        <v>0</v>
      </c>
      <c r="Q325" s="14">
        <f t="shared" si="68"/>
        <v>64</v>
      </c>
      <c r="R325" s="14">
        <v>128</v>
      </c>
      <c r="S325" s="14">
        <f t="shared" si="69"/>
        <v>64</v>
      </c>
      <c r="T325" s="14">
        <v>128</v>
      </c>
      <c r="U325" s="22">
        <v>0</v>
      </c>
      <c r="V325" s="14">
        <v>0</v>
      </c>
      <c r="W325" s="14">
        <v>0</v>
      </c>
      <c r="X325" s="14">
        <v>0</v>
      </c>
      <c r="Y325" s="22">
        <v>0</v>
      </c>
      <c r="Z325" s="22">
        <v>0</v>
      </c>
      <c r="AA325" s="22">
        <v>0</v>
      </c>
      <c r="AB325" s="22">
        <v>0</v>
      </c>
      <c r="AC325" s="22">
        <v>0</v>
      </c>
      <c r="AD325" s="22">
        <v>0</v>
      </c>
      <c r="AE325" s="43"/>
      <c r="GR325" s="6"/>
      <c r="GS325" s="6"/>
      <c r="GT325" s="6"/>
      <c r="GU325" s="6"/>
      <c r="GV325" s="6"/>
      <c r="GW325" s="6"/>
      <c r="GX325" s="6"/>
      <c r="GY325" s="6"/>
      <c r="GZ325" s="6"/>
      <c r="HA325" s="6"/>
      <c r="HB325" s="6"/>
      <c r="HC325" s="6"/>
      <c r="HD325" s="6"/>
      <c r="HE325" s="6"/>
      <c r="HF325" s="6"/>
      <c r="HG325" s="6"/>
      <c r="HH325" s="6"/>
      <c r="HI325" s="6"/>
      <c r="HJ325" s="6"/>
      <c r="HK325" s="6"/>
      <c r="HL325" s="6"/>
      <c r="HM325" s="6"/>
      <c r="HN325" s="6"/>
      <c r="HO325" s="6"/>
      <c r="HP325" s="6"/>
    </row>
    <row r="326" spans="3:224" ht="20.100000000000001" customHeight="1">
      <c r="C326" s="11">
        <v>15411003</v>
      </c>
      <c r="D326" s="14" t="s">
        <v>355</v>
      </c>
      <c r="E326" s="14">
        <v>1140003</v>
      </c>
      <c r="F326" s="14">
        <v>0</v>
      </c>
      <c r="G326" s="14">
        <v>1</v>
      </c>
      <c r="H326" s="14">
        <v>50</v>
      </c>
      <c r="I326" s="22">
        <v>0.2</v>
      </c>
      <c r="J326" s="23">
        <v>20</v>
      </c>
      <c r="K326" s="14">
        <v>0</v>
      </c>
      <c r="L326" s="14">
        <v>1980</v>
      </c>
      <c r="M326" s="14">
        <f t="shared" si="67"/>
        <v>0</v>
      </c>
      <c r="N326" s="14">
        <v>0</v>
      </c>
      <c r="O326" s="14">
        <v>0</v>
      </c>
      <c r="P326" s="14">
        <v>0</v>
      </c>
      <c r="Q326" s="14">
        <f t="shared" si="68"/>
        <v>17</v>
      </c>
      <c r="R326" s="14">
        <v>34</v>
      </c>
      <c r="S326" s="14">
        <f t="shared" si="69"/>
        <v>17</v>
      </c>
      <c r="T326" s="14">
        <v>34</v>
      </c>
      <c r="U326" s="22">
        <v>0</v>
      </c>
      <c r="V326" s="14">
        <v>0</v>
      </c>
      <c r="W326" s="14">
        <v>0</v>
      </c>
      <c r="X326" s="14">
        <v>0</v>
      </c>
      <c r="Y326" s="22">
        <v>0</v>
      </c>
      <c r="Z326" s="22">
        <v>0</v>
      </c>
      <c r="AA326" s="22">
        <v>0</v>
      </c>
      <c r="AB326" s="22">
        <v>0</v>
      </c>
      <c r="AC326" s="22">
        <v>0</v>
      </c>
      <c r="AD326" s="22">
        <v>0</v>
      </c>
      <c r="AE326" s="43"/>
      <c r="GR326" s="6"/>
      <c r="GS326" s="6"/>
      <c r="GT326" s="6"/>
      <c r="GU326" s="6"/>
      <c r="GV326" s="6"/>
      <c r="GW326" s="6"/>
      <c r="GX326" s="6"/>
      <c r="GY326" s="6"/>
      <c r="GZ326" s="6"/>
      <c r="HA326" s="6"/>
      <c r="HB326" s="6"/>
      <c r="HC326" s="6"/>
      <c r="HD326" s="6"/>
      <c r="HE326" s="6"/>
      <c r="HF326" s="6"/>
      <c r="HG326" s="6"/>
      <c r="HH326" s="6"/>
      <c r="HI326" s="6"/>
      <c r="HJ326" s="6"/>
      <c r="HK326" s="6"/>
      <c r="HL326" s="6"/>
      <c r="HM326" s="6"/>
      <c r="HN326" s="6"/>
      <c r="HO326" s="6"/>
      <c r="HP326" s="6"/>
    </row>
    <row r="327" spans="3:224" ht="20.100000000000001" customHeight="1">
      <c r="C327" s="11">
        <v>15411004</v>
      </c>
      <c r="D327" s="14" t="s">
        <v>356</v>
      </c>
      <c r="E327" s="14">
        <v>1140003</v>
      </c>
      <c r="F327" s="14">
        <v>14021</v>
      </c>
      <c r="G327" s="14">
        <v>1</v>
      </c>
      <c r="H327" s="14">
        <v>50</v>
      </c>
      <c r="I327" s="22">
        <v>0.2</v>
      </c>
      <c r="J327" s="23">
        <v>20</v>
      </c>
      <c r="K327" s="14">
        <v>0</v>
      </c>
      <c r="L327" s="14">
        <v>2520</v>
      </c>
      <c r="M327" s="14">
        <f t="shared" si="67"/>
        <v>0</v>
      </c>
      <c r="N327" s="14">
        <v>0</v>
      </c>
      <c r="O327" s="14">
        <v>0</v>
      </c>
      <c r="P327" s="14">
        <v>0</v>
      </c>
      <c r="Q327" s="14">
        <f t="shared" si="68"/>
        <v>48</v>
      </c>
      <c r="R327" s="14">
        <v>96</v>
      </c>
      <c r="S327" s="14">
        <f t="shared" si="69"/>
        <v>48</v>
      </c>
      <c r="T327" s="14">
        <v>96</v>
      </c>
      <c r="U327" s="22">
        <v>0</v>
      </c>
      <c r="V327" s="14">
        <v>0</v>
      </c>
      <c r="W327" s="14">
        <v>0</v>
      </c>
      <c r="X327" s="14">
        <v>0</v>
      </c>
      <c r="Y327" s="22">
        <v>0</v>
      </c>
      <c r="Z327" s="22">
        <v>0</v>
      </c>
      <c r="AA327" s="22">
        <v>0</v>
      </c>
      <c r="AB327" s="22">
        <v>0</v>
      </c>
      <c r="AC327" s="22">
        <v>0</v>
      </c>
      <c r="AD327" s="22">
        <v>0</v>
      </c>
      <c r="AE327" s="43"/>
      <c r="GR327" s="6"/>
      <c r="GS327" s="6"/>
      <c r="GT327" s="6"/>
      <c r="GU327" s="6"/>
      <c r="GV327" s="6"/>
      <c r="GW327" s="6"/>
      <c r="GX327" s="6"/>
      <c r="GY327" s="6"/>
      <c r="GZ327" s="6"/>
      <c r="HA327" s="6"/>
      <c r="HB327" s="6"/>
      <c r="HC327" s="6"/>
      <c r="HD327" s="6"/>
      <c r="HE327" s="6"/>
      <c r="HF327" s="6"/>
      <c r="HG327" s="6"/>
      <c r="HH327" s="6"/>
      <c r="HI327" s="6"/>
      <c r="HJ327" s="6"/>
      <c r="HK327" s="6"/>
      <c r="HL327" s="6"/>
      <c r="HM327" s="6"/>
      <c r="HN327" s="6"/>
      <c r="HO327" s="6"/>
      <c r="HP327" s="6"/>
    </row>
    <row r="328" spans="3:224" ht="20.100000000000001" customHeight="1">
      <c r="C328" s="11">
        <v>15411005</v>
      </c>
      <c r="D328" s="14" t="s">
        <v>357</v>
      </c>
      <c r="E328" s="14">
        <v>1140003</v>
      </c>
      <c r="F328" s="14">
        <v>0</v>
      </c>
      <c r="G328" s="14">
        <v>1</v>
      </c>
      <c r="H328" s="14">
        <v>50</v>
      </c>
      <c r="I328" s="22">
        <v>0.2</v>
      </c>
      <c r="J328" s="23">
        <v>20</v>
      </c>
      <c r="K328" s="14">
        <v>0</v>
      </c>
      <c r="L328" s="14">
        <v>5940</v>
      </c>
      <c r="M328" s="14">
        <f t="shared" si="67"/>
        <v>0</v>
      </c>
      <c r="N328" s="14">
        <v>0</v>
      </c>
      <c r="O328" s="14">
        <v>0</v>
      </c>
      <c r="P328" s="14">
        <v>0</v>
      </c>
      <c r="Q328" s="14">
        <f t="shared" si="68"/>
        <v>28</v>
      </c>
      <c r="R328" s="14">
        <v>56</v>
      </c>
      <c r="S328" s="14">
        <f t="shared" si="69"/>
        <v>28</v>
      </c>
      <c r="T328" s="14">
        <v>56</v>
      </c>
      <c r="U328" s="22">
        <v>0</v>
      </c>
      <c r="V328" s="14">
        <v>0</v>
      </c>
      <c r="W328" s="14">
        <v>0</v>
      </c>
      <c r="X328" s="14">
        <v>0</v>
      </c>
      <c r="Y328" s="22">
        <v>0</v>
      </c>
      <c r="Z328" s="22">
        <v>0</v>
      </c>
      <c r="AA328" s="22">
        <v>0</v>
      </c>
      <c r="AB328" s="22">
        <v>0</v>
      </c>
      <c r="AC328" s="22">
        <v>0</v>
      </c>
      <c r="AD328" s="22">
        <v>0</v>
      </c>
      <c r="AE328" s="43"/>
      <c r="GR328" s="6"/>
      <c r="GS328" s="6"/>
      <c r="GT328" s="6"/>
      <c r="GU328" s="6"/>
      <c r="GV328" s="6"/>
      <c r="GW328" s="6"/>
      <c r="GX328" s="6"/>
      <c r="GY328" s="6"/>
      <c r="GZ328" s="6"/>
      <c r="HA328" s="6"/>
      <c r="HB328" s="6"/>
      <c r="HC328" s="6"/>
      <c r="HD328" s="6"/>
      <c r="HE328" s="6"/>
      <c r="HF328" s="6"/>
      <c r="HG328" s="6"/>
      <c r="HH328" s="6"/>
      <c r="HI328" s="6"/>
      <c r="HJ328" s="6"/>
      <c r="HK328" s="6"/>
      <c r="HL328" s="6"/>
      <c r="HM328" s="6"/>
      <c r="HN328" s="6"/>
      <c r="HO328" s="6"/>
      <c r="HP328" s="6"/>
    </row>
    <row r="329" spans="3:224" ht="20.100000000000001" customHeight="1">
      <c r="C329" s="11">
        <v>15411006</v>
      </c>
      <c r="D329" s="14" t="s">
        <v>358</v>
      </c>
      <c r="E329" s="14">
        <v>1140003</v>
      </c>
      <c r="F329" s="14">
        <v>14031</v>
      </c>
      <c r="G329" s="14">
        <v>1</v>
      </c>
      <c r="H329" s="14">
        <v>50</v>
      </c>
      <c r="I329" s="22">
        <v>0.2</v>
      </c>
      <c r="J329" s="23">
        <v>20</v>
      </c>
      <c r="K329" s="14">
        <v>0</v>
      </c>
      <c r="L329" s="14">
        <v>7560</v>
      </c>
      <c r="M329" s="14">
        <f t="shared" si="67"/>
        <v>0</v>
      </c>
      <c r="N329" s="14">
        <v>0</v>
      </c>
      <c r="O329" s="14">
        <v>0</v>
      </c>
      <c r="P329" s="14">
        <v>0</v>
      </c>
      <c r="Q329" s="14">
        <f t="shared" si="68"/>
        <v>80</v>
      </c>
      <c r="R329" s="14">
        <v>160</v>
      </c>
      <c r="S329" s="14">
        <f t="shared" si="69"/>
        <v>80</v>
      </c>
      <c r="T329" s="14">
        <v>160</v>
      </c>
      <c r="U329" s="22">
        <v>0</v>
      </c>
      <c r="V329" s="14">
        <v>0</v>
      </c>
      <c r="W329" s="14">
        <v>0</v>
      </c>
      <c r="X329" s="14">
        <v>0</v>
      </c>
      <c r="Y329" s="22">
        <v>0</v>
      </c>
      <c r="Z329" s="22">
        <v>0</v>
      </c>
      <c r="AA329" s="22">
        <v>0</v>
      </c>
      <c r="AB329" s="22">
        <v>0</v>
      </c>
      <c r="AC329" s="22">
        <v>0</v>
      </c>
      <c r="AD329" s="22">
        <v>0</v>
      </c>
      <c r="AE329" s="43"/>
      <c r="GR329" s="6"/>
      <c r="GS329" s="6"/>
      <c r="GT329" s="6"/>
      <c r="GU329" s="6"/>
      <c r="GV329" s="6"/>
      <c r="GW329" s="6"/>
      <c r="GX329" s="6"/>
      <c r="GY329" s="6"/>
      <c r="GZ329" s="6"/>
      <c r="HA329" s="6"/>
      <c r="HB329" s="6"/>
      <c r="HC329" s="6"/>
      <c r="HD329" s="6"/>
      <c r="HE329" s="6"/>
      <c r="HF329" s="6"/>
      <c r="HG329" s="6"/>
      <c r="HH329" s="6"/>
      <c r="HI329" s="6"/>
      <c r="HJ329" s="6"/>
      <c r="HK329" s="6"/>
      <c r="HL329" s="6"/>
      <c r="HM329" s="6"/>
      <c r="HN329" s="6"/>
      <c r="HO329" s="6"/>
      <c r="HP329" s="6"/>
    </row>
    <row r="330" spans="3:224" ht="20.100000000000001" customHeight="1">
      <c r="C330" s="11">
        <v>15411011</v>
      </c>
      <c r="D330" s="37" t="s">
        <v>359</v>
      </c>
      <c r="E330" s="14">
        <v>1140003</v>
      </c>
      <c r="F330" s="14">
        <v>14011</v>
      </c>
      <c r="G330" s="14">
        <v>1</v>
      </c>
      <c r="H330" s="14">
        <v>50</v>
      </c>
      <c r="I330" s="22">
        <v>0.2</v>
      </c>
      <c r="J330" s="23">
        <v>20</v>
      </c>
      <c r="K330" s="14">
        <v>0</v>
      </c>
      <c r="L330" s="14">
        <v>5800</v>
      </c>
      <c r="M330" s="14">
        <f t="shared" si="67"/>
        <v>0</v>
      </c>
      <c r="N330" s="14">
        <v>0</v>
      </c>
      <c r="O330" s="14">
        <v>0</v>
      </c>
      <c r="P330" s="14">
        <v>0</v>
      </c>
      <c r="Q330" s="14">
        <f t="shared" ref="Q330:T330" si="87">ROUND(Q325*1.15,-1)</f>
        <v>70</v>
      </c>
      <c r="R330" s="14">
        <f t="shared" si="87"/>
        <v>150</v>
      </c>
      <c r="S330" s="14">
        <f t="shared" si="87"/>
        <v>70</v>
      </c>
      <c r="T330" s="14">
        <f t="shared" si="87"/>
        <v>150</v>
      </c>
      <c r="U330" s="22">
        <v>0</v>
      </c>
      <c r="V330" s="14">
        <v>0</v>
      </c>
      <c r="W330" s="14">
        <v>0</v>
      </c>
      <c r="X330" s="14">
        <v>0</v>
      </c>
      <c r="Y330" s="22">
        <v>0</v>
      </c>
      <c r="Z330" s="22">
        <v>0</v>
      </c>
      <c r="AA330" s="22">
        <v>0</v>
      </c>
      <c r="AB330" s="22">
        <v>0</v>
      </c>
      <c r="AC330" s="22">
        <v>0</v>
      </c>
      <c r="AD330" s="22">
        <v>0</v>
      </c>
      <c r="AE330" s="43"/>
      <c r="GR330" s="6"/>
      <c r="GS330" s="6"/>
      <c r="GT330" s="6"/>
      <c r="GU330" s="6"/>
      <c r="GV330" s="6"/>
      <c r="GW330" s="6"/>
      <c r="GX330" s="6"/>
      <c r="GY330" s="6"/>
      <c r="GZ330" s="6"/>
      <c r="HA330" s="6"/>
      <c r="HB330" s="6"/>
      <c r="HC330" s="6"/>
      <c r="HD330" s="6"/>
      <c r="HE330" s="6"/>
      <c r="HF330" s="6"/>
      <c r="HG330" s="6"/>
      <c r="HH330" s="6"/>
      <c r="HI330" s="6"/>
      <c r="HJ330" s="6"/>
      <c r="HK330" s="6"/>
      <c r="HL330" s="6"/>
      <c r="HM330" s="6"/>
      <c r="HN330" s="6"/>
      <c r="HO330" s="6"/>
      <c r="HP330" s="6"/>
    </row>
    <row r="331" spans="3:224" ht="20.100000000000001" customHeight="1">
      <c r="C331" s="11">
        <v>15411012</v>
      </c>
      <c r="D331" s="37" t="s">
        <v>360</v>
      </c>
      <c r="E331" s="14">
        <v>1140003</v>
      </c>
      <c r="F331" s="14">
        <v>14021</v>
      </c>
      <c r="G331" s="14">
        <v>1</v>
      </c>
      <c r="H331" s="14">
        <v>50</v>
      </c>
      <c r="I331" s="22">
        <v>0.2</v>
      </c>
      <c r="J331" s="23">
        <v>20</v>
      </c>
      <c r="K331" s="14">
        <v>0</v>
      </c>
      <c r="L331" s="14">
        <v>2900</v>
      </c>
      <c r="M331" s="14">
        <f t="shared" si="67"/>
        <v>0</v>
      </c>
      <c r="N331" s="14">
        <v>0</v>
      </c>
      <c r="O331" s="14">
        <v>0</v>
      </c>
      <c r="P331" s="14">
        <v>0</v>
      </c>
      <c r="Q331" s="14">
        <f t="shared" ref="Q331:T331" si="88">ROUND(Q327*1.15,-1)</f>
        <v>60</v>
      </c>
      <c r="R331" s="14">
        <f t="shared" si="88"/>
        <v>110</v>
      </c>
      <c r="S331" s="14">
        <f t="shared" si="88"/>
        <v>60</v>
      </c>
      <c r="T331" s="14">
        <f t="shared" si="88"/>
        <v>110</v>
      </c>
      <c r="U331" s="22">
        <v>0</v>
      </c>
      <c r="V331" s="14">
        <v>0</v>
      </c>
      <c r="W331" s="14">
        <v>0</v>
      </c>
      <c r="X331" s="14">
        <v>0</v>
      </c>
      <c r="Y331" s="22">
        <v>0</v>
      </c>
      <c r="Z331" s="22">
        <v>0</v>
      </c>
      <c r="AA331" s="22">
        <v>0</v>
      </c>
      <c r="AB331" s="22">
        <v>0</v>
      </c>
      <c r="AC331" s="22">
        <v>0</v>
      </c>
      <c r="AD331" s="22">
        <v>0</v>
      </c>
      <c r="AE331" s="43"/>
      <c r="GR331" s="6"/>
      <c r="GS331" s="6"/>
      <c r="GT331" s="6"/>
      <c r="GU331" s="6"/>
      <c r="GV331" s="6"/>
      <c r="GW331" s="6"/>
      <c r="GX331" s="6"/>
      <c r="GY331" s="6"/>
      <c r="GZ331" s="6"/>
      <c r="HA331" s="6"/>
      <c r="HB331" s="6"/>
      <c r="HC331" s="6"/>
      <c r="HD331" s="6"/>
      <c r="HE331" s="6"/>
      <c r="HF331" s="6"/>
      <c r="HG331" s="6"/>
      <c r="HH331" s="6"/>
      <c r="HI331" s="6"/>
      <c r="HJ331" s="6"/>
      <c r="HK331" s="6"/>
      <c r="HL331" s="6"/>
      <c r="HM331" s="6"/>
      <c r="HN331" s="6"/>
      <c r="HO331" s="6"/>
      <c r="HP331" s="6"/>
    </row>
    <row r="332" spans="3:224" ht="20.100000000000001" customHeight="1">
      <c r="C332" s="11">
        <v>15411013</v>
      </c>
      <c r="D332" s="37" t="s">
        <v>361</v>
      </c>
      <c r="E332" s="14">
        <v>1140003</v>
      </c>
      <c r="F332" s="14">
        <v>14031</v>
      </c>
      <c r="G332" s="14">
        <v>1</v>
      </c>
      <c r="H332" s="14">
        <v>50</v>
      </c>
      <c r="I332" s="22">
        <v>0.2</v>
      </c>
      <c r="J332" s="23">
        <v>20</v>
      </c>
      <c r="K332" s="14">
        <v>0</v>
      </c>
      <c r="L332" s="14">
        <v>8700</v>
      </c>
      <c r="M332" s="14">
        <f t="shared" si="67"/>
        <v>0</v>
      </c>
      <c r="N332" s="14">
        <v>0</v>
      </c>
      <c r="O332" s="14">
        <v>0</v>
      </c>
      <c r="P332" s="14">
        <v>0</v>
      </c>
      <c r="Q332" s="14">
        <f t="shared" ref="Q332:T332" si="89">ROUND(Q329*1.15,-1)</f>
        <v>90</v>
      </c>
      <c r="R332" s="14">
        <f t="shared" si="89"/>
        <v>180</v>
      </c>
      <c r="S332" s="14">
        <f t="shared" si="89"/>
        <v>90</v>
      </c>
      <c r="T332" s="14">
        <f t="shared" si="89"/>
        <v>180</v>
      </c>
      <c r="U332" s="22">
        <v>0</v>
      </c>
      <c r="V332" s="14">
        <v>0</v>
      </c>
      <c r="W332" s="14">
        <v>0</v>
      </c>
      <c r="X332" s="14">
        <v>0</v>
      </c>
      <c r="Y332" s="22">
        <v>0</v>
      </c>
      <c r="Z332" s="22">
        <v>0</v>
      </c>
      <c r="AA332" s="22">
        <v>0</v>
      </c>
      <c r="AB332" s="22">
        <v>204903</v>
      </c>
      <c r="AC332" s="22">
        <v>1000</v>
      </c>
      <c r="AD332" s="22">
        <v>1</v>
      </c>
      <c r="AE332" s="43"/>
      <c r="GR332" s="6"/>
      <c r="GS332" s="6"/>
      <c r="GT332" s="6"/>
      <c r="GU332" s="6"/>
      <c r="GV332" s="6"/>
      <c r="GW332" s="6"/>
      <c r="GX332" s="6"/>
      <c r="GY332" s="6"/>
      <c r="GZ332" s="6"/>
      <c r="HA332" s="6"/>
      <c r="HB332" s="6"/>
      <c r="HC332" s="6"/>
      <c r="HD332" s="6"/>
      <c r="HE332" s="6"/>
      <c r="HF332" s="6"/>
      <c r="HG332" s="6"/>
      <c r="HH332" s="6"/>
      <c r="HI332" s="6"/>
      <c r="HJ332" s="6"/>
      <c r="HK332" s="6"/>
      <c r="HL332" s="6"/>
      <c r="HM332" s="6"/>
      <c r="HN332" s="6"/>
      <c r="HO332" s="6"/>
      <c r="HP332" s="6"/>
    </row>
    <row r="333" spans="3:224" ht="20.100000000000001" customHeight="1">
      <c r="C333" s="11">
        <v>15501001</v>
      </c>
      <c r="D333" s="14" t="s">
        <v>362</v>
      </c>
      <c r="E333" s="14">
        <v>1140003</v>
      </c>
      <c r="F333" s="14">
        <v>0</v>
      </c>
      <c r="G333" s="14">
        <v>1</v>
      </c>
      <c r="H333" s="14">
        <v>60</v>
      </c>
      <c r="I333" s="22">
        <v>0.2</v>
      </c>
      <c r="J333" s="23">
        <v>25</v>
      </c>
      <c r="K333" s="14">
        <v>0</v>
      </c>
      <c r="L333" s="14">
        <v>0</v>
      </c>
      <c r="M333" s="14">
        <f t="shared" si="67"/>
        <v>50</v>
      </c>
      <c r="N333" s="14">
        <v>100</v>
      </c>
      <c r="O333" s="14">
        <v>0</v>
      </c>
      <c r="P333" s="14">
        <v>0</v>
      </c>
      <c r="Q333" s="14">
        <f t="shared" si="68"/>
        <v>30</v>
      </c>
      <c r="R333" s="14">
        <v>60</v>
      </c>
      <c r="S333" s="14">
        <f t="shared" si="69"/>
        <v>30</v>
      </c>
      <c r="T333" s="14">
        <v>60</v>
      </c>
      <c r="U333" s="22">
        <v>0</v>
      </c>
      <c r="V333" s="14">
        <v>0</v>
      </c>
      <c r="W333" s="14">
        <v>0</v>
      </c>
      <c r="X333" s="14">
        <v>0</v>
      </c>
      <c r="Y333" s="22">
        <v>0</v>
      </c>
      <c r="Z333" s="22">
        <v>0</v>
      </c>
      <c r="AA333" s="22">
        <v>0</v>
      </c>
      <c r="AB333" s="22">
        <v>0</v>
      </c>
      <c r="AC333" s="22">
        <v>0</v>
      </c>
      <c r="AD333" s="22">
        <v>0</v>
      </c>
      <c r="AE333" s="43"/>
      <c r="GR333" s="6"/>
      <c r="GS333" s="6"/>
      <c r="GT333" s="6"/>
      <c r="GU333" s="6"/>
      <c r="GV333" s="6"/>
      <c r="GW333" s="6"/>
      <c r="GX333" s="6"/>
      <c r="GY333" s="6"/>
      <c r="GZ333" s="6"/>
      <c r="HA333" s="6"/>
      <c r="HB333" s="6"/>
      <c r="HC333" s="6"/>
      <c r="HD333" s="6"/>
      <c r="HE333" s="6"/>
      <c r="HF333" s="6"/>
      <c r="HG333" s="6"/>
      <c r="HH333" s="6"/>
      <c r="HI333" s="6"/>
      <c r="HJ333" s="6"/>
      <c r="HK333" s="6"/>
      <c r="HL333" s="6"/>
      <c r="HM333" s="6"/>
      <c r="HN333" s="6"/>
      <c r="HO333" s="6"/>
      <c r="HP333" s="6"/>
    </row>
    <row r="334" spans="3:224" ht="20.100000000000001" customHeight="1">
      <c r="C334" s="11">
        <v>15501002</v>
      </c>
      <c r="D334" s="14" t="s">
        <v>363</v>
      </c>
      <c r="E334" s="14">
        <v>1140003</v>
      </c>
      <c r="F334" s="14">
        <v>15011</v>
      </c>
      <c r="G334" s="14">
        <v>1</v>
      </c>
      <c r="H334" s="14">
        <v>60</v>
      </c>
      <c r="I334" s="22">
        <v>0.2</v>
      </c>
      <c r="J334" s="23">
        <v>25</v>
      </c>
      <c r="K334" s="14">
        <v>0</v>
      </c>
      <c r="L334" s="14">
        <v>0</v>
      </c>
      <c r="M334" s="14">
        <f t="shared" si="67"/>
        <v>60</v>
      </c>
      <c r="N334" s="14">
        <v>120</v>
      </c>
      <c r="O334" s="14">
        <v>0</v>
      </c>
      <c r="P334" s="14">
        <v>0</v>
      </c>
      <c r="Q334" s="14">
        <f t="shared" si="68"/>
        <v>36</v>
      </c>
      <c r="R334" s="14">
        <v>72</v>
      </c>
      <c r="S334" s="14">
        <f t="shared" si="69"/>
        <v>36</v>
      </c>
      <c r="T334" s="14">
        <v>72</v>
      </c>
      <c r="U334" s="22">
        <v>0</v>
      </c>
      <c r="V334" s="14">
        <v>0</v>
      </c>
      <c r="W334" s="14">
        <v>0</v>
      </c>
      <c r="X334" s="14">
        <v>0</v>
      </c>
      <c r="Y334" s="22">
        <v>0</v>
      </c>
      <c r="Z334" s="22">
        <v>0</v>
      </c>
      <c r="AA334" s="22">
        <v>0</v>
      </c>
      <c r="AB334" s="22">
        <v>0</v>
      </c>
      <c r="AC334" s="22">
        <v>0</v>
      </c>
      <c r="AD334" s="22">
        <v>0</v>
      </c>
      <c r="AE334" s="43"/>
      <c r="GR334" s="6"/>
      <c r="GS334" s="6"/>
      <c r="GT334" s="6"/>
      <c r="GU334" s="6"/>
      <c r="GV334" s="6"/>
      <c r="GW334" s="6"/>
      <c r="GX334" s="6"/>
      <c r="GY334" s="6"/>
      <c r="GZ334" s="6"/>
      <c r="HA334" s="6"/>
      <c r="HB334" s="6"/>
      <c r="HC334" s="6"/>
      <c r="HD334" s="6"/>
      <c r="HE334" s="6"/>
      <c r="HF334" s="6"/>
      <c r="HG334" s="6"/>
      <c r="HH334" s="6"/>
      <c r="HI334" s="6"/>
      <c r="HJ334" s="6"/>
      <c r="HK334" s="6"/>
      <c r="HL334" s="6"/>
      <c r="HM334" s="6"/>
      <c r="HN334" s="6"/>
      <c r="HO334" s="6"/>
      <c r="HP334" s="6"/>
    </row>
    <row r="335" spans="3:224" ht="20.100000000000001" customHeight="1">
      <c r="C335" s="11">
        <v>15501003</v>
      </c>
      <c r="D335" s="14" t="s">
        <v>364</v>
      </c>
      <c r="E335" s="14">
        <v>1140003</v>
      </c>
      <c r="F335" s="14">
        <v>0</v>
      </c>
      <c r="G335" s="14">
        <v>1</v>
      </c>
      <c r="H335" s="14">
        <v>60</v>
      </c>
      <c r="I335" s="22">
        <v>0.2</v>
      </c>
      <c r="J335" s="23">
        <v>25</v>
      </c>
      <c r="K335" s="14">
        <v>0</v>
      </c>
      <c r="L335" s="14">
        <v>0</v>
      </c>
      <c r="M335" s="14">
        <f t="shared" si="67"/>
        <v>68</v>
      </c>
      <c r="N335" s="14">
        <v>135</v>
      </c>
      <c r="O335" s="14">
        <v>0</v>
      </c>
      <c r="P335" s="14">
        <v>0</v>
      </c>
      <c r="Q335" s="14">
        <f t="shared" si="68"/>
        <v>23</v>
      </c>
      <c r="R335" s="14">
        <v>45</v>
      </c>
      <c r="S335" s="14">
        <f t="shared" si="69"/>
        <v>23</v>
      </c>
      <c r="T335" s="14">
        <v>45</v>
      </c>
      <c r="U335" s="22">
        <v>0</v>
      </c>
      <c r="V335" s="14">
        <v>0</v>
      </c>
      <c r="W335" s="14">
        <v>0</v>
      </c>
      <c r="X335" s="14">
        <v>0</v>
      </c>
      <c r="Y335" s="22">
        <v>0</v>
      </c>
      <c r="Z335" s="22">
        <v>0</v>
      </c>
      <c r="AA335" s="22">
        <v>0</v>
      </c>
      <c r="AB335" s="22">
        <v>0</v>
      </c>
      <c r="AC335" s="22">
        <v>0</v>
      </c>
      <c r="AD335" s="22">
        <v>0</v>
      </c>
      <c r="AE335" s="43"/>
      <c r="GR335" s="6"/>
      <c r="GS335" s="6"/>
      <c r="GT335" s="6"/>
      <c r="GU335" s="6"/>
      <c r="GV335" s="6"/>
      <c r="GW335" s="6"/>
      <c r="GX335" s="6"/>
      <c r="GY335" s="6"/>
      <c r="GZ335" s="6"/>
      <c r="HA335" s="6"/>
      <c r="HB335" s="6"/>
      <c r="HC335" s="6"/>
      <c r="HD335" s="6"/>
      <c r="HE335" s="6"/>
      <c r="HF335" s="6"/>
      <c r="HG335" s="6"/>
      <c r="HH335" s="6"/>
      <c r="HI335" s="6"/>
      <c r="HJ335" s="6"/>
      <c r="HK335" s="6"/>
      <c r="HL335" s="6"/>
      <c r="HM335" s="6"/>
      <c r="HN335" s="6"/>
      <c r="HO335" s="6"/>
      <c r="HP335" s="6"/>
    </row>
    <row r="336" spans="3:224" ht="20.100000000000001" customHeight="1">
      <c r="C336" s="11">
        <v>15501004</v>
      </c>
      <c r="D336" s="14" t="s">
        <v>365</v>
      </c>
      <c r="E336" s="14">
        <v>1140003</v>
      </c>
      <c r="F336" s="14">
        <v>15021</v>
      </c>
      <c r="G336" s="14">
        <v>1</v>
      </c>
      <c r="H336" s="14">
        <v>60</v>
      </c>
      <c r="I336" s="22">
        <v>0.2</v>
      </c>
      <c r="J336" s="23">
        <v>25</v>
      </c>
      <c r="K336" s="14">
        <v>0</v>
      </c>
      <c r="L336" s="14">
        <v>0</v>
      </c>
      <c r="M336" s="14">
        <f t="shared" si="67"/>
        <v>81</v>
      </c>
      <c r="N336" s="14">
        <v>162</v>
      </c>
      <c r="O336" s="14">
        <v>0</v>
      </c>
      <c r="P336" s="14">
        <v>0</v>
      </c>
      <c r="Q336" s="14">
        <f t="shared" si="68"/>
        <v>27</v>
      </c>
      <c r="R336" s="14">
        <v>54</v>
      </c>
      <c r="S336" s="14">
        <f t="shared" si="69"/>
        <v>27</v>
      </c>
      <c r="T336" s="14">
        <v>54</v>
      </c>
      <c r="U336" s="22">
        <v>0</v>
      </c>
      <c r="V336" s="14">
        <v>0</v>
      </c>
      <c r="W336" s="14">
        <v>0</v>
      </c>
      <c r="X336" s="14">
        <v>0</v>
      </c>
      <c r="Y336" s="22">
        <v>0</v>
      </c>
      <c r="Z336" s="22">
        <v>0</v>
      </c>
      <c r="AA336" s="22">
        <v>0</v>
      </c>
      <c r="AB336" s="22">
        <v>0</v>
      </c>
      <c r="AC336" s="22">
        <v>0</v>
      </c>
      <c r="AD336" s="22">
        <v>0</v>
      </c>
      <c r="AE336" s="43"/>
      <c r="GR336" s="6"/>
      <c r="GS336" s="6"/>
      <c r="GT336" s="6"/>
      <c r="GU336" s="6"/>
      <c r="GV336" s="6"/>
      <c r="GW336" s="6"/>
      <c r="GX336" s="6"/>
      <c r="GY336" s="6"/>
      <c r="GZ336" s="6"/>
      <c r="HA336" s="6"/>
      <c r="HB336" s="6"/>
      <c r="HC336" s="6"/>
      <c r="HD336" s="6"/>
      <c r="HE336" s="6"/>
      <c r="HF336" s="6"/>
      <c r="HG336" s="6"/>
      <c r="HH336" s="6"/>
      <c r="HI336" s="6"/>
      <c r="HJ336" s="6"/>
      <c r="HK336" s="6"/>
      <c r="HL336" s="6"/>
      <c r="HM336" s="6"/>
      <c r="HN336" s="6"/>
      <c r="HO336" s="6"/>
      <c r="HP336" s="6"/>
    </row>
    <row r="337" spans="3:224" ht="20.100000000000001" customHeight="1">
      <c r="C337" s="11">
        <v>15501005</v>
      </c>
      <c r="D337" s="14" t="s">
        <v>366</v>
      </c>
      <c r="E337" s="14">
        <v>1140003</v>
      </c>
      <c r="F337" s="14">
        <v>0</v>
      </c>
      <c r="G337" s="14">
        <v>1</v>
      </c>
      <c r="H337" s="14">
        <v>60</v>
      </c>
      <c r="I337" s="22">
        <v>0.2</v>
      </c>
      <c r="J337" s="23">
        <v>25</v>
      </c>
      <c r="K337" s="14">
        <v>0</v>
      </c>
      <c r="L337" s="14">
        <v>0</v>
      </c>
      <c r="M337" s="14">
        <f t="shared" si="67"/>
        <v>38</v>
      </c>
      <c r="N337" s="14">
        <v>75</v>
      </c>
      <c r="O337" s="14">
        <v>0</v>
      </c>
      <c r="P337" s="14">
        <v>0</v>
      </c>
      <c r="Q337" s="14">
        <f t="shared" si="68"/>
        <v>38</v>
      </c>
      <c r="R337" s="14">
        <v>75</v>
      </c>
      <c r="S337" s="14">
        <f t="shared" si="69"/>
        <v>38</v>
      </c>
      <c r="T337" s="14">
        <v>75</v>
      </c>
      <c r="U337" s="22">
        <v>0</v>
      </c>
      <c r="V337" s="14">
        <v>0</v>
      </c>
      <c r="W337" s="14">
        <v>0</v>
      </c>
      <c r="X337" s="14">
        <v>0</v>
      </c>
      <c r="Y337" s="22">
        <v>0</v>
      </c>
      <c r="Z337" s="22">
        <v>0</v>
      </c>
      <c r="AA337" s="22">
        <v>0</v>
      </c>
      <c r="AB337" s="22">
        <v>0</v>
      </c>
      <c r="AC337" s="22">
        <v>0</v>
      </c>
      <c r="AD337" s="22">
        <v>0</v>
      </c>
      <c r="AE337" s="43"/>
      <c r="GR337" s="6"/>
      <c r="GS337" s="6"/>
      <c r="GT337" s="6"/>
      <c r="GU337" s="6"/>
      <c r="GV337" s="6"/>
      <c r="GW337" s="6"/>
      <c r="GX337" s="6"/>
      <c r="GY337" s="6"/>
      <c r="GZ337" s="6"/>
      <c r="HA337" s="6"/>
      <c r="HB337" s="6"/>
      <c r="HC337" s="6"/>
      <c r="HD337" s="6"/>
      <c r="HE337" s="6"/>
      <c r="HF337" s="6"/>
      <c r="HG337" s="6"/>
      <c r="HH337" s="6"/>
      <c r="HI337" s="6"/>
      <c r="HJ337" s="6"/>
      <c r="HK337" s="6"/>
      <c r="HL337" s="6"/>
      <c r="HM337" s="6"/>
      <c r="HN337" s="6"/>
      <c r="HO337" s="6"/>
      <c r="HP337" s="6"/>
    </row>
    <row r="338" spans="3:224" ht="20.100000000000001" customHeight="1">
      <c r="C338" s="11">
        <v>15501006</v>
      </c>
      <c r="D338" s="14" t="s">
        <v>367</v>
      </c>
      <c r="E338" s="14">
        <v>1140003</v>
      </c>
      <c r="F338" s="14">
        <v>15031</v>
      </c>
      <c r="G338" s="14">
        <v>1</v>
      </c>
      <c r="H338" s="14">
        <v>60</v>
      </c>
      <c r="I338" s="22">
        <v>0.2</v>
      </c>
      <c r="J338" s="23">
        <v>25</v>
      </c>
      <c r="K338" s="14">
        <v>0</v>
      </c>
      <c r="L338" s="14">
        <v>0</v>
      </c>
      <c r="M338" s="14">
        <f t="shared" si="67"/>
        <v>45</v>
      </c>
      <c r="N338" s="14">
        <v>90</v>
      </c>
      <c r="O338" s="14">
        <v>0</v>
      </c>
      <c r="P338" s="14">
        <v>0</v>
      </c>
      <c r="Q338" s="14">
        <f t="shared" si="68"/>
        <v>45</v>
      </c>
      <c r="R338" s="14">
        <v>90</v>
      </c>
      <c r="S338" s="14">
        <f t="shared" si="69"/>
        <v>45</v>
      </c>
      <c r="T338" s="14">
        <v>90</v>
      </c>
      <c r="U338" s="22">
        <v>0</v>
      </c>
      <c r="V338" s="14">
        <v>0</v>
      </c>
      <c r="W338" s="14">
        <v>0</v>
      </c>
      <c r="X338" s="14">
        <v>0</v>
      </c>
      <c r="Y338" s="22">
        <v>0</v>
      </c>
      <c r="Z338" s="22">
        <v>0</v>
      </c>
      <c r="AA338" s="22">
        <v>0</v>
      </c>
      <c r="AB338" s="22">
        <v>0</v>
      </c>
      <c r="AC338" s="22">
        <v>0</v>
      </c>
      <c r="AD338" s="22">
        <v>0</v>
      </c>
      <c r="AE338" s="43"/>
      <c r="GR338" s="6"/>
      <c r="GS338" s="6"/>
      <c r="GT338" s="6"/>
      <c r="GU338" s="6"/>
      <c r="GV338" s="6"/>
      <c r="GW338" s="6"/>
      <c r="GX338" s="6"/>
      <c r="GY338" s="6"/>
      <c r="GZ338" s="6"/>
      <c r="HA338" s="6"/>
      <c r="HB338" s="6"/>
      <c r="HC338" s="6"/>
      <c r="HD338" s="6"/>
      <c r="HE338" s="6"/>
      <c r="HF338" s="6"/>
      <c r="HG338" s="6"/>
      <c r="HH338" s="6"/>
      <c r="HI338" s="6"/>
      <c r="HJ338" s="6"/>
      <c r="HK338" s="6"/>
      <c r="HL338" s="6"/>
      <c r="HM338" s="6"/>
      <c r="HN338" s="6"/>
      <c r="HO338" s="6"/>
      <c r="HP338" s="6"/>
    </row>
    <row r="339" spans="3:224" ht="20.100000000000001" customHeight="1">
      <c r="C339" s="11">
        <v>15502001</v>
      </c>
      <c r="D339" s="14" t="s">
        <v>368</v>
      </c>
      <c r="E339" s="14">
        <v>1140003</v>
      </c>
      <c r="F339" s="14">
        <v>0</v>
      </c>
      <c r="G339" s="14">
        <v>1</v>
      </c>
      <c r="H339" s="14">
        <v>60</v>
      </c>
      <c r="I339" s="22">
        <v>0.2</v>
      </c>
      <c r="J339" s="23">
        <v>25</v>
      </c>
      <c r="K339" s="14">
        <v>0</v>
      </c>
      <c r="L339" s="14">
        <v>0</v>
      </c>
      <c r="M339" s="14">
        <f t="shared" si="67"/>
        <v>68</v>
      </c>
      <c r="N339" s="14">
        <v>135</v>
      </c>
      <c r="O339" s="14">
        <v>0</v>
      </c>
      <c r="P339" s="14">
        <v>0</v>
      </c>
      <c r="Q339" s="14">
        <f t="shared" si="68"/>
        <v>0</v>
      </c>
      <c r="R339" s="14">
        <v>0</v>
      </c>
      <c r="S339" s="14">
        <f t="shared" si="69"/>
        <v>93</v>
      </c>
      <c r="T339" s="14">
        <v>185</v>
      </c>
      <c r="U339" s="22">
        <v>0</v>
      </c>
      <c r="V339" s="14">
        <v>0</v>
      </c>
      <c r="W339" s="14">
        <v>0</v>
      </c>
      <c r="X339" s="14">
        <v>0</v>
      </c>
      <c r="Y339" s="22">
        <v>0</v>
      </c>
      <c r="Z339" s="22">
        <v>0</v>
      </c>
      <c r="AA339" s="22">
        <v>0</v>
      </c>
      <c r="AB339" s="22">
        <v>0</v>
      </c>
      <c r="AC339" s="22">
        <v>0</v>
      </c>
      <c r="AD339" s="22">
        <v>0</v>
      </c>
      <c r="AE339" s="43"/>
      <c r="GR339" s="6"/>
      <c r="GS339" s="6"/>
      <c r="GT339" s="6"/>
      <c r="GU339" s="6"/>
      <c r="GV339" s="6"/>
      <c r="GW339" s="6"/>
      <c r="GX339" s="6"/>
      <c r="GY339" s="6"/>
      <c r="GZ339" s="6"/>
      <c r="HA339" s="6"/>
      <c r="HB339" s="6"/>
      <c r="HC339" s="6"/>
      <c r="HD339" s="6"/>
      <c r="HE339" s="6"/>
      <c r="HF339" s="6"/>
      <c r="HG339" s="6"/>
      <c r="HH339" s="6"/>
      <c r="HI339" s="6"/>
      <c r="HJ339" s="6"/>
      <c r="HK339" s="6"/>
      <c r="HL339" s="6"/>
      <c r="HM339" s="6"/>
      <c r="HN339" s="6"/>
      <c r="HO339" s="6"/>
      <c r="HP339" s="6"/>
    </row>
    <row r="340" spans="3:224" ht="20.100000000000001" customHeight="1">
      <c r="C340" s="11">
        <v>15502002</v>
      </c>
      <c r="D340" s="14" t="s">
        <v>369</v>
      </c>
      <c r="E340" s="14">
        <v>1140003</v>
      </c>
      <c r="F340" s="14">
        <v>15011</v>
      </c>
      <c r="G340" s="14">
        <v>1</v>
      </c>
      <c r="H340" s="14">
        <v>60</v>
      </c>
      <c r="I340" s="22">
        <v>0.2</v>
      </c>
      <c r="J340" s="23">
        <v>25</v>
      </c>
      <c r="K340" s="14">
        <v>0</v>
      </c>
      <c r="L340" s="14">
        <v>0</v>
      </c>
      <c r="M340" s="14">
        <f t="shared" si="67"/>
        <v>78</v>
      </c>
      <c r="N340" s="14">
        <v>156</v>
      </c>
      <c r="O340" s="14">
        <v>0</v>
      </c>
      <c r="P340" s="14">
        <v>0</v>
      </c>
      <c r="Q340" s="14">
        <f t="shared" si="68"/>
        <v>0</v>
      </c>
      <c r="R340" s="14">
        <v>0</v>
      </c>
      <c r="S340" s="14">
        <f t="shared" si="69"/>
        <v>108</v>
      </c>
      <c r="T340" s="14">
        <v>216</v>
      </c>
      <c r="U340" s="22">
        <v>0</v>
      </c>
      <c r="V340" s="14">
        <v>0</v>
      </c>
      <c r="W340" s="14">
        <v>0</v>
      </c>
      <c r="X340" s="14">
        <v>0</v>
      </c>
      <c r="Y340" s="22">
        <v>0</v>
      </c>
      <c r="Z340" s="22">
        <v>0</v>
      </c>
      <c r="AA340" s="22">
        <v>0</v>
      </c>
      <c r="AB340" s="22">
        <v>0</v>
      </c>
      <c r="AC340" s="22">
        <v>0</v>
      </c>
      <c r="AD340" s="22">
        <v>0</v>
      </c>
      <c r="AE340" s="43"/>
      <c r="GR340" s="6"/>
      <c r="GS340" s="6"/>
      <c r="GT340" s="6"/>
      <c r="GU340" s="6"/>
      <c r="GV340" s="6"/>
      <c r="GW340" s="6"/>
      <c r="GX340" s="6"/>
      <c r="GY340" s="6"/>
      <c r="GZ340" s="6"/>
      <c r="HA340" s="6"/>
      <c r="HB340" s="6"/>
      <c r="HC340" s="6"/>
      <c r="HD340" s="6"/>
      <c r="HE340" s="6"/>
      <c r="HF340" s="6"/>
      <c r="HG340" s="6"/>
      <c r="HH340" s="6"/>
      <c r="HI340" s="6"/>
      <c r="HJ340" s="6"/>
      <c r="HK340" s="6"/>
      <c r="HL340" s="6"/>
      <c r="HM340" s="6"/>
      <c r="HN340" s="6"/>
      <c r="HO340" s="6"/>
      <c r="HP340" s="6"/>
    </row>
    <row r="341" spans="3:224" ht="20.100000000000001" customHeight="1">
      <c r="C341" s="11">
        <v>15502003</v>
      </c>
      <c r="D341" s="14" t="s">
        <v>370</v>
      </c>
      <c r="E341" s="14">
        <v>1140003</v>
      </c>
      <c r="F341" s="14">
        <v>0</v>
      </c>
      <c r="G341" s="14">
        <v>1</v>
      </c>
      <c r="H341" s="14">
        <v>60</v>
      </c>
      <c r="I341" s="22">
        <v>0.2</v>
      </c>
      <c r="J341" s="23">
        <v>25</v>
      </c>
      <c r="K341" s="14">
        <v>0</v>
      </c>
      <c r="L341" s="14">
        <v>0</v>
      </c>
      <c r="M341" s="14">
        <f t="shared" si="67"/>
        <v>91</v>
      </c>
      <c r="N341" s="14">
        <v>182</v>
      </c>
      <c r="O341" s="14">
        <v>0</v>
      </c>
      <c r="P341" s="14">
        <v>0</v>
      </c>
      <c r="Q341" s="14">
        <f t="shared" si="68"/>
        <v>0</v>
      </c>
      <c r="R341" s="14">
        <v>0</v>
      </c>
      <c r="S341" s="14">
        <f t="shared" si="69"/>
        <v>70</v>
      </c>
      <c r="T341" s="14">
        <v>139</v>
      </c>
      <c r="U341" s="22">
        <v>0</v>
      </c>
      <c r="V341" s="14">
        <v>0</v>
      </c>
      <c r="W341" s="14">
        <v>0</v>
      </c>
      <c r="X341" s="14">
        <v>0</v>
      </c>
      <c r="Y341" s="22">
        <v>0</v>
      </c>
      <c r="Z341" s="22">
        <v>0</v>
      </c>
      <c r="AA341" s="22">
        <v>0</v>
      </c>
      <c r="AB341" s="22">
        <v>0</v>
      </c>
      <c r="AC341" s="22">
        <v>0</v>
      </c>
      <c r="AD341" s="22">
        <v>0</v>
      </c>
      <c r="AE341" s="43"/>
      <c r="GR341" s="6"/>
      <c r="GS341" s="6"/>
      <c r="GT341" s="6"/>
      <c r="GU341" s="6"/>
      <c r="GV341" s="6"/>
      <c r="GW341" s="6"/>
      <c r="GX341" s="6"/>
      <c r="GY341" s="6"/>
      <c r="GZ341" s="6"/>
      <c r="HA341" s="6"/>
      <c r="HB341" s="6"/>
      <c r="HC341" s="6"/>
      <c r="HD341" s="6"/>
      <c r="HE341" s="6"/>
      <c r="HF341" s="6"/>
      <c r="HG341" s="6"/>
      <c r="HH341" s="6"/>
      <c r="HI341" s="6"/>
      <c r="HJ341" s="6"/>
      <c r="HK341" s="6"/>
      <c r="HL341" s="6"/>
      <c r="HM341" s="6"/>
      <c r="HN341" s="6"/>
      <c r="HO341" s="6"/>
      <c r="HP341" s="6"/>
    </row>
    <row r="342" spans="3:224" ht="20.100000000000001" customHeight="1">
      <c r="C342" s="11">
        <v>15502004</v>
      </c>
      <c r="D342" s="14" t="s">
        <v>371</v>
      </c>
      <c r="E342" s="14">
        <v>1140003</v>
      </c>
      <c r="F342" s="14">
        <v>15021</v>
      </c>
      <c r="G342" s="14">
        <v>1</v>
      </c>
      <c r="H342" s="14">
        <v>60</v>
      </c>
      <c r="I342" s="22">
        <v>0.2</v>
      </c>
      <c r="J342" s="23">
        <v>25</v>
      </c>
      <c r="K342" s="14">
        <v>0</v>
      </c>
      <c r="L342" s="14">
        <v>0</v>
      </c>
      <c r="M342" s="14">
        <f t="shared" si="67"/>
        <v>106</v>
      </c>
      <c r="N342" s="14">
        <v>211</v>
      </c>
      <c r="O342" s="14">
        <v>0</v>
      </c>
      <c r="P342" s="14">
        <v>0</v>
      </c>
      <c r="Q342" s="14">
        <f t="shared" si="68"/>
        <v>0</v>
      </c>
      <c r="R342" s="14">
        <v>0</v>
      </c>
      <c r="S342" s="14">
        <f t="shared" si="69"/>
        <v>81</v>
      </c>
      <c r="T342" s="14">
        <v>162</v>
      </c>
      <c r="U342" s="22">
        <v>0</v>
      </c>
      <c r="V342" s="14">
        <v>0</v>
      </c>
      <c r="W342" s="14">
        <v>0</v>
      </c>
      <c r="X342" s="14">
        <v>0</v>
      </c>
      <c r="Y342" s="22">
        <v>0</v>
      </c>
      <c r="Z342" s="22">
        <v>0</v>
      </c>
      <c r="AA342" s="22">
        <v>0</v>
      </c>
      <c r="AB342" s="22">
        <v>0</v>
      </c>
      <c r="AC342" s="22">
        <v>0</v>
      </c>
      <c r="AD342" s="22">
        <v>0</v>
      </c>
      <c r="AE342" s="43"/>
      <c r="GR342" s="6"/>
      <c r="GS342" s="6"/>
      <c r="GT342" s="6"/>
      <c r="GU342" s="6"/>
      <c r="GV342" s="6"/>
      <c r="GW342" s="6"/>
      <c r="GX342" s="6"/>
      <c r="GY342" s="6"/>
      <c r="GZ342" s="6"/>
      <c r="HA342" s="6"/>
      <c r="HB342" s="6"/>
      <c r="HC342" s="6"/>
      <c r="HD342" s="6"/>
      <c r="HE342" s="6"/>
      <c r="HF342" s="6"/>
      <c r="HG342" s="6"/>
      <c r="HH342" s="6"/>
      <c r="HI342" s="6"/>
      <c r="HJ342" s="6"/>
      <c r="HK342" s="6"/>
      <c r="HL342" s="6"/>
      <c r="HM342" s="6"/>
      <c r="HN342" s="6"/>
      <c r="HO342" s="6"/>
      <c r="HP342" s="6"/>
    </row>
    <row r="343" spans="3:224" ht="20.100000000000001" customHeight="1">
      <c r="C343" s="11">
        <v>15502005</v>
      </c>
      <c r="D343" s="14" t="s">
        <v>372</v>
      </c>
      <c r="E343" s="14">
        <v>1140003</v>
      </c>
      <c r="F343" s="14">
        <v>0</v>
      </c>
      <c r="G343" s="14">
        <v>1</v>
      </c>
      <c r="H343" s="14">
        <v>60</v>
      </c>
      <c r="I343" s="22">
        <v>0.2</v>
      </c>
      <c r="J343" s="23">
        <v>25</v>
      </c>
      <c r="K343" s="14">
        <v>0</v>
      </c>
      <c r="L343" s="14">
        <v>0</v>
      </c>
      <c r="M343" s="14">
        <f t="shared" si="67"/>
        <v>51</v>
      </c>
      <c r="N343" s="14">
        <v>101</v>
      </c>
      <c r="O343" s="14">
        <v>0</v>
      </c>
      <c r="P343" s="14">
        <v>0</v>
      </c>
      <c r="Q343" s="14">
        <f t="shared" si="68"/>
        <v>0</v>
      </c>
      <c r="R343" s="14">
        <v>0</v>
      </c>
      <c r="S343" s="14">
        <f t="shared" si="69"/>
        <v>116</v>
      </c>
      <c r="T343" s="14">
        <v>231</v>
      </c>
      <c r="U343" s="22">
        <v>0</v>
      </c>
      <c r="V343" s="14">
        <v>0</v>
      </c>
      <c r="W343" s="14">
        <v>0</v>
      </c>
      <c r="X343" s="14">
        <v>0</v>
      </c>
      <c r="Y343" s="22">
        <v>0</v>
      </c>
      <c r="Z343" s="22">
        <v>0</v>
      </c>
      <c r="AA343" s="22">
        <v>0</v>
      </c>
      <c r="AB343" s="22">
        <v>0</v>
      </c>
      <c r="AC343" s="22">
        <v>0</v>
      </c>
      <c r="AD343" s="22">
        <v>0</v>
      </c>
      <c r="AE343" s="43"/>
      <c r="GR343" s="6"/>
      <c r="GS343" s="6"/>
      <c r="GT343" s="6"/>
      <c r="GU343" s="6"/>
      <c r="GV343" s="6"/>
      <c r="GW343" s="6"/>
      <c r="GX343" s="6"/>
      <c r="GY343" s="6"/>
      <c r="GZ343" s="6"/>
      <c r="HA343" s="6"/>
      <c r="HB343" s="6"/>
      <c r="HC343" s="6"/>
      <c r="HD343" s="6"/>
      <c r="HE343" s="6"/>
      <c r="HF343" s="6"/>
      <c r="HG343" s="6"/>
      <c r="HH343" s="6"/>
      <c r="HI343" s="6"/>
      <c r="HJ343" s="6"/>
      <c r="HK343" s="6"/>
      <c r="HL343" s="6"/>
      <c r="HM343" s="6"/>
      <c r="HN343" s="6"/>
      <c r="HO343" s="6"/>
      <c r="HP343" s="6"/>
    </row>
    <row r="344" spans="3:224" ht="20.100000000000001" customHeight="1">
      <c r="C344" s="11">
        <v>15502006</v>
      </c>
      <c r="D344" s="14" t="s">
        <v>373</v>
      </c>
      <c r="E344" s="14">
        <v>1140003</v>
      </c>
      <c r="F344" s="14">
        <v>15031</v>
      </c>
      <c r="G344" s="14">
        <v>1</v>
      </c>
      <c r="H344" s="14">
        <v>60</v>
      </c>
      <c r="I344" s="22">
        <v>0.2</v>
      </c>
      <c r="J344" s="23">
        <v>25</v>
      </c>
      <c r="K344" s="14">
        <v>0</v>
      </c>
      <c r="L344" s="14">
        <v>0</v>
      </c>
      <c r="M344" s="14">
        <f t="shared" si="67"/>
        <v>59</v>
      </c>
      <c r="N344" s="14">
        <v>117</v>
      </c>
      <c r="O344" s="14">
        <v>0</v>
      </c>
      <c r="P344" s="14">
        <v>0</v>
      </c>
      <c r="Q344" s="14">
        <f t="shared" si="68"/>
        <v>0</v>
      </c>
      <c r="R344" s="14">
        <v>0</v>
      </c>
      <c r="S344" s="14">
        <f t="shared" si="69"/>
        <v>135</v>
      </c>
      <c r="T344" s="14">
        <v>270</v>
      </c>
      <c r="U344" s="22">
        <v>0</v>
      </c>
      <c r="V344" s="14">
        <v>0</v>
      </c>
      <c r="W344" s="14">
        <v>0</v>
      </c>
      <c r="X344" s="14">
        <v>0</v>
      </c>
      <c r="Y344" s="22">
        <v>0</v>
      </c>
      <c r="Z344" s="22">
        <v>0</v>
      </c>
      <c r="AA344" s="22">
        <v>0</v>
      </c>
      <c r="AB344" s="22">
        <v>0</v>
      </c>
      <c r="AC344" s="22">
        <v>0</v>
      </c>
      <c r="AD344" s="22">
        <v>0</v>
      </c>
      <c r="AE344" s="43"/>
      <c r="GR344" s="6"/>
      <c r="GS344" s="6"/>
      <c r="GT344" s="6"/>
      <c r="GU344" s="6"/>
      <c r="GV344" s="6"/>
      <c r="GW344" s="6"/>
      <c r="GX344" s="6"/>
      <c r="GY344" s="6"/>
      <c r="GZ344" s="6"/>
      <c r="HA344" s="6"/>
      <c r="HB344" s="6"/>
      <c r="HC344" s="6"/>
      <c r="HD344" s="6"/>
      <c r="HE344" s="6"/>
      <c r="HF344" s="6"/>
      <c r="HG344" s="6"/>
      <c r="HH344" s="6"/>
      <c r="HI344" s="6"/>
      <c r="HJ344" s="6"/>
      <c r="HK344" s="6"/>
      <c r="HL344" s="6"/>
      <c r="HM344" s="6"/>
      <c r="HN344" s="6"/>
      <c r="HO344" s="6"/>
      <c r="HP344" s="6"/>
    </row>
    <row r="345" spans="3:224" ht="20.100000000000001" customHeight="1">
      <c r="C345" s="11">
        <v>15503001</v>
      </c>
      <c r="D345" s="14" t="s">
        <v>374</v>
      </c>
      <c r="E345" s="14">
        <v>1140003</v>
      </c>
      <c r="F345" s="14">
        <v>0</v>
      </c>
      <c r="G345" s="14">
        <v>1</v>
      </c>
      <c r="H345" s="14">
        <v>60</v>
      </c>
      <c r="I345" s="22">
        <v>0.2</v>
      </c>
      <c r="J345" s="23">
        <v>25</v>
      </c>
      <c r="K345" s="14">
        <v>0</v>
      </c>
      <c r="L345" s="14">
        <v>2080</v>
      </c>
      <c r="M345" s="14">
        <f t="shared" si="67"/>
        <v>36</v>
      </c>
      <c r="N345" s="14">
        <v>72</v>
      </c>
      <c r="O345" s="14">
        <v>0</v>
      </c>
      <c r="P345" s="14">
        <v>0</v>
      </c>
      <c r="Q345" s="14">
        <f t="shared" si="68"/>
        <v>61</v>
      </c>
      <c r="R345" s="14">
        <v>122</v>
      </c>
      <c r="S345" s="14">
        <f t="shared" si="69"/>
        <v>0</v>
      </c>
      <c r="T345" s="14">
        <v>0</v>
      </c>
      <c r="U345" s="22">
        <v>0</v>
      </c>
      <c r="V345" s="14">
        <v>0</v>
      </c>
      <c r="W345" s="14">
        <v>0</v>
      </c>
      <c r="X345" s="14">
        <v>0</v>
      </c>
      <c r="Y345" s="22">
        <v>0</v>
      </c>
      <c r="Z345" s="22">
        <v>0</v>
      </c>
      <c r="AA345" s="22">
        <v>0</v>
      </c>
      <c r="AB345" s="22">
        <v>0</v>
      </c>
      <c r="AC345" s="22">
        <v>0</v>
      </c>
      <c r="AD345" s="22">
        <v>0</v>
      </c>
      <c r="AE345" s="43"/>
      <c r="GR345" s="6"/>
      <c r="GS345" s="6"/>
      <c r="GT345" s="6"/>
      <c r="GU345" s="6"/>
      <c r="GV345" s="6"/>
      <c r="GW345" s="6"/>
      <c r="GX345" s="6"/>
      <c r="GY345" s="6"/>
      <c r="GZ345" s="6"/>
      <c r="HA345" s="6"/>
      <c r="HB345" s="6"/>
      <c r="HC345" s="6"/>
      <c r="HD345" s="6"/>
      <c r="HE345" s="6"/>
      <c r="HF345" s="6"/>
      <c r="HG345" s="6"/>
      <c r="HH345" s="6"/>
      <c r="HI345" s="6"/>
      <c r="HJ345" s="6"/>
      <c r="HK345" s="6"/>
      <c r="HL345" s="6"/>
      <c r="HM345" s="6"/>
      <c r="HN345" s="6"/>
      <c r="HO345" s="6"/>
      <c r="HP345" s="6"/>
    </row>
    <row r="346" spans="3:224" ht="20.100000000000001" customHeight="1">
      <c r="C346" s="11">
        <v>15503002</v>
      </c>
      <c r="D346" s="14" t="s">
        <v>375</v>
      </c>
      <c r="E346" s="14">
        <v>1140003</v>
      </c>
      <c r="F346" s="14">
        <v>15011</v>
      </c>
      <c r="G346" s="14">
        <v>1</v>
      </c>
      <c r="H346" s="14">
        <v>60</v>
      </c>
      <c r="I346" s="22">
        <v>0.2</v>
      </c>
      <c r="J346" s="23">
        <v>25</v>
      </c>
      <c r="K346" s="14">
        <v>0</v>
      </c>
      <c r="L346" s="14">
        <v>2520</v>
      </c>
      <c r="M346" s="14">
        <f t="shared" si="67"/>
        <v>42</v>
      </c>
      <c r="N346" s="14">
        <v>84</v>
      </c>
      <c r="O346" s="14">
        <v>0</v>
      </c>
      <c r="P346" s="14">
        <v>0</v>
      </c>
      <c r="Q346" s="14">
        <f t="shared" si="68"/>
        <v>72</v>
      </c>
      <c r="R346" s="14">
        <v>144</v>
      </c>
      <c r="S346" s="14">
        <f t="shared" si="69"/>
        <v>0</v>
      </c>
      <c r="T346" s="14">
        <v>0</v>
      </c>
      <c r="U346" s="22">
        <v>0</v>
      </c>
      <c r="V346" s="14">
        <v>0</v>
      </c>
      <c r="W346" s="14">
        <v>0</v>
      </c>
      <c r="X346" s="14">
        <v>0</v>
      </c>
      <c r="Y346" s="22">
        <v>0</v>
      </c>
      <c r="Z346" s="22">
        <v>0</v>
      </c>
      <c r="AA346" s="22">
        <v>0</v>
      </c>
      <c r="AB346" s="22">
        <v>0</v>
      </c>
      <c r="AC346" s="22">
        <v>0</v>
      </c>
      <c r="AD346" s="22">
        <v>0</v>
      </c>
      <c r="AE346" s="43"/>
      <c r="GR346" s="6"/>
      <c r="GS346" s="6"/>
      <c r="GT346" s="6"/>
      <c r="GU346" s="6"/>
      <c r="GV346" s="6"/>
      <c r="GW346" s="6"/>
      <c r="GX346" s="6"/>
      <c r="GY346" s="6"/>
      <c r="GZ346" s="6"/>
      <c r="HA346" s="6"/>
      <c r="HB346" s="6"/>
      <c r="HC346" s="6"/>
      <c r="HD346" s="6"/>
      <c r="HE346" s="6"/>
      <c r="HF346" s="6"/>
      <c r="HG346" s="6"/>
      <c r="HH346" s="6"/>
      <c r="HI346" s="6"/>
      <c r="HJ346" s="6"/>
      <c r="HK346" s="6"/>
      <c r="HL346" s="6"/>
      <c r="HM346" s="6"/>
      <c r="HN346" s="6"/>
      <c r="HO346" s="6"/>
      <c r="HP346" s="6"/>
    </row>
    <row r="347" spans="3:224" ht="20.100000000000001" customHeight="1">
      <c r="C347" s="11">
        <v>15503003</v>
      </c>
      <c r="D347" s="14" t="s">
        <v>376</v>
      </c>
      <c r="E347" s="14">
        <v>1140003</v>
      </c>
      <c r="F347" s="14">
        <v>0</v>
      </c>
      <c r="G347" s="14">
        <v>1</v>
      </c>
      <c r="H347" s="14">
        <v>60</v>
      </c>
      <c r="I347" s="22">
        <v>0.2</v>
      </c>
      <c r="J347" s="23">
        <v>25</v>
      </c>
      <c r="K347" s="14">
        <v>0</v>
      </c>
      <c r="L347" s="14">
        <v>1040</v>
      </c>
      <c r="M347" s="14">
        <f t="shared" si="67"/>
        <v>49</v>
      </c>
      <c r="N347" s="14">
        <v>97</v>
      </c>
      <c r="O347" s="14">
        <v>0</v>
      </c>
      <c r="P347" s="14">
        <v>0</v>
      </c>
      <c r="Q347" s="14">
        <f t="shared" si="68"/>
        <v>46</v>
      </c>
      <c r="R347" s="14">
        <v>92</v>
      </c>
      <c r="S347" s="14">
        <f t="shared" si="69"/>
        <v>0</v>
      </c>
      <c r="T347" s="14">
        <v>0</v>
      </c>
      <c r="U347" s="22">
        <v>0</v>
      </c>
      <c r="V347" s="14">
        <v>0</v>
      </c>
      <c r="W347" s="14">
        <v>0</v>
      </c>
      <c r="X347" s="14">
        <v>0</v>
      </c>
      <c r="Y347" s="22">
        <v>0</v>
      </c>
      <c r="Z347" s="22">
        <v>0</v>
      </c>
      <c r="AA347" s="22">
        <v>0</v>
      </c>
      <c r="AB347" s="22">
        <v>0</v>
      </c>
      <c r="AC347" s="22">
        <v>0</v>
      </c>
      <c r="AD347" s="22">
        <v>0</v>
      </c>
      <c r="AE347" s="43"/>
      <c r="GR347" s="6"/>
      <c r="GS347" s="6"/>
      <c r="GT347" s="6"/>
      <c r="GU347" s="6"/>
      <c r="GV347" s="6"/>
      <c r="GW347" s="6"/>
      <c r="GX347" s="6"/>
      <c r="GY347" s="6"/>
      <c r="GZ347" s="6"/>
      <c r="HA347" s="6"/>
      <c r="HB347" s="6"/>
      <c r="HC347" s="6"/>
      <c r="HD347" s="6"/>
      <c r="HE347" s="6"/>
      <c r="HF347" s="6"/>
      <c r="HG347" s="6"/>
      <c r="HH347" s="6"/>
      <c r="HI347" s="6"/>
      <c r="HJ347" s="6"/>
      <c r="HK347" s="6"/>
      <c r="HL347" s="6"/>
      <c r="HM347" s="6"/>
      <c r="HN347" s="6"/>
      <c r="HO347" s="6"/>
      <c r="HP347" s="6"/>
    </row>
    <row r="348" spans="3:224" ht="20.100000000000001" customHeight="1">
      <c r="C348" s="11">
        <v>15503004</v>
      </c>
      <c r="D348" s="14" t="s">
        <v>377</v>
      </c>
      <c r="E348" s="14">
        <v>1140003</v>
      </c>
      <c r="F348" s="14">
        <v>15021</v>
      </c>
      <c r="G348" s="14">
        <v>1</v>
      </c>
      <c r="H348" s="14">
        <v>60</v>
      </c>
      <c r="I348" s="22">
        <v>0.2</v>
      </c>
      <c r="J348" s="23">
        <v>25</v>
      </c>
      <c r="K348" s="14">
        <v>0</v>
      </c>
      <c r="L348" s="14">
        <v>1260</v>
      </c>
      <c r="M348" s="14">
        <f t="shared" si="67"/>
        <v>57</v>
      </c>
      <c r="N348" s="14">
        <v>113</v>
      </c>
      <c r="O348" s="14">
        <v>0</v>
      </c>
      <c r="P348" s="14">
        <v>0</v>
      </c>
      <c r="Q348" s="14">
        <f t="shared" si="68"/>
        <v>54</v>
      </c>
      <c r="R348" s="14">
        <v>108</v>
      </c>
      <c r="S348" s="14">
        <f t="shared" si="69"/>
        <v>0</v>
      </c>
      <c r="T348" s="14">
        <v>0</v>
      </c>
      <c r="U348" s="22">
        <v>0</v>
      </c>
      <c r="V348" s="14">
        <v>0</v>
      </c>
      <c r="W348" s="14">
        <v>0</v>
      </c>
      <c r="X348" s="14">
        <v>0</v>
      </c>
      <c r="Y348" s="22">
        <v>0</v>
      </c>
      <c r="Z348" s="22">
        <v>0</v>
      </c>
      <c r="AA348" s="22">
        <v>0</v>
      </c>
      <c r="AB348" s="22">
        <v>0</v>
      </c>
      <c r="AC348" s="22">
        <v>0</v>
      </c>
      <c r="AD348" s="22">
        <v>0</v>
      </c>
      <c r="AE348" s="43"/>
      <c r="GR348" s="6"/>
      <c r="GS348" s="6"/>
      <c r="GT348" s="6"/>
      <c r="GU348" s="6"/>
      <c r="GV348" s="6"/>
      <c r="GW348" s="6"/>
      <c r="GX348" s="6"/>
      <c r="GY348" s="6"/>
      <c r="GZ348" s="6"/>
      <c r="HA348" s="6"/>
      <c r="HB348" s="6"/>
      <c r="HC348" s="6"/>
      <c r="HD348" s="6"/>
      <c r="HE348" s="6"/>
      <c r="HF348" s="6"/>
      <c r="HG348" s="6"/>
      <c r="HH348" s="6"/>
      <c r="HI348" s="6"/>
      <c r="HJ348" s="6"/>
      <c r="HK348" s="6"/>
      <c r="HL348" s="6"/>
      <c r="HM348" s="6"/>
      <c r="HN348" s="6"/>
      <c r="HO348" s="6"/>
      <c r="HP348" s="6"/>
    </row>
    <row r="349" spans="3:224" ht="20.100000000000001" customHeight="1">
      <c r="C349" s="11">
        <v>15503005</v>
      </c>
      <c r="D349" s="14" t="s">
        <v>378</v>
      </c>
      <c r="E349" s="14">
        <v>1140003</v>
      </c>
      <c r="F349" s="14">
        <v>0</v>
      </c>
      <c r="G349" s="14">
        <v>1</v>
      </c>
      <c r="H349" s="14">
        <v>60</v>
      </c>
      <c r="I349" s="22">
        <v>0.2</v>
      </c>
      <c r="J349" s="23">
        <v>25</v>
      </c>
      <c r="K349" s="14">
        <v>0</v>
      </c>
      <c r="L349" s="14">
        <v>3120</v>
      </c>
      <c r="M349" s="14">
        <f t="shared" si="67"/>
        <v>27</v>
      </c>
      <c r="N349" s="14">
        <v>54</v>
      </c>
      <c r="O349" s="14">
        <v>0</v>
      </c>
      <c r="P349" s="14">
        <v>0</v>
      </c>
      <c r="Q349" s="14">
        <f t="shared" si="68"/>
        <v>77</v>
      </c>
      <c r="R349" s="14">
        <v>153</v>
      </c>
      <c r="S349" s="14">
        <f t="shared" si="69"/>
        <v>0</v>
      </c>
      <c r="T349" s="14">
        <v>0</v>
      </c>
      <c r="U349" s="22">
        <v>0</v>
      </c>
      <c r="V349" s="14">
        <v>0</v>
      </c>
      <c r="W349" s="14">
        <v>0</v>
      </c>
      <c r="X349" s="14">
        <v>0</v>
      </c>
      <c r="Y349" s="22">
        <v>0</v>
      </c>
      <c r="Z349" s="22">
        <v>0</v>
      </c>
      <c r="AA349" s="22">
        <v>0</v>
      </c>
      <c r="AB349" s="22">
        <v>0</v>
      </c>
      <c r="AC349" s="22">
        <v>0</v>
      </c>
      <c r="AD349" s="22">
        <v>0</v>
      </c>
      <c r="AE349" s="43"/>
      <c r="GR349" s="6"/>
      <c r="GS349" s="6"/>
      <c r="GT349" s="6"/>
      <c r="GU349" s="6"/>
      <c r="GV349" s="6"/>
      <c r="GW349" s="6"/>
      <c r="GX349" s="6"/>
      <c r="GY349" s="6"/>
      <c r="GZ349" s="6"/>
      <c r="HA349" s="6"/>
      <c r="HB349" s="6"/>
      <c r="HC349" s="6"/>
      <c r="HD349" s="6"/>
      <c r="HE349" s="6"/>
      <c r="HF349" s="6"/>
      <c r="HG349" s="6"/>
      <c r="HH349" s="6"/>
      <c r="HI349" s="6"/>
      <c r="HJ349" s="6"/>
      <c r="HK349" s="6"/>
      <c r="HL349" s="6"/>
      <c r="HM349" s="6"/>
      <c r="HN349" s="6"/>
      <c r="HO349" s="6"/>
      <c r="HP349" s="6"/>
    </row>
    <row r="350" spans="3:224" ht="20.100000000000001" customHeight="1">
      <c r="C350" s="11">
        <v>15503006</v>
      </c>
      <c r="D350" s="14" t="s">
        <v>379</v>
      </c>
      <c r="E350" s="14">
        <v>1140003</v>
      </c>
      <c r="F350" s="14">
        <v>15031</v>
      </c>
      <c r="G350" s="14">
        <v>1</v>
      </c>
      <c r="H350" s="14">
        <v>60</v>
      </c>
      <c r="I350" s="22">
        <v>0.2</v>
      </c>
      <c r="J350" s="23">
        <v>25</v>
      </c>
      <c r="K350" s="14">
        <v>0</v>
      </c>
      <c r="L350" s="14">
        <v>3780</v>
      </c>
      <c r="M350" s="14">
        <f t="shared" si="67"/>
        <v>32</v>
      </c>
      <c r="N350" s="14">
        <v>63</v>
      </c>
      <c r="O350" s="14">
        <v>0</v>
      </c>
      <c r="P350" s="14">
        <v>0</v>
      </c>
      <c r="Q350" s="14">
        <f t="shared" si="68"/>
        <v>90</v>
      </c>
      <c r="R350" s="14">
        <v>180</v>
      </c>
      <c r="S350" s="14">
        <f t="shared" si="69"/>
        <v>0</v>
      </c>
      <c r="T350" s="14">
        <v>0</v>
      </c>
      <c r="U350" s="22">
        <v>0</v>
      </c>
      <c r="V350" s="14">
        <v>0</v>
      </c>
      <c r="W350" s="14">
        <v>0</v>
      </c>
      <c r="X350" s="14">
        <v>0</v>
      </c>
      <c r="Y350" s="22">
        <v>0</v>
      </c>
      <c r="Z350" s="22">
        <v>0</v>
      </c>
      <c r="AA350" s="22">
        <v>0</v>
      </c>
      <c r="AB350" s="22">
        <v>0</v>
      </c>
      <c r="AC350" s="22">
        <v>0</v>
      </c>
      <c r="AD350" s="22">
        <v>0</v>
      </c>
      <c r="AE350" s="43"/>
      <c r="GR350" s="6"/>
      <c r="GS350" s="6"/>
      <c r="GT350" s="6"/>
      <c r="GU350" s="6"/>
      <c r="GV350" s="6"/>
      <c r="GW350" s="6"/>
      <c r="GX350" s="6"/>
      <c r="GY350" s="6"/>
      <c r="GZ350" s="6"/>
      <c r="HA350" s="6"/>
      <c r="HB350" s="6"/>
      <c r="HC350" s="6"/>
      <c r="HD350" s="6"/>
      <c r="HE350" s="6"/>
      <c r="HF350" s="6"/>
      <c r="HG350" s="6"/>
      <c r="HH350" s="6"/>
      <c r="HI350" s="6"/>
      <c r="HJ350" s="6"/>
      <c r="HK350" s="6"/>
      <c r="HL350" s="6"/>
      <c r="HM350" s="6"/>
      <c r="HN350" s="6"/>
      <c r="HO350" s="6"/>
      <c r="HP350" s="6"/>
    </row>
    <row r="351" spans="3:224" s="4" customFormat="1" ht="20.100000000000001" customHeight="1">
      <c r="C351" s="17">
        <v>15503007</v>
      </c>
      <c r="D351" s="42" t="s">
        <v>380</v>
      </c>
      <c r="E351" s="19">
        <v>1140003</v>
      </c>
      <c r="F351" s="19">
        <v>0</v>
      </c>
      <c r="G351" s="19">
        <v>1</v>
      </c>
      <c r="H351" s="19">
        <v>60</v>
      </c>
      <c r="I351" s="26">
        <v>0.2</v>
      </c>
      <c r="J351" s="23">
        <v>25</v>
      </c>
      <c r="K351" s="19">
        <v>0</v>
      </c>
      <c r="L351" s="19">
        <v>4200</v>
      </c>
      <c r="M351" s="19">
        <v>40</v>
      </c>
      <c r="N351" s="19">
        <v>75</v>
      </c>
      <c r="O351" s="19">
        <v>0</v>
      </c>
      <c r="P351" s="19">
        <v>0</v>
      </c>
      <c r="Q351" s="19">
        <f t="shared" ref="Q351" si="90">ROUND(R351/2,0)</f>
        <v>100</v>
      </c>
      <c r="R351" s="19">
        <v>200</v>
      </c>
      <c r="S351" s="19">
        <f t="shared" ref="S351" si="91">ROUND(T351/2,0)</f>
        <v>0</v>
      </c>
      <c r="T351" s="19">
        <v>0</v>
      </c>
      <c r="U351" s="26">
        <v>0</v>
      </c>
      <c r="V351" s="19">
        <v>0</v>
      </c>
      <c r="W351" s="19">
        <v>0</v>
      </c>
      <c r="X351" s="19">
        <v>0</v>
      </c>
      <c r="Y351" s="26">
        <v>0</v>
      </c>
      <c r="Z351" s="26">
        <v>0</v>
      </c>
      <c r="AA351" s="26">
        <v>0</v>
      </c>
      <c r="AB351" s="26">
        <v>202101</v>
      </c>
      <c r="AC351" s="26">
        <v>500</v>
      </c>
      <c r="AD351" s="26">
        <v>1</v>
      </c>
      <c r="AE351" s="47"/>
      <c r="AF351" s="34"/>
      <c r="AG351" s="34"/>
      <c r="AH351" s="34"/>
      <c r="AI351" s="34"/>
      <c r="AJ351" s="34"/>
      <c r="AK351" s="34"/>
      <c r="AL351" s="34"/>
      <c r="AM351" s="34"/>
      <c r="AN351" s="34"/>
      <c r="AO351" s="34"/>
      <c r="AP351" s="34"/>
      <c r="AQ351" s="34"/>
      <c r="AR351" s="34"/>
      <c r="AS351" s="34"/>
      <c r="AT351" s="34"/>
      <c r="AU351" s="34"/>
      <c r="AV351" s="34"/>
      <c r="AW351" s="34"/>
      <c r="AX351" s="34"/>
      <c r="AY351" s="34"/>
      <c r="AZ351" s="34"/>
      <c r="BA351" s="34"/>
      <c r="BB351" s="34"/>
      <c r="BC351" s="34"/>
      <c r="BD351" s="34"/>
      <c r="BE351" s="34"/>
      <c r="BF351" s="34"/>
      <c r="BG351" s="34"/>
      <c r="BH351" s="34"/>
      <c r="BI351" s="34"/>
      <c r="BJ351" s="34"/>
      <c r="BK351" s="34"/>
      <c r="BL351" s="34"/>
      <c r="BM351" s="34"/>
      <c r="BN351" s="34"/>
      <c r="BO351" s="34"/>
      <c r="BP351" s="34"/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  <c r="CE351" s="34"/>
      <c r="CF351" s="34"/>
      <c r="CG351" s="34"/>
      <c r="CH351" s="34"/>
      <c r="CI351" s="34"/>
      <c r="CJ351" s="34"/>
      <c r="CK351" s="34"/>
      <c r="CL351" s="34"/>
      <c r="CM351" s="34"/>
      <c r="CN351" s="34"/>
      <c r="CO351" s="34"/>
      <c r="CP351" s="34"/>
      <c r="CQ351" s="34"/>
      <c r="CR351" s="34"/>
      <c r="CS351" s="34"/>
      <c r="CT351" s="34"/>
      <c r="CU351" s="34"/>
      <c r="CV351" s="34"/>
      <c r="CW351" s="34"/>
      <c r="CX351" s="34"/>
      <c r="CY351" s="34"/>
      <c r="CZ351" s="34"/>
      <c r="DA351" s="34"/>
      <c r="DB351" s="34"/>
      <c r="DC351" s="34"/>
      <c r="DD351" s="34"/>
      <c r="DE351" s="34"/>
      <c r="DF351" s="34"/>
      <c r="DG351" s="34"/>
      <c r="DH351" s="34"/>
      <c r="DI351" s="34"/>
      <c r="DJ351" s="34"/>
      <c r="DK351" s="34"/>
      <c r="DL351" s="34"/>
      <c r="DM351" s="34"/>
      <c r="DN351" s="34"/>
      <c r="DO351" s="34"/>
      <c r="DP351" s="34"/>
      <c r="DQ351" s="34"/>
      <c r="DR351" s="34"/>
      <c r="DS351" s="34"/>
      <c r="DT351" s="34"/>
      <c r="DU351" s="34"/>
      <c r="DV351" s="34"/>
      <c r="DW351" s="34"/>
      <c r="DX351" s="34"/>
      <c r="DY351" s="34"/>
      <c r="DZ351" s="34"/>
      <c r="EA351" s="34"/>
      <c r="EB351" s="34"/>
      <c r="EC351" s="34"/>
      <c r="ED351" s="34"/>
      <c r="EE351" s="34"/>
      <c r="EF351" s="34"/>
      <c r="EG351" s="34"/>
      <c r="EH351" s="34"/>
      <c r="EI351" s="34"/>
      <c r="EJ351" s="34"/>
      <c r="EK351" s="34"/>
      <c r="EL351" s="34"/>
      <c r="EM351" s="34"/>
      <c r="EN351" s="34"/>
      <c r="EO351" s="34"/>
      <c r="EP351" s="34"/>
      <c r="EQ351" s="34"/>
      <c r="ER351" s="34"/>
      <c r="ES351" s="34"/>
      <c r="ET351" s="34"/>
      <c r="EU351" s="34"/>
      <c r="EV351" s="34"/>
      <c r="EW351" s="34"/>
      <c r="EX351" s="34"/>
      <c r="EY351" s="34"/>
      <c r="EZ351" s="34"/>
      <c r="FA351" s="34"/>
      <c r="FB351" s="34"/>
      <c r="FC351" s="34"/>
      <c r="FD351" s="34"/>
      <c r="FE351" s="34"/>
      <c r="FF351" s="34"/>
      <c r="FG351" s="34"/>
      <c r="FH351" s="34"/>
      <c r="FI351" s="34"/>
      <c r="FJ351" s="34"/>
      <c r="FK351" s="34"/>
      <c r="FL351" s="34"/>
      <c r="FM351" s="34"/>
      <c r="FN351" s="34"/>
      <c r="FO351" s="34"/>
      <c r="FP351" s="34"/>
      <c r="FQ351" s="34"/>
      <c r="FR351" s="34"/>
      <c r="FS351" s="34"/>
      <c r="FT351" s="34"/>
      <c r="FU351" s="34"/>
      <c r="FV351" s="34"/>
      <c r="FW351" s="34"/>
      <c r="FX351" s="34"/>
      <c r="FY351" s="34"/>
      <c r="FZ351" s="34"/>
      <c r="GA351" s="34"/>
      <c r="GB351" s="34"/>
      <c r="GC351" s="34"/>
      <c r="GD351" s="34"/>
      <c r="GE351" s="34"/>
      <c r="GF351" s="34"/>
      <c r="GG351" s="34"/>
      <c r="GH351" s="34"/>
      <c r="GI351" s="34"/>
      <c r="GJ351" s="34"/>
      <c r="GK351" s="34"/>
      <c r="GL351" s="34"/>
      <c r="GM351" s="34"/>
      <c r="GN351" s="34"/>
      <c r="GO351" s="34"/>
      <c r="GP351" s="34"/>
      <c r="GQ351" s="34"/>
      <c r="GR351" s="34"/>
      <c r="GS351" s="34"/>
      <c r="GT351" s="34"/>
      <c r="GU351" s="34"/>
      <c r="GV351" s="34"/>
      <c r="GW351" s="34"/>
      <c r="GX351" s="34"/>
      <c r="GY351" s="34"/>
      <c r="GZ351" s="34"/>
      <c r="HA351" s="34"/>
      <c r="HB351" s="34"/>
      <c r="HC351" s="34"/>
      <c r="HD351" s="34"/>
      <c r="HE351" s="34"/>
      <c r="HF351" s="34"/>
      <c r="HG351" s="34"/>
      <c r="HH351" s="34"/>
      <c r="HI351" s="34"/>
      <c r="HJ351" s="34"/>
      <c r="HK351" s="34"/>
      <c r="HL351" s="34"/>
      <c r="HM351" s="34"/>
      <c r="HN351" s="34"/>
      <c r="HO351" s="34"/>
      <c r="HP351" s="34"/>
    </row>
    <row r="352" spans="3:224" ht="20.100000000000001" customHeight="1">
      <c r="C352" s="11">
        <v>15504001</v>
      </c>
      <c r="D352" s="14" t="s">
        <v>381</v>
      </c>
      <c r="E352" s="14">
        <v>1140003</v>
      </c>
      <c r="F352" s="14">
        <v>0</v>
      </c>
      <c r="G352" s="14">
        <v>1</v>
      </c>
      <c r="H352" s="14">
        <v>60</v>
      </c>
      <c r="I352" s="22">
        <v>0.2</v>
      </c>
      <c r="J352" s="23">
        <v>25</v>
      </c>
      <c r="K352" s="14">
        <v>0</v>
      </c>
      <c r="L352" s="14">
        <v>0</v>
      </c>
      <c r="M352" s="14">
        <f t="shared" si="67"/>
        <v>56</v>
      </c>
      <c r="N352" s="14">
        <v>112</v>
      </c>
      <c r="O352" s="14">
        <v>0</v>
      </c>
      <c r="P352" s="14">
        <v>0</v>
      </c>
      <c r="Q352" s="14">
        <f t="shared" si="68"/>
        <v>60</v>
      </c>
      <c r="R352" s="14">
        <v>120</v>
      </c>
      <c r="S352" s="14">
        <f t="shared" si="69"/>
        <v>60</v>
      </c>
      <c r="T352" s="14">
        <v>120</v>
      </c>
      <c r="U352" s="22">
        <v>0</v>
      </c>
      <c r="V352" s="14">
        <v>0</v>
      </c>
      <c r="W352" s="14">
        <v>0</v>
      </c>
      <c r="X352" s="14">
        <v>0</v>
      </c>
      <c r="Y352" s="22">
        <v>0</v>
      </c>
      <c r="Z352" s="22">
        <v>0</v>
      </c>
      <c r="AA352" s="22">
        <v>0</v>
      </c>
      <c r="AB352" s="22">
        <v>0</v>
      </c>
      <c r="AC352" s="22">
        <v>0</v>
      </c>
      <c r="AD352" s="22">
        <v>0</v>
      </c>
      <c r="AE352" s="43"/>
      <c r="GR352" s="6"/>
      <c r="GS352" s="6"/>
      <c r="GT352" s="6"/>
      <c r="GU352" s="6"/>
      <c r="GV352" s="6"/>
      <c r="GW352" s="6"/>
      <c r="GX352" s="6"/>
      <c r="GY352" s="6"/>
      <c r="GZ352" s="6"/>
      <c r="HA352" s="6"/>
      <c r="HB352" s="6"/>
      <c r="HC352" s="6"/>
      <c r="HD352" s="6"/>
      <c r="HE352" s="6"/>
      <c r="HF352" s="6"/>
      <c r="HG352" s="6"/>
      <c r="HH352" s="6"/>
      <c r="HI352" s="6"/>
      <c r="HJ352" s="6"/>
      <c r="HK352" s="6"/>
      <c r="HL352" s="6"/>
      <c r="HM352" s="6"/>
      <c r="HN352" s="6"/>
      <c r="HO352" s="6"/>
      <c r="HP352" s="6"/>
    </row>
    <row r="353" spans="3:224" ht="20.100000000000001" customHeight="1">
      <c r="C353" s="11">
        <v>15504002</v>
      </c>
      <c r="D353" s="14" t="s">
        <v>382</v>
      </c>
      <c r="E353" s="14">
        <v>1140003</v>
      </c>
      <c r="F353" s="14">
        <v>15011</v>
      </c>
      <c r="G353" s="14">
        <v>1</v>
      </c>
      <c r="H353" s="14">
        <v>60</v>
      </c>
      <c r="I353" s="22">
        <v>0.2</v>
      </c>
      <c r="J353" s="23">
        <v>25</v>
      </c>
      <c r="K353" s="14">
        <v>0</v>
      </c>
      <c r="L353" s="14">
        <v>0</v>
      </c>
      <c r="M353" s="14">
        <f t="shared" ref="M353:M392" si="92">ROUND(N353/2,0)</f>
        <v>66</v>
      </c>
      <c r="N353" s="14">
        <v>132</v>
      </c>
      <c r="O353" s="14">
        <v>0</v>
      </c>
      <c r="P353" s="14">
        <v>0</v>
      </c>
      <c r="Q353" s="14">
        <f t="shared" ref="Q353:Q392" si="93">ROUND(R353/2,0)</f>
        <v>72</v>
      </c>
      <c r="R353" s="14">
        <v>144</v>
      </c>
      <c r="S353" s="14">
        <f t="shared" ref="S353:S392" si="94">ROUND(T353/2,0)</f>
        <v>72</v>
      </c>
      <c r="T353" s="14">
        <v>144</v>
      </c>
      <c r="U353" s="22">
        <v>0</v>
      </c>
      <c r="V353" s="14">
        <v>0</v>
      </c>
      <c r="W353" s="14">
        <v>0</v>
      </c>
      <c r="X353" s="14">
        <v>0</v>
      </c>
      <c r="Y353" s="22">
        <v>0</v>
      </c>
      <c r="Z353" s="22">
        <v>0</v>
      </c>
      <c r="AA353" s="22">
        <v>0</v>
      </c>
      <c r="AB353" s="22">
        <v>0</v>
      </c>
      <c r="AC353" s="22">
        <v>0</v>
      </c>
      <c r="AD353" s="22">
        <v>0</v>
      </c>
      <c r="AE353" s="43"/>
      <c r="GR353" s="6"/>
      <c r="GS353" s="6"/>
      <c r="GT353" s="6"/>
      <c r="GU353" s="6"/>
      <c r="GV353" s="6"/>
      <c r="GW353" s="6"/>
      <c r="GX353" s="6"/>
      <c r="GY353" s="6"/>
      <c r="GZ353" s="6"/>
      <c r="HA353" s="6"/>
      <c r="HB353" s="6"/>
      <c r="HC353" s="6"/>
      <c r="HD353" s="6"/>
      <c r="HE353" s="6"/>
      <c r="HF353" s="6"/>
      <c r="HG353" s="6"/>
      <c r="HH353" s="6"/>
      <c r="HI353" s="6"/>
      <c r="HJ353" s="6"/>
      <c r="HK353" s="6"/>
      <c r="HL353" s="6"/>
      <c r="HM353" s="6"/>
      <c r="HN353" s="6"/>
      <c r="HO353" s="6"/>
      <c r="HP353" s="6"/>
    </row>
    <row r="354" spans="3:224" ht="20.100000000000001" customHeight="1">
      <c r="C354" s="11">
        <v>15504003</v>
      </c>
      <c r="D354" s="14" t="s">
        <v>383</v>
      </c>
      <c r="E354" s="14">
        <v>1140003</v>
      </c>
      <c r="F354" s="14">
        <v>0</v>
      </c>
      <c r="G354" s="14">
        <v>1</v>
      </c>
      <c r="H354" s="14">
        <v>60</v>
      </c>
      <c r="I354" s="22">
        <v>0.2</v>
      </c>
      <c r="J354" s="23">
        <v>25</v>
      </c>
      <c r="K354" s="14">
        <v>0</v>
      </c>
      <c r="L354" s="14">
        <v>0</v>
      </c>
      <c r="M354" s="14">
        <f t="shared" si="92"/>
        <v>76</v>
      </c>
      <c r="N354" s="14">
        <v>151</v>
      </c>
      <c r="O354" s="14">
        <v>0</v>
      </c>
      <c r="P354" s="14">
        <v>0</v>
      </c>
      <c r="Q354" s="14">
        <f t="shared" si="93"/>
        <v>45</v>
      </c>
      <c r="R354" s="14">
        <v>90</v>
      </c>
      <c r="S354" s="14">
        <f t="shared" si="94"/>
        <v>45</v>
      </c>
      <c r="T354" s="14">
        <v>90</v>
      </c>
      <c r="U354" s="22">
        <v>0</v>
      </c>
      <c r="V354" s="14">
        <v>0</v>
      </c>
      <c r="W354" s="14">
        <v>0</v>
      </c>
      <c r="X354" s="14">
        <v>0</v>
      </c>
      <c r="Y354" s="22">
        <v>0</v>
      </c>
      <c r="Z354" s="22">
        <v>0</v>
      </c>
      <c r="AA354" s="22">
        <v>0</v>
      </c>
      <c r="AB354" s="22">
        <v>0</v>
      </c>
      <c r="AC354" s="22">
        <v>0</v>
      </c>
      <c r="AD354" s="22">
        <v>0</v>
      </c>
      <c r="AE354" s="43"/>
      <c r="GR354" s="6"/>
      <c r="GS354" s="6"/>
      <c r="GT354" s="6"/>
      <c r="GU354" s="6"/>
      <c r="GV354" s="6"/>
      <c r="GW354" s="6"/>
      <c r="GX354" s="6"/>
      <c r="GY354" s="6"/>
      <c r="GZ354" s="6"/>
      <c r="HA354" s="6"/>
      <c r="HB354" s="6"/>
      <c r="HC354" s="6"/>
      <c r="HD354" s="6"/>
      <c r="HE354" s="6"/>
      <c r="HF354" s="6"/>
      <c r="HG354" s="6"/>
      <c r="HH354" s="6"/>
      <c r="HI354" s="6"/>
      <c r="HJ354" s="6"/>
      <c r="HK354" s="6"/>
      <c r="HL354" s="6"/>
      <c r="HM354" s="6"/>
      <c r="HN354" s="6"/>
      <c r="HO354" s="6"/>
      <c r="HP354" s="6"/>
    </row>
    <row r="355" spans="3:224" ht="20.100000000000001" customHeight="1">
      <c r="C355" s="11">
        <v>15504004</v>
      </c>
      <c r="D355" s="14" t="s">
        <v>384</v>
      </c>
      <c r="E355" s="14">
        <v>1140003</v>
      </c>
      <c r="F355" s="14">
        <v>15021</v>
      </c>
      <c r="G355" s="14">
        <v>1</v>
      </c>
      <c r="H355" s="14">
        <v>60</v>
      </c>
      <c r="I355" s="22">
        <v>0.2</v>
      </c>
      <c r="J355" s="23">
        <v>25</v>
      </c>
      <c r="K355" s="14">
        <v>0</v>
      </c>
      <c r="L355" s="14">
        <v>0</v>
      </c>
      <c r="M355" s="14">
        <f t="shared" si="92"/>
        <v>89</v>
      </c>
      <c r="N355" s="14">
        <v>178</v>
      </c>
      <c r="O355" s="14">
        <v>0</v>
      </c>
      <c r="P355" s="14">
        <v>0</v>
      </c>
      <c r="Q355" s="14">
        <f t="shared" si="93"/>
        <v>54</v>
      </c>
      <c r="R355" s="14">
        <v>108</v>
      </c>
      <c r="S355" s="14">
        <f t="shared" si="94"/>
        <v>54</v>
      </c>
      <c r="T355" s="14">
        <v>108</v>
      </c>
      <c r="U355" s="22">
        <v>0</v>
      </c>
      <c r="V355" s="14">
        <v>0</v>
      </c>
      <c r="W355" s="14">
        <v>0</v>
      </c>
      <c r="X355" s="14">
        <v>0</v>
      </c>
      <c r="Y355" s="22">
        <v>0</v>
      </c>
      <c r="Z355" s="22">
        <v>0</v>
      </c>
      <c r="AA355" s="22">
        <v>0</v>
      </c>
      <c r="AB355" s="22">
        <v>0</v>
      </c>
      <c r="AC355" s="22">
        <v>0</v>
      </c>
      <c r="AD355" s="22">
        <v>0</v>
      </c>
      <c r="AE355" s="43"/>
      <c r="GR355" s="6"/>
      <c r="GS355" s="6"/>
      <c r="GT355" s="6"/>
      <c r="GU355" s="6"/>
      <c r="GV355" s="6"/>
      <c r="GW355" s="6"/>
      <c r="GX355" s="6"/>
      <c r="GY355" s="6"/>
      <c r="GZ355" s="6"/>
      <c r="HA355" s="6"/>
      <c r="HB355" s="6"/>
      <c r="HC355" s="6"/>
      <c r="HD355" s="6"/>
      <c r="HE355" s="6"/>
      <c r="HF355" s="6"/>
      <c r="HG355" s="6"/>
      <c r="HH355" s="6"/>
      <c r="HI355" s="6"/>
      <c r="HJ355" s="6"/>
      <c r="HK355" s="6"/>
      <c r="HL355" s="6"/>
      <c r="HM355" s="6"/>
      <c r="HN355" s="6"/>
      <c r="HO355" s="6"/>
      <c r="HP355" s="6"/>
    </row>
    <row r="356" spans="3:224" ht="20.100000000000001" customHeight="1">
      <c r="C356" s="11">
        <v>15504005</v>
      </c>
      <c r="D356" s="14" t="s">
        <v>385</v>
      </c>
      <c r="E356" s="14">
        <v>1140003</v>
      </c>
      <c r="F356" s="14">
        <v>0</v>
      </c>
      <c r="G356" s="14">
        <v>1</v>
      </c>
      <c r="H356" s="14">
        <v>60</v>
      </c>
      <c r="I356" s="22">
        <v>0.2</v>
      </c>
      <c r="J356" s="23">
        <v>25</v>
      </c>
      <c r="K356" s="14">
        <v>0</v>
      </c>
      <c r="L356" s="14">
        <v>0</v>
      </c>
      <c r="M356" s="14">
        <f t="shared" si="92"/>
        <v>42</v>
      </c>
      <c r="N356" s="14">
        <v>84</v>
      </c>
      <c r="O356" s="14">
        <v>0</v>
      </c>
      <c r="P356" s="14">
        <v>0</v>
      </c>
      <c r="Q356" s="14">
        <f t="shared" si="93"/>
        <v>75</v>
      </c>
      <c r="R356" s="14">
        <v>150</v>
      </c>
      <c r="S356" s="14">
        <f t="shared" si="94"/>
        <v>75</v>
      </c>
      <c r="T356" s="14">
        <v>150</v>
      </c>
      <c r="U356" s="22">
        <v>0</v>
      </c>
      <c r="V356" s="14">
        <v>0</v>
      </c>
      <c r="W356" s="14">
        <v>0</v>
      </c>
      <c r="X356" s="14">
        <v>0</v>
      </c>
      <c r="Y356" s="22">
        <v>0</v>
      </c>
      <c r="Z356" s="22">
        <v>0</v>
      </c>
      <c r="AA356" s="22">
        <v>0</v>
      </c>
      <c r="AB356" s="22">
        <v>0</v>
      </c>
      <c r="AC356" s="22">
        <v>0</v>
      </c>
      <c r="AD356" s="22">
        <v>0</v>
      </c>
      <c r="AE356" s="43"/>
      <c r="GR356" s="6"/>
      <c r="GS356" s="6"/>
      <c r="GT356" s="6"/>
      <c r="GU356" s="6"/>
      <c r="GV356" s="6"/>
      <c r="GW356" s="6"/>
      <c r="GX356" s="6"/>
      <c r="GY356" s="6"/>
      <c r="GZ356" s="6"/>
      <c r="HA356" s="6"/>
      <c r="HB356" s="6"/>
      <c r="HC356" s="6"/>
      <c r="HD356" s="6"/>
      <c r="HE356" s="6"/>
      <c r="HF356" s="6"/>
      <c r="HG356" s="6"/>
      <c r="HH356" s="6"/>
      <c r="HI356" s="6"/>
      <c r="HJ356" s="6"/>
      <c r="HK356" s="6"/>
      <c r="HL356" s="6"/>
      <c r="HM356" s="6"/>
      <c r="HN356" s="6"/>
      <c r="HO356" s="6"/>
      <c r="HP356" s="6"/>
    </row>
    <row r="357" spans="3:224" ht="20.100000000000001" customHeight="1">
      <c r="C357" s="11">
        <v>15504006</v>
      </c>
      <c r="D357" s="14" t="s">
        <v>386</v>
      </c>
      <c r="E357" s="14">
        <v>1140003</v>
      </c>
      <c r="F357" s="14">
        <v>15031</v>
      </c>
      <c r="G357" s="14">
        <v>1</v>
      </c>
      <c r="H357" s="14">
        <v>60</v>
      </c>
      <c r="I357" s="22">
        <v>0.2</v>
      </c>
      <c r="J357" s="23">
        <v>25</v>
      </c>
      <c r="K357" s="14">
        <v>0</v>
      </c>
      <c r="L357" s="14">
        <v>0</v>
      </c>
      <c r="M357" s="14">
        <f t="shared" si="92"/>
        <v>50</v>
      </c>
      <c r="N357" s="14">
        <v>99</v>
      </c>
      <c r="O357" s="14">
        <v>0</v>
      </c>
      <c r="P357" s="14">
        <v>0</v>
      </c>
      <c r="Q357" s="14">
        <f t="shared" si="93"/>
        <v>90</v>
      </c>
      <c r="R357" s="14">
        <v>180</v>
      </c>
      <c r="S357" s="14">
        <f t="shared" si="94"/>
        <v>90</v>
      </c>
      <c r="T357" s="14">
        <v>180</v>
      </c>
      <c r="U357" s="22">
        <v>0</v>
      </c>
      <c r="V357" s="14">
        <v>0</v>
      </c>
      <c r="W357" s="14">
        <v>0</v>
      </c>
      <c r="X357" s="14">
        <v>0</v>
      </c>
      <c r="Y357" s="22">
        <v>0</v>
      </c>
      <c r="Z357" s="22">
        <v>0</v>
      </c>
      <c r="AA357" s="22">
        <v>0</v>
      </c>
      <c r="AB357" s="22">
        <v>0</v>
      </c>
      <c r="AC357" s="22">
        <v>0</v>
      </c>
      <c r="AD357" s="22">
        <v>0</v>
      </c>
      <c r="AE357" s="43"/>
      <c r="GR357" s="6"/>
      <c r="GS357" s="6"/>
      <c r="GT357" s="6"/>
      <c r="GU357" s="6"/>
      <c r="GV357" s="6"/>
      <c r="GW357" s="6"/>
      <c r="GX357" s="6"/>
      <c r="GY357" s="6"/>
      <c r="GZ357" s="6"/>
      <c r="HA357" s="6"/>
      <c r="HB357" s="6"/>
      <c r="HC357" s="6"/>
      <c r="HD357" s="6"/>
      <c r="HE357" s="6"/>
      <c r="HF357" s="6"/>
      <c r="HG357" s="6"/>
      <c r="HH357" s="6"/>
      <c r="HI357" s="6"/>
      <c r="HJ357" s="6"/>
      <c r="HK357" s="6"/>
      <c r="HL357" s="6"/>
      <c r="HM357" s="6"/>
      <c r="HN357" s="6"/>
      <c r="HO357" s="6"/>
      <c r="HP357" s="6"/>
    </row>
    <row r="358" spans="3:224" ht="20.100000000000001" customHeight="1">
      <c r="C358" s="11">
        <v>15505001</v>
      </c>
      <c r="D358" s="14" t="s">
        <v>387</v>
      </c>
      <c r="E358" s="14">
        <v>1140003</v>
      </c>
      <c r="F358" s="14">
        <v>0</v>
      </c>
      <c r="G358" s="14">
        <v>1</v>
      </c>
      <c r="H358" s="14">
        <v>60</v>
      </c>
      <c r="I358" s="22">
        <v>0.2</v>
      </c>
      <c r="J358" s="23">
        <v>25</v>
      </c>
      <c r="K358" s="14">
        <v>0</v>
      </c>
      <c r="L358" s="14">
        <v>5250</v>
      </c>
      <c r="M358" s="14">
        <f t="shared" si="92"/>
        <v>78</v>
      </c>
      <c r="N358" s="14">
        <v>156</v>
      </c>
      <c r="O358" s="14">
        <v>0</v>
      </c>
      <c r="P358" s="14">
        <v>0</v>
      </c>
      <c r="Q358" s="14">
        <f t="shared" si="93"/>
        <v>30</v>
      </c>
      <c r="R358" s="14">
        <v>60</v>
      </c>
      <c r="S358" s="14">
        <f t="shared" si="94"/>
        <v>0</v>
      </c>
      <c r="T358" s="14">
        <v>0</v>
      </c>
      <c r="U358" s="22">
        <v>0</v>
      </c>
      <c r="V358" s="14">
        <v>0</v>
      </c>
      <c r="W358" s="14">
        <v>0</v>
      </c>
      <c r="X358" s="14">
        <v>0</v>
      </c>
      <c r="Y358" s="22">
        <v>0</v>
      </c>
      <c r="Z358" s="22">
        <v>0</v>
      </c>
      <c r="AA358" s="22">
        <v>0</v>
      </c>
      <c r="AB358" s="22">
        <v>0</v>
      </c>
      <c r="AC358" s="22">
        <v>0</v>
      </c>
      <c r="AD358" s="22">
        <v>0</v>
      </c>
      <c r="AE358" s="43"/>
      <c r="GR358" s="6"/>
      <c r="GS358" s="6"/>
      <c r="GT358" s="6"/>
      <c r="GU358" s="6"/>
      <c r="GV358" s="6"/>
      <c r="GW358" s="6"/>
      <c r="GX358" s="6"/>
      <c r="GY358" s="6"/>
      <c r="GZ358" s="6"/>
      <c r="HA358" s="6"/>
      <c r="HB358" s="6"/>
      <c r="HC358" s="6"/>
      <c r="HD358" s="6"/>
      <c r="HE358" s="6"/>
      <c r="HF358" s="6"/>
      <c r="HG358" s="6"/>
      <c r="HH358" s="6"/>
      <c r="HI358" s="6"/>
      <c r="HJ358" s="6"/>
      <c r="HK358" s="6"/>
      <c r="HL358" s="6"/>
      <c r="HM358" s="6"/>
      <c r="HN358" s="6"/>
      <c r="HO358" s="6"/>
      <c r="HP358" s="6"/>
    </row>
    <row r="359" spans="3:224" ht="20.100000000000001" customHeight="1">
      <c r="C359" s="11">
        <v>15505002</v>
      </c>
      <c r="D359" s="14" t="s">
        <v>388</v>
      </c>
      <c r="E359" s="14">
        <v>1140003</v>
      </c>
      <c r="F359" s="14">
        <v>15011</v>
      </c>
      <c r="G359" s="14">
        <v>1</v>
      </c>
      <c r="H359" s="14">
        <v>60</v>
      </c>
      <c r="I359" s="22">
        <v>0.2</v>
      </c>
      <c r="J359" s="23">
        <v>25</v>
      </c>
      <c r="K359" s="14">
        <v>0</v>
      </c>
      <c r="L359" s="14">
        <v>6300</v>
      </c>
      <c r="M359" s="14">
        <f t="shared" si="92"/>
        <v>90</v>
      </c>
      <c r="N359" s="14">
        <v>180</v>
      </c>
      <c r="O359" s="14">
        <v>0</v>
      </c>
      <c r="P359" s="14">
        <v>0</v>
      </c>
      <c r="Q359" s="14">
        <f t="shared" si="93"/>
        <v>36</v>
      </c>
      <c r="R359" s="14">
        <v>72</v>
      </c>
      <c r="S359" s="14">
        <f t="shared" si="94"/>
        <v>0</v>
      </c>
      <c r="T359" s="14">
        <v>0</v>
      </c>
      <c r="U359" s="22">
        <v>0</v>
      </c>
      <c r="V359" s="14">
        <v>0</v>
      </c>
      <c r="W359" s="14">
        <v>0</v>
      </c>
      <c r="X359" s="14">
        <v>0</v>
      </c>
      <c r="Y359" s="22">
        <v>0</v>
      </c>
      <c r="Z359" s="22">
        <v>0</v>
      </c>
      <c r="AA359" s="22">
        <v>0</v>
      </c>
      <c r="AB359" s="22">
        <v>0</v>
      </c>
      <c r="AC359" s="22">
        <v>0</v>
      </c>
      <c r="AD359" s="22">
        <v>0</v>
      </c>
      <c r="AE359" s="43"/>
      <c r="GR359" s="6"/>
      <c r="GS359" s="6"/>
      <c r="GT359" s="6"/>
      <c r="GU359" s="6"/>
      <c r="GV359" s="6"/>
      <c r="GW359" s="6"/>
      <c r="GX359" s="6"/>
      <c r="GY359" s="6"/>
      <c r="GZ359" s="6"/>
      <c r="HA359" s="6"/>
      <c r="HB359" s="6"/>
      <c r="HC359" s="6"/>
      <c r="HD359" s="6"/>
      <c r="HE359" s="6"/>
      <c r="HF359" s="6"/>
      <c r="HG359" s="6"/>
      <c r="HH359" s="6"/>
      <c r="HI359" s="6"/>
      <c r="HJ359" s="6"/>
      <c r="HK359" s="6"/>
      <c r="HL359" s="6"/>
      <c r="HM359" s="6"/>
      <c r="HN359" s="6"/>
      <c r="HO359" s="6"/>
      <c r="HP359" s="6"/>
    </row>
    <row r="360" spans="3:224" ht="20.100000000000001" customHeight="1">
      <c r="C360" s="11">
        <v>15505003</v>
      </c>
      <c r="D360" s="14" t="s">
        <v>389</v>
      </c>
      <c r="E360" s="14">
        <v>1140003</v>
      </c>
      <c r="F360" s="14">
        <v>0</v>
      </c>
      <c r="G360" s="14">
        <v>1</v>
      </c>
      <c r="H360" s="14">
        <v>60</v>
      </c>
      <c r="I360" s="22">
        <v>0.2</v>
      </c>
      <c r="J360" s="23">
        <v>25</v>
      </c>
      <c r="K360" s="14">
        <v>0</v>
      </c>
      <c r="L360" s="14">
        <v>2630</v>
      </c>
      <c r="M360" s="14">
        <f t="shared" si="92"/>
        <v>106</v>
      </c>
      <c r="N360" s="14">
        <v>211</v>
      </c>
      <c r="O360" s="14">
        <v>0</v>
      </c>
      <c r="P360" s="14">
        <v>0</v>
      </c>
      <c r="Q360" s="14">
        <f t="shared" si="93"/>
        <v>23</v>
      </c>
      <c r="R360" s="14">
        <v>45</v>
      </c>
      <c r="S360" s="14">
        <f t="shared" si="94"/>
        <v>0</v>
      </c>
      <c r="T360" s="14">
        <v>0</v>
      </c>
      <c r="U360" s="22">
        <v>0</v>
      </c>
      <c r="V360" s="14">
        <v>0</v>
      </c>
      <c r="W360" s="14">
        <v>0</v>
      </c>
      <c r="X360" s="14">
        <v>0</v>
      </c>
      <c r="Y360" s="22">
        <v>0</v>
      </c>
      <c r="Z360" s="22">
        <v>0</v>
      </c>
      <c r="AA360" s="22">
        <v>0</v>
      </c>
      <c r="AB360" s="22">
        <v>0</v>
      </c>
      <c r="AC360" s="22">
        <v>0</v>
      </c>
      <c r="AD360" s="22">
        <v>0</v>
      </c>
      <c r="AE360" s="43"/>
      <c r="GR360" s="6"/>
      <c r="GS360" s="6"/>
      <c r="GT360" s="6"/>
      <c r="GU360" s="6"/>
      <c r="GV360" s="6"/>
      <c r="GW360" s="6"/>
      <c r="GX360" s="6"/>
      <c r="GY360" s="6"/>
      <c r="GZ360" s="6"/>
      <c r="HA360" s="6"/>
      <c r="HB360" s="6"/>
      <c r="HC360" s="6"/>
      <c r="HD360" s="6"/>
      <c r="HE360" s="6"/>
      <c r="HF360" s="6"/>
      <c r="HG360" s="6"/>
      <c r="HH360" s="6"/>
      <c r="HI360" s="6"/>
      <c r="HJ360" s="6"/>
      <c r="HK360" s="6"/>
      <c r="HL360" s="6"/>
      <c r="HM360" s="6"/>
      <c r="HN360" s="6"/>
      <c r="HO360" s="6"/>
      <c r="HP360" s="6"/>
    </row>
    <row r="361" spans="3:224" ht="20.100000000000001" customHeight="1">
      <c r="C361" s="11">
        <v>15505004</v>
      </c>
      <c r="D361" s="14" t="s">
        <v>390</v>
      </c>
      <c r="E361" s="14">
        <v>1140003</v>
      </c>
      <c r="F361" s="14">
        <v>15021</v>
      </c>
      <c r="G361" s="14">
        <v>1</v>
      </c>
      <c r="H361" s="14">
        <v>60</v>
      </c>
      <c r="I361" s="22">
        <v>0.2</v>
      </c>
      <c r="J361" s="23">
        <v>25</v>
      </c>
      <c r="K361" s="14">
        <v>0</v>
      </c>
      <c r="L361" s="14">
        <v>3150</v>
      </c>
      <c r="M361" s="14">
        <f t="shared" si="92"/>
        <v>122</v>
      </c>
      <c r="N361" s="14">
        <v>243</v>
      </c>
      <c r="O361" s="14">
        <v>0</v>
      </c>
      <c r="P361" s="14">
        <v>0</v>
      </c>
      <c r="Q361" s="14">
        <f t="shared" si="93"/>
        <v>27</v>
      </c>
      <c r="R361" s="14">
        <v>54</v>
      </c>
      <c r="S361" s="14">
        <f t="shared" si="94"/>
        <v>0</v>
      </c>
      <c r="T361" s="14">
        <v>0</v>
      </c>
      <c r="U361" s="22">
        <v>0</v>
      </c>
      <c r="V361" s="14">
        <v>0</v>
      </c>
      <c r="W361" s="14">
        <v>0</v>
      </c>
      <c r="X361" s="14">
        <v>0</v>
      </c>
      <c r="Y361" s="22">
        <v>0</v>
      </c>
      <c r="Z361" s="22">
        <v>0</v>
      </c>
      <c r="AA361" s="22">
        <v>0</v>
      </c>
      <c r="AB361" s="22">
        <v>0</v>
      </c>
      <c r="AC361" s="22">
        <v>0</v>
      </c>
      <c r="AD361" s="22">
        <v>0</v>
      </c>
      <c r="AE361" s="43"/>
      <c r="GR361" s="6"/>
      <c r="GS361" s="6"/>
      <c r="GT361" s="6"/>
      <c r="GU361" s="6"/>
      <c r="GV361" s="6"/>
      <c r="GW361" s="6"/>
      <c r="GX361" s="6"/>
      <c r="GY361" s="6"/>
      <c r="GZ361" s="6"/>
      <c r="HA361" s="6"/>
      <c r="HB361" s="6"/>
      <c r="HC361" s="6"/>
      <c r="HD361" s="6"/>
      <c r="HE361" s="6"/>
      <c r="HF361" s="6"/>
      <c r="HG361" s="6"/>
      <c r="HH361" s="6"/>
      <c r="HI361" s="6"/>
      <c r="HJ361" s="6"/>
      <c r="HK361" s="6"/>
      <c r="HL361" s="6"/>
      <c r="HM361" s="6"/>
      <c r="HN361" s="6"/>
      <c r="HO361" s="6"/>
      <c r="HP361" s="6"/>
    </row>
    <row r="362" spans="3:224" ht="20.100000000000001" customHeight="1">
      <c r="C362" s="11">
        <v>15505005</v>
      </c>
      <c r="D362" s="14" t="s">
        <v>391</v>
      </c>
      <c r="E362" s="14">
        <v>1140003</v>
      </c>
      <c r="F362" s="14">
        <v>0</v>
      </c>
      <c r="G362" s="14">
        <v>1</v>
      </c>
      <c r="H362" s="14">
        <v>60</v>
      </c>
      <c r="I362" s="22">
        <v>0.2</v>
      </c>
      <c r="J362" s="23">
        <v>25</v>
      </c>
      <c r="K362" s="14">
        <v>0</v>
      </c>
      <c r="L362" s="14">
        <v>7880</v>
      </c>
      <c r="M362" s="14">
        <f t="shared" si="92"/>
        <v>59</v>
      </c>
      <c r="N362" s="14">
        <v>117</v>
      </c>
      <c r="O362" s="14">
        <v>0</v>
      </c>
      <c r="P362" s="14">
        <v>0</v>
      </c>
      <c r="Q362" s="14">
        <f t="shared" si="93"/>
        <v>38</v>
      </c>
      <c r="R362" s="14">
        <v>75</v>
      </c>
      <c r="S362" s="14">
        <f t="shared" si="94"/>
        <v>0</v>
      </c>
      <c r="T362" s="14">
        <v>0</v>
      </c>
      <c r="U362" s="22">
        <v>0</v>
      </c>
      <c r="V362" s="14">
        <v>0</v>
      </c>
      <c r="W362" s="14">
        <v>0</v>
      </c>
      <c r="X362" s="14">
        <v>0</v>
      </c>
      <c r="Y362" s="22">
        <v>0</v>
      </c>
      <c r="Z362" s="22">
        <v>0</v>
      </c>
      <c r="AA362" s="22">
        <v>0</v>
      </c>
      <c r="AB362" s="22">
        <v>0</v>
      </c>
      <c r="AC362" s="22">
        <v>0</v>
      </c>
      <c r="AD362" s="22">
        <v>0</v>
      </c>
      <c r="AE362" s="43"/>
      <c r="GR362" s="6"/>
      <c r="GS362" s="6"/>
      <c r="GT362" s="6"/>
      <c r="GU362" s="6"/>
      <c r="GV362" s="6"/>
      <c r="GW362" s="6"/>
      <c r="GX362" s="6"/>
      <c r="GY362" s="6"/>
      <c r="GZ362" s="6"/>
      <c r="HA362" s="6"/>
      <c r="HB362" s="6"/>
      <c r="HC362" s="6"/>
      <c r="HD362" s="6"/>
      <c r="HE362" s="6"/>
      <c r="HF362" s="6"/>
      <c r="HG362" s="6"/>
      <c r="HH362" s="6"/>
      <c r="HI362" s="6"/>
      <c r="HJ362" s="6"/>
      <c r="HK362" s="6"/>
      <c r="HL362" s="6"/>
      <c r="HM362" s="6"/>
      <c r="HN362" s="6"/>
      <c r="HO362" s="6"/>
      <c r="HP362" s="6"/>
    </row>
    <row r="363" spans="3:224" ht="20.100000000000001" customHeight="1">
      <c r="C363" s="11">
        <v>15505006</v>
      </c>
      <c r="D363" s="14" t="s">
        <v>392</v>
      </c>
      <c r="E363" s="14">
        <v>1140003</v>
      </c>
      <c r="F363" s="14">
        <v>15031</v>
      </c>
      <c r="G363" s="14">
        <v>1</v>
      </c>
      <c r="H363" s="14">
        <v>60</v>
      </c>
      <c r="I363" s="22">
        <v>0.2</v>
      </c>
      <c r="J363" s="23">
        <v>25</v>
      </c>
      <c r="K363" s="14">
        <v>0</v>
      </c>
      <c r="L363" s="14">
        <v>9450</v>
      </c>
      <c r="M363" s="14">
        <f t="shared" si="92"/>
        <v>68</v>
      </c>
      <c r="N363" s="14">
        <v>135</v>
      </c>
      <c r="O363" s="14">
        <v>0</v>
      </c>
      <c r="P363" s="14">
        <v>0</v>
      </c>
      <c r="Q363" s="14">
        <f t="shared" si="93"/>
        <v>45</v>
      </c>
      <c r="R363" s="14">
        <v>90</v>
      </c>
      <c r="S363" s="14">
        <f t="shared" si="94"/>
        <v>0</v>
      </c>
      <c r="T363" s="14">
        <v>0</v>
      </c>
      <c r="U363" s="22">
        <v>0</v>
      </c>
      <c r="V363" s="14">
        <v>0</v>
      </c>
      <c r="W363" s="14">
        <v>0</v>
      </c>
      <c r="X363" s="14">
        <v>0</v>
      </c>
      <c r="Y363" s="22">
        <v>0</v>
      </c>
      <c r="Z363" s="22">
        <v>0</v>
      </c>
      <c r="AA363" s="22">
        <v>0</v>
      </c>
      <c r="AB363" s="22">
        <v>0</v>
      </c>
      <c r="AC363" s="22">
        <v>0</v>
      </c>
      <c r="AD363" s="22">
        <v>0</v>
      </c>
      <c r="AE363" s="43"/>
      <c r="GR363" s="6"/>
      <c r="GS363" s="6"/>
      <c r="GT363" s="6"/>
      <c r="GU363" s="6"/>
      <c r="GV363" s="6"/>
      <c r="GW363" s="6"/>
      <c r="GX363" s="6"/>
      <c r="GY363" s="6"/>
      <c r="GZ363" s="6"/>
      <c r="HA363" s="6"/>
      <c r="HB363" s="6"/>
      <c r="HC363" s="6"/>
      <c r="HD363" s="6"/>
      <c r="HE363" s="6"/>
      <c r="HF363" s="6"/>
      <c r="HG363" s="6"/>
      <c r="HH363" s="6"/>
      <c r="HI363" s="6"/>
      <c r="HJ363" s="6"/>
      <c r="HK363" s="6"/>
      <c r="HL363" s="6"/>
      <c r="HM363" s="6"/>
      <c r="HN363" s="6"/>
      <c r="HO363" s="6"/>
      <c r="HP363" s="6"/>
    </row>
    <row r="364" spans="3:224" ht="20.100000000000001" customHeight="1">
      <c r="C364" s="11">
        <v>15506001</v>
      </c>
      <c r="D364" s="14" t="s">
        <v>393</v>
      </c>
      <c r="E364" s="14">
        <v>1140002</v>
      </c>
      <c r="F364" s="14">
        <v>0</v>
      </c>
      <c r="G364" s="14">
        <v>1</v>
      </c>
      <c r="H364" s="14">
        <v>60</v>
      </c>
      <c r="I364" s="22">
        <v>0.2</v>
      </c>
      <c r="J364" s="23">
        <v>25</v>
      </c>
      <c r="K364" s="14">
        <v>0</v>
      </c>
      <c r="L364" s="14">
        <v>0</v>
      </c>
      <c r="M364" s="14">
        <f t="shared" si="92"/>
        <v>150</v>
      </c>
      <c r="N364" s="14">
        <v>300</v>
      </c>
      <c r="O364" s="14">
        <v>0</v>
      </c>
      <c r="P364" s="14">
        <v>0</v>
      </c>
      <c r="Q364" s="14">
        <f t="shared" si="93"/>
        <v>45</v>
      </c>
      <c r="R364" s="14">
        <v>90</v>
      </c>
      <c r="S364" s="14">
        <f t="shared" si="94"/>
        <v>0</v>
      </c>
      <c r="T364" s="14">
        <v>0</v>
      </c>
      <c r="U364" s="22">
        <v>0</v>
      </c>
      <c r="V364" s="14">
        <v>0</v>
      </c>
      <c r="W364" s="14">
        <v>0</v>
      </c>
      <c r="X364" s="14">
        <v>0</v>
      </c>
      <c r="Y364" s="22">
        <v>0</v>
      </c>
      <c r="Z364" s="22">
        <v>0</v>
      </c>
      <c r="AA364" s="22">
        <v>0</v>
      </c>
      <c r="AB364" s="22">
        <v>0</v>
      </c>
      <c r="AC364" s="22">
        <v>0</v>
      </c>
      <c r="AD364" s="22">
        <v>0</v>
      </c>
      <c r="AE364" s="43"/>
      <c r="GR364" s="6"/>
      <c r="GS364" s="6"/>
      <c r="GT364" s="6"/>
      <c r="GU364" s="6"/>
      <c r="GV364" s="6"/>
      <c r="GW364" s="6"/>
      <c r="GX364" s="6"/>
      <c r="GY364" s="6"/>
      <c r="GZ364" s="6"/>
      <c r="HA364" s="6"/>
      <c r="HB364" s="6"/>
      <c r="HC364" s="6"/>
      <c r="HD364" s="6"/>
      <c r="HE364" s="6"/>
      <c r="HF364" s="6"/>
      <c r="HG364" s="6"/>
      <c r="HH364" s="6"/>
      <c r="HI364" s="6"/>
      <c r="HJ364" s="6"/>
      <c r="HK364" s="6"/>
      <c r="HL364" s="6"/>
      <c r="HM364" s="6"/>
      <c r="HN364" s="6"/>
      <c r="HO364" s="6"/>
      <c r="HP364" s="6"/>
    </row>
    <row r="365" spans="3:224" ht="20.100000000000001" customHeight="1">
      <c r="C365" s="11">
        <v>15506002</v>
      </c>
      <c r="D365" s="14" t="s">
        <v>394</v>
      </c>
      <c r="E365" s="14">
        <v>1140002</v>
      </c>
      <c r="F365" s="14">
        <v>0</v>
      </c>
      <c r="G365" s="14">
        <v>1</v>
      </c>
      <c r="H365" s="14">
        <v>60</v>
      </c>
      <c r="I365" s="22">
        <v>0.2</v>
      </c>
      <c r="J365" s="23">
        <v>25</v>
      </c>
      <c r="K365" s="14">
        <v>0</v>
      </c>
      <c r="L365" s="14">
        <v>0</v>
      </c>
      <c r="M365" s="14">
        <f t="shared" si="92"/>
        <v>180</v>
      </c>
      <c r="N365" s="14">
        <v>360</v>
      </c>
      <c r="O365" s="14">
        <v>0</v>
      </c>
      <c r="P365" s="14">
        <v>0</v>
      </c>
      <c r="Q365" s="14">
        <f t="shared" si="93"/>
        <v>54</v>
      </c>
      <c r="R365" s="14">
        <v>108</v>
      </c>
      <c r="S365" s="14">
        <f t="shared" si="94"/>
        <v>0</v>
      </c>
      <c r="T365" s="14">
        <v>0</v>
      </c>
      <c r="U365" s="22">
        <v>0</v>
      </c>
      <c r="V365" s="14">
        <v>0</v>
      </c>
      <c r="W365" s="14">
        <v>0</v>
      </c>
      <c r="X365" s="14">
        <v>0</v>
      </c>
      <c r="Y365" s="22">
        <v>0</v>
      </c>
      <c r="Z365" s="22">
        <v>0</v>
      </c>
      <c r="AA365" s="22">
        <v>0</v>
      </c>
      <c r="AB365" s="22">
        <v>0</v>
      </c>
      <c r="AC365" s="22">
        <v>0</v>
      </c>
      <c r="AD365" s="22">
        <v>0</v>
      </c>
      <c r="AE365" s="43"/>
      <c r="GR365" s="6"/>
      <c r="GS365" s="6"/>
      <c r="GT365" s="6"/>
      <c r="GU365" s="6"/>
      <c r="GV365" s="6"/>
      <c r="GW365" s="6"/>
      <c r="GX365" s="6"/>
      <c r="GY365" s="6"/>
      <c r="GZ365" s="6"/>
      <c r="HA365" s="6"/>
      <c r="HB365" s="6"/>
      <c r="HC365" s="6"/>
      <c r="HD365" s="6"/>
      <c r="HE365" s="6"/>
      <c r="HF365" s="6"/>
      <c r="HG365" s="6"/>
      <c r="HH365" s="6"/>
      <c r="HI365" s="6"/>
      <c r="HJ365" s="6"/>
      <c r="HK365" s="6"/>
      <c r="HL365" s="6"/>
      <c r="HM365" s="6"/>
      <c r="HN365" s="6"/>
      <c r="HO365" s="6"/>
      <c r="HP365" s="6"/>
    </row>
    <row r="366" spans="3:224" ht="20.100000000000001" customHeight="1">
      <c r="C366" s="11">
        <v>15506003</v>
      </c>
      <c r="D366" s="37" t="s">
        <v>395</v>
      </c>
      <c r="E366" s="14">
        <v>1140002</v>
      </c>
      <c r="F366" s="14">
        <v>15051</v>
      </c>
      <c r="G366" s="14">
        <v>1</v>
      </c>
      <c r="H366" s="14">
        <v>60</v>
      </c>
      <c r="I366" s="22">
        <v>0.2</v>
      </c>
      <c r="J366" s="23">
        <v>25</v>
      </c>
      <c r="K366" s="14">
        <v>0</v>
      </c>
      <c r="L366" s="14">
        <v>0</v>
      </c>
      <c r="M366" s="14">
        <v>200</v>
      </c>
      <c r="N366" s="14">
        <v>400</v>
      </c>
      <c r="O366" s="14">
        <v>0</v>
      </c>
      <c r="P366" s="14">
        <v>0</v>
      </c>
      <c r="Q366" s="14">
        <v>56</v>
      </c>
      <c r="R366" s="14">
        <v>120</v>
      </c>
      <c r="S366" s="14">
        <f t="shared" ref="S366" si="95">ROUND(T366/2,0)</f>
        <v>0</v>
      </c>
      <c r="T366" s="14">
        <v>0</v>
      </c>
      <c r="U366" s="22">
        <v>0</v>
      </c>
      <c r="V366" s="14">
        <v>0</v>
      </c>
      <c r="W366" s="14">
        <v>0</v>
      </c>
      <c r="X366" s="14">
        <v>0</v>
      </c>
      <c r="Y366" s="22">
        <v>0</v>
      </c>
      <c r="Z366" s="22">
        <v>0</v>
      </c>
      <c r="AA366" s="22">
        <v>0</v>
      </c>
      <c r="AB366" s="22">
        <v>200103</v>
      </c>
      <c r="AC366" s="22">
        <v>500</v>
      </c>
      <c r="AD366" s="22">
        <v>1</v>
      </c>
      <c r="AE366" s="43"/>
      <c r="GR366" s="6"/>
      <c r="GS366" s="6"/>
      <c r="GT366" s="6"/>
      <c r="GU366" s="6"/>
      <c r="GV366" s="6"/>
      <c r="GW366" s="6"/>
      <c r="GX366" s="6"/>
      <c r="GY366" s="6"/>
      <c r="GZ366" s="6"/>
      <c r="HA366" s="6"/>
      <c r="HB366" s="6"/>
      <c r="HC366" s="6"/>
      <c r="HD366" s="6"/>
      <c r="HE366" s="6"/>
      <c r="HF366" s="6"/>
      <c r="HG366" s="6"/>
      <c r="HH366" s="6"/>
      <c r="HI366" s="6"/>
      <c r="HJ366" s="6"/>
      <c r="HK366" s="6"/>
      <c r="HL366" s="6"/>
      <c r="HM366" s="6"/>
      <c r="HN366" s="6"/>
      <c r="HO366" s="6"/>
      <c r="HP366" s="6"/>
    </row>
    <row r="367" spans="3:224" ht="20.100000000000001" customHeight="1">
      <c r="C367" s="11">
        <v>15507001</v>
      </c>
      <c r="D367" s="14" t="s">
        <v>396</v>
      </c>
      <c r="E367" s="14">
        <v>1140002</v>
      </c>
      <c r="F367" s="14">
        <v>0</v>
      </c>
      <c r="G367" s="14">
        <v>1</v>
      </c>
      <c r="H367" s="14">
        <v>60</v>
      </c>
      <c r="I367" s="22">
        <v>0.2</v>
      </c>
      <c r="J367" s="23">
        <v>25</v>
      </c>
      <c r="K367" s="14">
        <v>0</v>
      </c>
      <c r="L367" s="14">
        <v>0</v>
      </c>
      <c r="M367" s="14">
        <f t="shared" si="92"/>
        <v>150</v>
      </c>
      <c r="N367" s="14">
        <v>300</v>
      </c>
      <c r="O367" s="14">
        <v>0</v>
      </c>
      <c r="P367" s="14">
        <v>0</v>
      </c>
      <c r="Q367" s="14">
        <f t="shared" si="93"/>
        <v>0</v>
      </c>
      <c r="R367" s="14">
        <v>0</v>
      </c>
      <c r="S367" s="14">
        <f t="shared" si="94"/>
        <v>45</v>
      </c>
      <c r="T367" s="14">
        <v>90</v>
      </c>
      <c r="U367" s="22">
        <v>0</v>
      </c>
      <c r="V367" s="14">
        <v>0</v>
      </c>
      <c r="W367" s="14">
        <v>0</v>
      </c>
      <c r="X367" s="14">
        <v>0</v>
      </c>
      <c r="Y367" s="22">
        <v>0</v>
      </c>
      <c r="Z367" s="22">
        <v>0</v>
      </c>
      <c r="AA367" s="22">
        <v>0</v>
      </c>
      <c r="AB367" s="22">
        <v>0</v>
      </c>
      <c r="AC367" s="22">
        <v>0</v>
      </c>
      <c r="AD367" s="22">
        <v>0</v>
      </c>
      <c r="AE367" s="43"/>
      <c r="GR367" s="6"/>
      <c r="GS367" s="6"/>
      <c r="GT367" s="6"/>
      <c r="GU367" s="6"/>
      <c r="GV367" s="6"/>
      <c r="GW367" s="6"/>
      <c r="GX367" s="6"/>
      <c r="GY367" s="6"/>
      <c r="GZ367" s="6"/>
      <c r="HA367" s="6"/>
      <c r="HB367" s="6"/>
      <c r="HC367" s="6"/>
      <c r="HD367" s="6"/>
      <c r="HE367" s="6"/>
      <c r="HF367" s="6"/>
      <c r="HG367" s="6"/>
      <c r="HH367" s="6"/>
      <c r="HI367" s="6"/>
      <c r="HJ367" s="6"/>
      <c r="HK367" s="6"/>
      <c r="HL367" s="6"/>
      <c r="HM367" s="6"/>
      <c r="HN367" s="6"/>
      <c r="HO367" s="6"/>
      <c r="HP367" s="6"/>
    </row>
    <row r="368" spans="3:224" ht="20.100000000000001" customHeight="1">
      <c r="C368" s="11">
        <v>15507002</v>
      </c>
      <c r="D368" s="14" t="s">
        <v>397</v>
      </c>
      <c r="E368" s="14">
        <v>1140002</v>
      </c>
      <c r="F368" s="14">
        <v>0</v>
      </c>
      <c r="G368" s="14">
        <v>1</v>
      </c>
      <c r="H368" s="14">
        <v>60</v>
      </c>
      <c r="I368" s="22">
        <v>0.2</v>
      </c>
      <c r="J368" s="23">
        <v>25</v>
      </c>
      <c r="K368" s="14">
        <v>0</v>
      </c>
      <c r="L368" s="14">
        <v>0</v>
      </c>
      <c r="M368" s="14">
        <f t="shared" si="92"/>
        <v>180</v>
      </c>
      <c r="N368" s="14">
        <v>360</v>
      </c>
      <c r="O368" s="14">
        <v>0</v>
      </c>
      <c r="P368" s="14">
        <v>0</v>
      </c>
      <c r="Q368" s="14">
        <f t="shared" si="93"/>
        <v>0</v>
      </c>
      <c r="R368" s="14">
        <v>0</v>
      </c>
      <c r="S368" s="14">
        <f t="shared" si="94"/>
        <v>54</v>
      </c>
      <c r="T368" s="14">
        <v>108</v>
      </c>
      <c r="U368" s="22">
        <v>0</v>
      </c>
      <c r="V368" s="14">
        <v>0</v>
      </c>
      <c r="W368" s="14">
        <v>0</v>
      </c>
      <c r="X368" s="14">
        <v>0</v>
      </c>
      <c r="Y368" s="22">
        <v>0</v>
      </c>
      <c r="Z368" s="22">
        <v>0</v>
      </c>
      <c r="AA368" s="22">
        <v>0</v>
      </c>
      <c r="AB368" s="22">
        <v>0</v>
      </c>
      <c r="AC368" s="22">
        <v>0</v>
      </c>
      <c r="AD368" s="22">
        <v>0</v>
      </c>
      <c r="AE368" s="43"/>
      <c r="GR368" s="6"/>
      <c r="GS368" s="6"/>
      <c r="GT368" s="6"/>
      <c r="GU368" s="6"/>
      <c r="GV368" s="6"/>
      <c r="GW368" s="6"/>
      <c r="GX368" s="6"/>
      <c r="GY368" s="6"/>
      <c r="GZ368" s="6"/>
      <c r="HA368" s="6"/>
      <c r="HB368" s="6"/>
      <c r="HC368" s="6"/>
      <c r="HD368" s="6"/>
      <c r="HE368" s="6"/>
      <c r="HF368" s="6"/>
      <c r="HG368" s="6"/>
      <c r="HH368" s="6"/>
      <c r="HI368" s="6"/>
      <c r="HJ368" s="6"/>
      <c r="HK368" s="6"/>
      <c r="HL368" s="6"/>
      <c r="HM368" s="6"/>
      <c r="HN368" s="6"/>
      <c r="HO368" s="6"/>
      <c r="HP368" s="6"/>
    </row>
    <row r="369" spans="3:224" s="4" customFormat="1" ht="20.100000000000001" customHeight="1">
      <c r="C369" s="17">
        <v>15507003</v>
      </c>
      <c r="D369" s="19" t="s">
        <v>398</v>
      </c>
      <c r="E369" s="19">
        <v>1140002</v>
      </c>
      <c r="F369" s="19">
        <v>0</v>
      </c>
      <c r="G369" s="19">
        <v>1</v>
      </c>
      <c r="H369" s="19">
        <v>60</v>
      </c>
      <c r="I369" s="26">
        <v>0.2</v>
      </c>
      <c r="J369" s="23">
        <v>25</v>
      </c>
      <c r="K369" s="19">
        <v>0</v>
      </c>
      <c r="L369" s="19">
        <v>0</v>
      </c>
      <c r="M369" s="19">
        <f t="shared" ref="M369" si="96">ROUND(N369/2,0)</f>
        <v>210</v>
      </c>
      <c r="N369" s="19">
        <v>420</v>
      </c>
      <c r="O369" s="19">
        <v>0</v>
      </c>
      <c r="P369" s="19">
        <v>0</v>
      </c>
      <c r="Q369" s="19">
        <f t="shared" ref="Q369" si="97">ROUND(R369/2,0)</f>
        <v>0</v>
      </c>
      <c r="R369" s="19">
        <v>0</v>
      </c>
      <c r="S369" s="19">
        <f t="shared" ref="S369" si="98">ROUND(T369/2,0)</f>
        <v>60</v>
      </c>
      <c r="T369" s="19">
        <v>120</v>
      </c>
      <c r="U369" s="26">
        <v>0</v>
      </c>
      <c r="V369" s="19">
        <v>0</v>
      </c>
      <c r="W369" s="19">
        <v>0</v>
      </c>
      <c r="X369" s="19">
        <v>0</v>
      </c>
      <c r="Y369" s="26">
        <v>0</v>
      </c>
      <c r="Z369" s="26">
        <v>0</v>
      </c>
      <c r="AA369" s="26">
        <v>0</v>
      </c>
      <c r="AB369" s="26">
        <v>0</v>
      </c>
      <c r="AC369" s="26">
        <v>0</v>
      </c>
      <c r="AD369" s="26">
        <v>0</v>
      </c>
      <c r="AE369" s="47"/>
      <c r="AF369" s="34"/>
      <c r="AG369" s="34"/>
      <c r="AH369" s="34"/>
      <c r="AI369" s="34"/>
      <c r="AJ369" s="34"/>
      <c r="AK369" s="34"/>
      <c r="AL369" s="34"/>
      <c r="AM369" s="34"/>
      <c r="AN369" s="34"/>
      <c r="AO369" s="34"/>
      <c r="AP369" s="34"/>
      <c r="AQ369" s="34"/>
      <c r="AR369" s="34"/>
      <c r="AS369" s="34"/>
      <c r="AT369" s="34"/>
      <c r="AU369" s="34"/>
      <c r="AV369" s="34"/>
      <c r="AW369" s="34"/>
      <c r="AX369" s="34"/>
      <c r="AY369" s="34"/>
      <c r="AZ369" s="34"/>
      <c r="BA369" s="34"/>
      <c r="BB369" s="34"/>
      <c r="BC369" s="34"/>
      <c r="BD369" s="34"/>
      <c r="BE369" s="34"/>
      <c r="BF369" s="34"/>
      <c r="BG369" s="34"/>
      <c r="BH369" s="34"/>
      <c r="BI369" s="34"/>
      <c r="BJ369" s="34"/>
      <c r="BK369" s="34"/>
      <c r="BL369" s="34"/>
      <c r="BM369" s="34"/>
      <c r="BN369" s="34"/>
      <c r="BO369" s="34"/>
      <c r="BP369" s="34"/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  <c r="CE369" s="34"/>
      <c r="CF369" s="34"/>
      <c r="CG369" s="34"/>
      <c r="CH369" s="34"/>
      <c r="CI369" s="34"/>
      <c r="CJ369" s="34"/>
      <c r="CK369" s="34"/>
      <c r="CL369" s="34"/>
      <c r="CM369" s="34"/>
      <c r="CN369" s="34"/>
      <c r="CO369" s="34"/>
      <c r="CP369" s="34"/>
      <c r="CQ369" s="34"/>
      <c r="CR369" s="34"/>
      <c r="CS369" s="34"/>
      <c r="CT369" s="34"/>
      <c r="CU369" s="34"/>
      <c r="CV369" s="34"/>
      <c r="CW369" s="34"/>
      <c r="CX369" s="34"/>
      <c r="CY369" s="34"/>
      <c r="CZ369" s="34"/>
      <c r="DA369" s="34"/>
      <c r="DB369" s="34"/>
      <c r="DC369" s="34"/>
      <c r="DD369" s="34"/>
      <c r="DE369" s="34"/>
      <c r="DF369" s="34"/>
      <c r="DG369" s="34"/>
      <c r="DH369" s="34"/>
      <c r="DI369" s="34"/>
      <c r="DJ369" s="34"/>
      <c r="DK369" s="34"/>
      <c r="DL369" s="34"/>
      <c r="DM369" s="34"/>
      <c r="DN369" s="34"/>
      <c r="DO369" s="34"/>
      <c r="DP369" s="34"/>
      <c r="DQ369" s="34"/>
      <c r="DR369" s="34"/>
      <c r="DS369" s="34"/>
      <c r="DT369" s="34"/>
      <c r="DU369" s="34"/>
      <c r="DV369" s="34"/>
      <c r="DW369" s="34"/>
      <c r="DX369" s="34"/>
      <c r="DY369" s="34"/>
      <c r="DZ369" s="34"/>
      <c r="EA369" s="34"/>
      <c r="EB369" s="34"/>
      <c r="EC369" s="34"/>
      <c r="ED369" s="34"/>
      <c r="EE369" s="34"/>
      <c r="EF369" s="34"/>
      <c r="EG369" s="34"/>
      <c r="EH369" s="34"/>
      <c r="EI369" s="34"/>
      <c r="EJ369" s="34"/>
      <c r="EK369" s="34"/>
      <c r="EL369" s="34"/>
      <c r="EM369" s="34"/>
      <c r="EN369" s="34"/>
      <c r="EO369" s="34"/>
      <c r="EP369" s="34"/>
      <c r="EQ369" s="34"/>
      <c r="ER369" s="34"/>
      <c r="ES369" s="34"/>
      <c r="ET369" s="34"/>
      <c r="EU369" s="34"/>
      <c r="EV369" s="34"/>
      <c r="EW369" s="34"/>
      <c r="EX369" s="34"/>
      <c r="EY369" s="34"/>
      <c r="EZ369" s="34"/>
      <c r="FA369" s="34"/>
      <c r="FB369" s="34"/>
      <c r="FC369" s="34"/>
      <c r="FD369" s="34"/>
      <c r="FE369" s="34"/>
      <c r="FF369" s="34"/>
      <c r="FG369" s="34"/>
      <c r="FH369" s="34"/>
      <c r="FI369" s="34"/>
      <c r="FJ369" s="34"/>
      <c r="FK369" s="34"/>
      <c r="FL369" s="34"/>
      <c r="FM369" s="34"/>
      <c r="FN369" s="34"/>
      <c r="FO369" s="34"/>
      <c r="FP369" s="34"/>
      <c r="FQ369" s="34"/>
      <c r="FR369" s="34"/>
      <c r="FS369" s="34"/>
      <c r="FT369" s="34"/>
      <c r="FU369" s="34"/>
      <c r="FV369" s="34"/>
      <c r="FW369" s="34"/>
      <c r="FX369" s="34"/>
      <c r="FY369" s="34"/>
      <c r="FZ369" s="34"/>
      <c r="GA369" s="34"/>
      <c r="GB369" s="34"/>
      <c r="GC369" s="34"/>
      <c r="GD369" s="34"/>
      <c r="GE369" s="34"/>
      <c r="GF369" s="34"/>
      <c r="GG369" s="34"/>
      <c r="GH369" s="34"/>
      <c r="GI369" s="34"/>
      <c r="GJ369" s="34"/>
      <c r="GK369" s="34"/>
      <c r="GL369" s="34"/>
      <c r="GM369" s="34"/>
      <c r="GN369" s="34"/>
      <c r="GO369" s="34"/>
      <c r="GP369" s="34"/>
      <c r="GQ369" s="34"/>
      <c r="GR369" s="34"/>
      <c r="GS369" s="34"/>
      <c r="GT369" s="34"/>
      <c r="GU369" s="34"/>
      <c r="GV369" s="34"/>
      <c r="GW369" s="34"/>
      <c r="GX369" s="34"/>
      <c r="GY369" s="34"/>
      <c r="GZ369" s="34"/>
      <c r="HA369" s="34"/>
      <c r="HB369" s="34"/>
      <c r="HC369" s="34"/>
      <c r="HD369" s="34"/>
      <c r="HE369" s="34"/>
      <c r="HF369" s="34"/>
      <c r="HG369" s="34"/>
      <c r="HH369" s="34"/>
      <c r="HI369" s="34"/>
      <c r="HJ369" s="34"/>
      <c r="HK369" s="34"/>
      <c r="HL369" s="34"/>
      <c r="HM369" s="34"/>
      <c r="HN369" s="34"/>
      <c r="HO369" s="34"/>
      <c r="HP369" s="34"/>
    </row>
    <row r="370" spans="3:224" ht="20.100000000000001" customHeight="1">
      <c r="C370" s="11">
        <v>15508001</v>
      </c>
      <c r="D370" s="14" t="s">
        <v>151</v>
      </c>
      <c r="E370" s="14">
        <v>1140002</v>
      </c>
      <c r="F370" s="14">
        <v>0</v>
      </c>
      <c r="G370" s="14">
        <v>1</v>
      </c>
      <c r="H370" s="14">
        <v>60</v>
      </c>
      <c r="I370" s="22">
        <v>0.2</v>
      </c>
      <c r="J370" s="23">
        <v>25</v>
      </c>
      <c r="K370" s="14">
        <v>0</v>
      </c>
      <c r="L370" s="14">
        <v>0</v>
      </c>
      <c r="M370" s="14">
        <f t="shared" si="92"/>
        <v>25</v>
      </c>
      <c r="N370" s="14">
        <v>50</v>
      </c>
      <c r="O370" s="14">
        <v>0</v>
      </c>
      <c r="P370" s="14">
        <v>0</v>
      </c>
      <c r="Q370" s="14">
        <f t="shared" si="93"/>
        <v>0</v>
      </c>
      <c r="R370" s="14">
        <v>0</v>
      </c>
      <c r="S370" s="14">
        <f t="shared" si="94"/>
        <v>0</v>
      </c>
      <c r="T370" s="14">
        <v>0</v>
      </c>
      <c r="U370" s="22">
        <v>0</v>
      </c>
      <c r="V370" s="14">
        <v>0</v>
      </c>
      <c r="W370" s="14">
        <v>0</v>
      </c>
      <c r="X370" s="14">
        <v>0</v>
      </c>
      <c r="Y370" s="22">
        <v>0</v>
      </c>
      <c r="Z370" s="22">
        <v>0</v>
      </c>
      <c r="AA370" s="22">
        <v>0</v>
      </c>
      <c r="AB370" s="22">
        <v>0</v>
      </c>
      <c r="AC370" s="22">
        <v>0</v>
      </c>
      <c r="AD370" s="22">
        <v>0</v>
      </c>
      <c r="AE370" s="43"/>
      <c r="GR370" s="6"/>
      <c r="GS370" s="6"/>
      <c r="GT370" s="6"/>
      <c r="GU370" s="6"/>
      <c r="GV370" s="6"/>
      <c r="GW370" s="6"/>
      <c r="GX370" s="6"/>
      <c r="GY370" s="6"/>
      <c r="GZ370" s="6"/>
      <c r="HA370" s="6"/>
      <c r="HB370" s="6"/>
      <c r="HC370" s="6"/>
      <c r="HD370" s="6"/>
      <c r="HE370" s="6"/>
      <c r="HF370" s="6"/>
      <c r="HG370" s="6"/>
      <c r="HH370" s="6"/>
      <c r="HI370" s="6"/>
      <c r="HJ370" s="6"/>
      <c r="HK370" s="6"/>
      <c r="HL370" s="6"/>
      <c r="HM370" s="6"/>
      <c r="HN370" s="6"/>
      <c r="HO370" s="6"/>
      <c r="HP370" s="6"/>
    </row>
    <row r="371" spans="3:224" ht="20.100000000000001" customHeight="1">
      <c r="C371" s="11">
        <v>15508002</v>
      </c>
      <c r="D371" s="14" t="s">
        <v>399</v>
      </c>
      <c r="E371" s="14">
        <v>1140002</v>
      </c>
      <c r="F371" s="14">
        <v>0</v>
      </c>
      <c r="G371" s="14">
        <v>1</v>
      </c>
      <c r="H371" s="14">
        <v>60</v>
      </c>
      <c r="I371" s="22">
        <v>0.2</v>
      </c>
      <c r="J371" s="23">
        <v>25</v>
      </c>
      <c r="K371" s="14">
        <v>0</v>
      </c>
      <c r="L371" s="14">
        <v>0</v>
      </c>
      <c r="M371" s="14">
        <v>30</v>
      </c>
      <c r="N371" s="14">
        <v>65</v>
      </c>
      <c r="O371" s="14">
        <v>0</v>
      </c>
      <c r="P371" s="14">
        <v>0</v>
      </c>
      <c r="Q371" s="14">
        <f t="shared" si="93"/>
        <v>0</v>
      </c>
      <c r="R371" s="14">
        <v>0</v>
      </c>
      <c r="S371" s="14">
        <f t="shared" si="94"/>
        <v>0</v>
      </c>
      <c r="T371" s="14">
        <v>0</v>
      </c>
      <c r="U371" s="22">
        <v>0</v>
      </c>
      <c r="V371" s="14">
        <v>0</v>
      </c>
      <c r="W371" s="14">
        <v>0</v>
      </c>
      <c r="X371" s="14">
        <v>0</v>
      </c>
      <c r="Y371" s="22">
        <v>0</v>
      </c>
      <c r="Z371" s="22">
        <v>0</v>
      </c>
      <c r="AA371" s="22">
        <v>0</v>
      </c>
      <c r="AB371" s="22">
        <v>0</v>
      </c>
      <c r="AC371" s="22">
        <v>0</v>
      </c>
      <c r="AD371" s="22">
        <v>0</v>
      </c>
      <c r="AE371" s="43"/>
      <c r="GR371" s="6"/>
      <c r="GS371" s="6"/>
      <c r="GT371" s="6"/>
      <c r="GU371" s="6"/>
      <c r="GV371" s="6"/>
      <c r="GW371" s="6"/>
      <c r="GX371" s="6"/>
      <c r="GY371" s="6"/>
      <c r="GZ371" s="6"/>
      <c r="HA371" s="6"/>
      <c r="HB371" s="6"/>
      <c r="HC371" s="6"/>
      <c r="HD371" s="6"/>
      <c r="HE371" s="6"/>
      <c r="HF371" s="6"/>
      <c r="HG371" s="6"/>
      <c r="HH371" s="6"/>
      <c r="HI371" s="6"/>
      <c r="HJ371" s="6"/>
      <c r="HK371" s="6"/>
      <c r="HL371" s="6"/>
      <c r="HM371" s="6"/>
      <c r="HN371" s="6"/>
      <c r="HO371" s="6"/>
      <c r="HP371" s="6"/>
    </row>
    <row r="372" spans="3:224" s="4" customFormat="1" ht="20.100000000000001" customHeight="1">
      <c r="C372" s="17">
        <v>15508003</v>
      </c>
      <c r="D372" s="46" t="s">
        <v>400</v>
      </c>
      <c r="E372" s="19">
        <v>1140002</v>
      </c>
      <c r="F372" s="19">
        <v>0</v>
      </c>
      <c r="G372" s="19">
        <v>1</v>
      </c>
      <c r="H372" s="19">
        <v>60</v>
      </c>
      <c r="I372" s="26">
        <v>0.2</v>
      </c>
      <c r="J372" s="23">
        <v>25</v>
      </c>
      <c r="K372" s="19">
        <v>0</v>
      </c>
      <c r="L372" s="19">
        <v>0</v>
      </c>
      <c r="M372" s="19">
        <v>30</v>
      </c>
      <c r="N372" s="19">
        <v>80</v>
      </c>
      <c r="O372" s="19">
        <v>0</v>
      </c>
      <c r="P372" s="19">
        <v>0</v>
      </c>
      <c r="Q372" s="19">
        <f t="shared" ref="Q372" si="99">ROUND(R372/2,0)</f>
        <v>0</v>
      </c>
      <c r="R372" s="19">
        <v>0</v>
      </c>
      <c r="S372" s="19">
        <f t="shared" ref="S372" si="100">ROUND(T372/2,0)</f>
        <v>0</v>
      </c>
      <c r="T372" s="19">
        <v>0</v>
      </c>
      <c r="U372" s="26">
        <v>0</v>
      </c>
      <c r="V372" s="19">
        <v>0</v>
      </c>
      <c r="W372" s="19">
        <v>0</v>
      </c>
      <c r="X372" s="19">
        <v>0</v>
      </c>
      <c r="Y372" s="26">
        <v>0</v>
      </c>
      <c r="Z372" s="26">
        <v>0</v>
      </c>
      <c r="AA372" s="26">
        <v>0</v>
      </c>
      <c r="AB372" s="26">
        <v>0</v>
      </c>
      <c r="AC372" s="26">
        <v>0</v>
      </c>
      <c r="AD372" s="26">
        <v>0</v>
      </c>
      <c r="AE372" s="47"/>
      <c r="AF372" s="34"/>
      <c r="AG372" s="34"/>
      <c r="AH372" s="34"/>
      <c r="AI372" s="34"/>
      <c r="AJ372" s="34"/>
      <c r="AK372" s="34"/>
      <c r="AL372" s="34"/>
      <c r="AM372" s="34"/>
      <c r="AN372" s="34"/>
      <c r="AO372" s="34"/>
      <c r="AP372" s="34"/>
      <c r="AQ372" s="34"/>
      <c r="AR372" s="34"/>
      <c r="AS372" s="34"/>
      <c r="AT372" s="34"/>
      <c r="AU372" s="34"/>
      <c r="AV372" s="34"/>
      <c r="AW372" s="34"/>
      <c r="AX372" s="34"/>
      <c r="AY372" s="34"/>
      <c r="AZ372" s="34"/>
      <c r="BA372" s="34"/>
      <c r="BB372" s="34"/>
      <c r="BC372" s="34"/>
      <c r="BD372" s="34"/>
      <c r="BE372" s="34"/>
      <c r="BF372" s="34"/>
      <c r="BG372" s="34"/>
      <c r="BH372" s="34"/>
      <c r="BI372" s="34"/>
      <c r="BJ372" s="34"/>
      <c r="BK372" s="34"/>
      <c r="BL372" s="34"/>
      <c r="BM372" s="34"/>
      <c r="BN372" s="34"/>
      <c r="BO372" s="34"/>
      <c r="BP372" s="34"/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  <c r="CE372" s="34"/>
      <c r="CF372" s="34"/>
      <c r="CG372" s="34"/>
      <c r="CH372" s="34"/>
      <c r="CI372" s="34"/>
      <c r="CJ372" s="34"/>
      <c r="CK372" s="34"/>
      <c r="CL372" s="34"/>
      <c r="CM372" s="34"/>
      <c r="CN372" s="34"/>
      <c r="CO372" s="34"/>
      <c r="CP372" s="34"/>
      <c r="CQ372" s="34"/>
      <c r="CR372" s="34"/>
      <c r="CS372" s="34"/>
      <c r="CT372" s="34"/>
      <c r="CU372" s="34"/>
      <c r="CV372" s="34"/>
      <c r="CW372" s="34"/>
      <c r="CX372" s="34"/>
      <c r="CY372" s="34"/>
      <c r="CZ372" s="34"/>
      <c r="DA372" s="34"/>
      <c r="DB372" s="34"/>
      <c r="DC372" s="34"/>
      <c r="DD372" s="34"/>
      <c r="DE372" s="34"/>
      <c r="DF372" s="34"/>
      <c r="DG372" s="34"/>
      <c r="DH372" s="34"/>
      <c r="DI372" s="34"/>
      <c r="DJ372" s="34"/>
      <c r="DK372" s="34"/>
      <c r="DL372" s="34"/>
      <c r="DM372" s="34"/>
      <c r="DN372" s="34"/>
      <c r="DO372" s="34"/>
      <c r="DP372" s="34"/>
      <c r="DQ372" s="34"/>
      <c r="DR372" s="34"/>
      <c r="DS372" s="34"/>
      <c r="DT372" s="34"/>
      <c r="DU372" s="34"/>
      <c r="DV372" s="34"/>
      <c r="DW372" s="34"/>
      <c r="DX372" s="34"/>
      <c r="DY372" s="34"/>
      <c r="DZ372" s="34"/>
      <c r="EA372" s="34"/>
      <c r="EB372" s="34"/>
      <c r="EC372" s="34"/>
      <c r="ED372" s="34"/>
      <c r="EE372" s="34"/>
      <c r="EF372" s="34"/>
      <c r="EG372" s="34"/>
      <c r="EH372" s="34"/>
      <c r="EI372" s="34"/>
      <c r="EJ372" s="34"/>
      <c r="EK372" s="34"/>
      <c r="EL372" s="34"/>
      <c r="EM372" s="34"/>
      <c r="EN372" s="34"/>
      <c r="EO372" s="34"/>
      <c r="EP372" s="34"/>
      <c r="EQ372" s="34"/>
      <c r="ER372" s="34"/>
      <c r="ES372" s="34"/>
      <c r="ET372" s="34"/>
      <c r="EU372" s="34"/>
      <c r="EV372" s="34"/>
      <c r="EW372" s="34"/>
      <c r="EX372" s="34"/>
      <c r="EY372" s="34"/>
      <c r="EZ372" s="34"/>
      <c r="FA372" s="34"/>
      <c r="FB372" s="34"/>
      <c r="FC372" s="34"/>
      <c r="FD372" s="34"/>
      <c r="FE372" s="34"/>
      <c r="FF372" s="34"/>
      <c r="FG372" s="34"/>
      <c r="FH372" s="34"/>
      <c r="FI372" s="34"/>
      <c r="FJ372" s="34"/>
      <c r="FK372" s="34"/>
      <c r="FL372" s="34"/>
      <c r="FM372" s="34"/>
      <c r="FN372" s="34"/>
      <c r="FO372" s="34"/>
      <c r="FP372" s="34"/>
      <c r="FQ372" s="34"/>
      <c r="FR372" s="34"/>
      <c r="FS372" s="34"/>
      <c r="FT372" s="34"/>
      <c r="FU372" s="34"/>
      <c r="FV372" s="34"/>
      <c r="FW372" s="34"/>
      <c r="FX372" s="34"/>
      <c r="FY372" s="34"/>
      <c r="FZ372" s="34"/>
      <c r="GA372" s="34"/>
      <c r="GB372" s="34"/>
      <c r="GC372" s="34"/>
      <c r="GD372" s="34"/>
      <c r="GE372" s="34"/>
      <c r="GF372" s="34"/>
      <c r="GG372" s="34"/>
      <c r="GH372" s="34"/>
      <c r="GI372" s="34"/>
      <c r="GJ372" s="34"/>
      <c r="GK372" s="34"/>
      <c r="GL372" s="34"/>
      <c r="GM372" s="34"/>
      <c r="GN372" s="34"/>
      <c r="GO372" s="34"/>
      <c r="GP372" s="34"/>
      <c r="GQ372" s="34"/>
      <c r="GR372" s="34"/>
      <c r="GS372" s="34"/>
      <c r="GT372" s="34"/>
      <c r="GU372" s="34"/>
      <c r="GV372" s="34"/>
      <c r="GW372" s="34"/>
      <c r="GX372" s="34"/>
      <c r="GY372" s="34"/>
      <c r="GZ372" s="34"/>
      <c r="HA372" s="34"/>
      <c r="HB372" s="34"/>
      <c r="HC372" s="34"/>
      <c r="HD372" s="34"/>
      <c r="HE372" s="34"/>
      <c r="HF372" s="34"/>
      <c r="HG372" s="34"/>
      <c r="HH372" s="34"/>
      <c r="HI372" s="34"/>
      <c r="HJ372" s="34"/>
      <c r="HK372" s="34"/>
      <c r="HL372" s="34"/>
      <c r="HM372" s="34"/>
      <c r="HN372" s="34"/>
      <c r="HO372" s="34"/>
      <c r="HP372" s="34"/>
    </row>
    <row r="373" spans="3:224" ht="20.100000000000001" customHeight="1">
      <c r="C373" s="11">
        <v>15509001</v>
      </c>
      <c r="D373" s="14" t="s">
        <v>401</v>
      </c>
      <c r="E373" s="14">
        <v>1140001</v>
      </c>
      <c r="F373" s="14">
        <v>0</v>
      </c>
      <c r="G373" s="14">
        <v>1</v>
      </c>
      <c r="H373" s="14">
        <v>60</v>
      </c>
      <c r="I373" s="22">
        <v>0.2</v>
      </c>
      <c r="J373" s="23">
        <v>25</v>
      </c>
      <c r="K373" s="14">
        <v>0</v>
      </c>
      <c r="L373" s="14">
        <v>8650</v>
      </c>
      <c r="M373" s="14">
        <f t="shared" si="92"/>
        <v>0</v>
      </c>
      <c r="N373" s="14">
        <v>0</v>
      </c>
      <c r="O373" s="14">
        <v>0</v>
      </c>
      <c r="P373" s="14">
        <v>0</v>
      </c>
      <c r="Q373" s="14">
        <f t="shared" si="93"/>
        <v>0</v>
      </c>
      <c r="R373" s="14">
        <v>0</v>
      </c>
      <c r="S373" s="14">
        <f t="shared" si="94"/>
        <v>0</v>
      </c>
      <c r="T373" s="14">
        <v>0</v>
      </c>
      <c r="U373" s="22">
        <v>0</v>
      </c>
      <c r="V373" s="14">
        <v>0</v>
      </c>
      <c r="W373" s="14">
        <v>0</v>
      </c>
      <c r="X373" s="14">
        <v>0</v>
      </c>
      <c r="Y373" s="22">
        <v>0</v>
      </c>
      <c r="Z373" s="22">
        <v>0</v>
      </c>
      <c r="AA373" s="22">
        <v>0</v>
      </c>
      <c r="AB373" s="22">
        <v>0</v>
      </c>
      <c r="AC373" s="22">
        <v>0</v>
      </c>
      <c r="AD373" s="22">
        <v>0</v>
      </c>
      <c r="AE373" s="43"/>
      <c r="GR373" s="6"/>
      <c r="GS373" s="6"/>
      <c r="GT373" s="6"/>
      <c r="GU373" s="6"/>
      <c r="GV373" s="6"/>
      <c r="GW373" s="6"/>
      <c r="GX373" s="6"/>
      <c r="GY373" s="6"/>
      <c r="GZ373" s="6"/>
      <c r="HA373" s="6"/>
      <c r="HB373" s="6"/>
      <c r="HC373" s="6"/>
      <c r="HD373" s="6"/>
      <c r="HE373" s="6"/>
      <c r="HF373" s="6"/>
      <c r="HG373" s="6"/>
      <c r="HH373" s="6"/>
      <c r="HI373" s="6"/>
      <c r="HJ373" s="6"/>
      <c r="HK373" s="6"/>
      <c r="HL373" s="6"/>
      <c r="HM373" s="6"/>
      <c r="HN373" s="6"/>
      <c r="HO373" s="6"/>
      <c r="HP373" s="6"/>
    </row>
    <row r="374" spans="3:224" ht="20.100000000000001" customHeight="1">
      <c r="C374" s="11">
        <v>15509002</v>
      </c>
      <c r="D374" s="14" t="s">
        <v>402</v>
      </c>
      <c r="E374" s="14">
        <v>1140001</v>
      </c>
      <c r="F374" s="14">
        <v>0</v>
      </c>
      <c r="G374" s="14">
        <v>1</v>
      </c>
      <c r="H374" s="14">
        <v>60</v>
      </c>
      <c r="I374" s="22">
        <v>0.2</v>
      </c>
      <c r="J374" s="23">
        <v>25</v>
      </c>
      <c r="K374" s="14">
        <v>0</v>
      </c>
      <c r="L374" s="14">
        <v>10080</v>
      </c>
      <c r="M374" s="14">
        <f t="shared" si="92"/>
        <v>0</v>
      </c>
      <c r="N374" s="14">
        <v>0</v>
      </c>
      <c r="O374" s="14">
        <v>0</v>
      </c>
      <c r="P374" s="14">
        <v>0</v>
      </c>
      <c r="Q374" s="14">
        <f t="shared" si="93"/>
        <v>0</v>
      </c>
      <c r="R374" s="14">
        <v>0</v>
      </c>
      <c r="S374" s="14">
        <f t="shared" si="94"/>
        <v>0</v>
      </c>
      <c r="T374" s="14">
        <v>0</v>
      </c>
      <c r="U374" s="22">
        <v>0</v>
      </c>
      <c r="V374" s="14">
        <v>0</v>
      </c>
      <c r="W374" s="14">
        <v>0</v>
      </c>
      <c r="X374" s="14">
        <v>0</v>
      </c>
      <c r="Y374" s="22">
        <v>0</v>
      </c>
      <c r="Z374" s="22">
        <v>0</v>
      </c>
      <c r="AA374" s="22">
        <v>0</v>
      </c>
      <c r="AB374" s="22">
        <v>0</v>
      </c>
      <c r="AC374" s="22">
        <v>0</v>
      </c>
      <c r="AD374" s="22">
        <v>0</v>
      </c>
      <c r="AE374" s="43"/>
      <c r="GR374" s="6"/>
      <c r="GS374" s="6"/>
      <c r="GT374" s="6"/>
      <c r="GU374" s="6"/>
      <c r="GV374" s="6"/>
      <c r="GW374" s="6"/>
      <c r="GX374" s="6"/>
      <c r="GY374" s="6"/>
      <c r="GZ374" s="6"/>
      <c r="HA374" s="6"/>
      <c r="HB374" s="6"/>
      <c r="HC374" s="6"/>
      <c r="HD374" s="6"/>
      <c r="HE374" s="6"/>
      <c r="HF374" s="6"/>
      <c r="HG374" s="6"/>
      <c r="HH374" s="6"/>
      <c r="HI374" s="6"/>
      <c r="HJ374" s="6"/>
      <c r="HK374" s="6"/>
      <c r="HL374" s="6"/>
      <c r="HM374" s="6"/>
      <c r="HN374" s="6"/>
      <c r="HO374" s="6"/>
      <c r="HP374" s="6"/>
    </row>
    <row r="375" spans="3:224" s="4" customFormat="1" ht="20.100000000000001" customHeight="1">
      <c r="C375" s="17">
        <v>15509003</v>
      </c>
      <c r="D375" s="46" t="s">
        <v>403</v>
      </c>
      <c r="E375" s="19">
        <v>1140001</v>
      </c>
      <c r="F375" s="19">
        <v>0</v>
      </c>
      <c r="G375" s="19">
        <v>1</v>
      </c>
      <c r="H375" s="19">
        <v>60</v>
      </c>
      <c r="I375" s="26">
        <v>0.2</v>
      </c>
      <c r="J375" s="23">
        <v>25</v>
      </c>
      <c r="K375" s="19">
        <v>0</v>
      </c>
      <c r="L375" s="19">
        <v>11020</v>
      </c>
      <c r="M375" s="19">
        <f t="shared" ref="M375" si="101">ROUND(N375/2,0)</f>
        <v>0</v>
      </c>
      <c r="N375" s="19">
        <v>0</v>
      </c>
      <c r="O375" s="19">
        <v>0</v>
      </c>
      <c r="P375" s="19">
        <v>0</v>
      </c>
      <c r="Q375" s="19">
        <f t="shared" ref="Q375" si="102">ROUND(R375/2,0)</f>
        <v>0</v>
      </c>
      <c r="R375" s="19">
        <v>0</v>
      </c>
      <c r="S375" s="19">
        <f t="shared" ref="S375" si="103">ROUND(T375/2,0)</f>
        <v>0</v>
      </c>
      <c r="T375" s="19">
        <v>0</v>
      </c>
      <c r="U375" s="26">
        <v>0</v>
      </c>
      <c r="V375" s="19">
        <v>0</v>
      </c>
      <c r="W375" s="19">
        <v>0</v>
      </c>
      <c r="X375" s="19">
        <v>0</v>
      </c>
      <c r="Y375" s="26">
        <v>0</v>
      </c>
      <c r="Z375" s="26">
        <v>0</v>
      </c>
      <c r="AA375" s="26">
        <v>0</v>
      </c>
      <c r="AB375" s="26">
        <v>0</v>
      </c>
      <c r="AC375" s="26">
        <v>0</v>
      </c>
      <c r="AD375" s="26">
        <v>0</v>
      </c>
      <c r="AE375" s="47"/>
      <c r="AF375" s="34"/>
      <c r="AG375" s="34"/>
      <c r="AH375" s="34"/>
      <c r="AI375" s="34"/>
      <c r="AJ375" s="34"/>
      <c r="AK375" s="34"/>
      <c r="AL375" s="34"/>
      <c r="AM375" s="34"/>
      <c r="AN375" s="34"/>
      <c r="AO375" s="34"/>
      <c r="AP375" s="34"/>
      <c r="AQ375" s="34"/>
      <c r="AR375" s="34"/>
      <c r="AS375" s="34"/>
      <c r="AT375" s="34"/>
      <c r="AU375" s="34"/>
      <c r="AV375" s="34"/>
      <c r="AW375" s="34"/>
      <c r="AX375" s="34"/>
      <c r="AY375" s="34"/>
      <c r="AZ375" s="34"/>
      <c r="BA375" s="34"/>
      <c r="BB375" s="34"/>
      <c r="BC375" s="34"/>
      <c r="BD375" s="34"/>
      <c r="BE375" s="34"/>
      <c r="BF375" s="34"/>
      <c r="BG375" s="34"/>
      <c r="BH375" s="34"/>
      <c r="BI375" s="34"/>
      <c r="BJ375" s="34"/>
      <c r="BK375" s="34"/>
      <c r="BL375" s="34"/>
      <c r="BM375" s="34"/>
      <c r="BN375" s="34"/>
      <c r="BO375" s="34"/>
      <c r="BP375" s="34"/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  <c r="CE375" s="34"/>
      <c r="CF375" s="34"/>
      <c r="CG375" s="34"/>
      <c r="CH375" s="34"/>
      <c r="CI375" s="34"/>
      <c r="CJ375" s="34"/>
      <c r="CK375" s="34"/>
      <c r="CL375" s="34"/>
      <c r="CM375" s="34"/>
      <c r="CN375" s="34"/>
      <c r="CO375" s="34"/>
      <c r="CP375" s="34"/>
      <c r="CQ375" s="34"/>
      <c r="CR375" s="34"/>
      <c r="CS375" s="34"/>
      <c r="CT375" s="34"/>
      <c r="CU375" s="34"/>
      <c r="CV375" s="34"/>
      <c r="CW375" s="34"/>
      <c r="CX375" s="34"/>
      <c r="CY375" s="34"/>
      <c r="CZ375" s="34"/>
      <c r="DA375" s="34"/>
      <c r="DB375" s="34"/>
      <c r="DC375" s="34"/>
      <c r="DD375" s="34"/>
      <c r="DE375" s="34"/>
      <c r="DF375" s="34"/>
      <c r="DG375" s="34"/>
      <c r="DH375" s="34"/>
      <c r="DI375" s="34"/>
      <c r="DJ375" s="34"/>
      <c r="DK375" s="34"/>
      <c r="DL375" s="34"/>
      <c r="DM375" s="34"/>
      <c r="DN375" s="34"/>
      <c r="DO375" s="34"/>
      <c r="DP375" s="34"/>
      <c r="DQ375" s="34"/>
      <c r="DR375" s="34"/>
      <c r="DS375" s="34"/>
      <c r="DT375" s="34"/>
      <c r="DU375" s="34"/>
      <c r="DV375" s="34"/>
      <c r="DW375" s="34"/>
      <c r="DX375" s="34"/>
      <c r="DY375" s="34"/>
      <c r="DZ375" s="34"/>
      <c r="EA375" s="34"/>
      <c r="EB375" s="34"/>
      <c r="EC375" s="34"/>
      <c r="ED375" s="34"/>
      <c r="EE375" s="34"/>
      <c r="EF375" s="34"/>
      <c r="EG375" s="34"/>
      <c r="EH375" s="34"/>
      <c r="EI375" s="34"/>
      <c r="EJ375" s="34"/>
      <c r="EK375" s="34"/>
      <c r="EL375" s="34"/>
      <c r="EM375" s="34"/>
      <c r="EN375" s="34"/>
      <c r="EO375" s="34"/>
      <c r="EP375" s="34"/>
      <c r="EQ375" s="34"/>
      <c r="ER375" s="34"/>
      <c r="ES375" s="34"/>
      <c r="ET375" s="34"/>
      <c r="EU375" s="34"/>
      <c r="EV375" s="34"/>
      <c r="EW375" s="34"/>
      <c r="EX375" s="34"/>
      <c r="EY375" s="34"/>
      <c r="EZ375" s="34"/>
      <c r="FA375" s="34"/>
      <c r="FB375" s="34"/>
      <c r="FC375" s="34"/>
      <c r="FD375" s="34"/>
      <c r="FE375" s="34"/>
      <c r="FF375" s="34"/>
      <c r="FG375" s="34"/>
      <c r="FH375" s="34"/>
      <c r="FI375" s="34"/>
      <c r="FJ375" s="34"/>
      <c r="FK375" s="34"/>
      <c r="FL375" s="34"/>
      <c r="FM375" s="34"/>
      <c r="FN375" s="34"/>
      <c r="FO375" s="34"/>
      <c r="FP375" s="34"/>
      <c r="FQ375" s="34"/>
      <c r="FR375" s="34"/>
      <c r="FS375" s="34"/>
      <c r="FT375" s="34"/>
      <c r="FU375" s="34"/>
      <c r="FV375" s="34"/>
      <c r="FW375" s="34"/>
      <c r="FX375" s="34"/>
      <c r="FY375" s="34"/>
      <c r="FZ375" s="34"/>
      <c r="GA375" s="34"/>
      <c r="GB375" s="34"/>
      <c r="GC375" s="34"/>
      <c r="GD375" s="34"/>
      <c r="GE375" s="34"/>
      <c r="GF375" s="34"/>
      <c r="GG375" s="34"/>
      <c r="GH375" s="34"/>
      <c r="GI375" s="34"/>
      <c r="GJ375" s="34"/>
      <c r="GK375" s="34"/>
      <c r="GL375" s="34"/>
      <c r="GM375" s="34"/>
      <c r="GN375" s="34"/>
      <c r="GO375" s="34"/>
      <c r="GP375" s="34"/>
      <c r="GQ375" s="34"/>
      <c r="GR375" s="34"/>
      <c r="GS375" s="34"/>
      <c r="GT375" s="34"/>
      <c r="GU375" s="34"/>
      <c r="GV375" s="34"/>
      <c r="GW375" s="34"/>
      <c r="GX375" s="34"/>
      <c r="GY375" s="34"/>
      <c r="GZ375" s="34"/>
      <c r="HA375" s="34"/>
      <c r="HB375" s="34"/>
      <c r="HC375" s="34"/>
      <c r="HD375" s="34"/>
      <c r="HE375" s="34"/>
      <c r="HF375" s="34"/>
      <c r="HG375" s="34"/>
      <c r="HH375" s="34"/>
      <c r="HI375" s="34"/>
      <c r="HJ375" s="34"/>
      <c r="HK375" s="34"/>
      <c r="HL375" s="34"/>
      <c r="HM375" s="34"/>
      <c r="HN375" s="34"/>
      <c r="HO375" s="34"/>
      <c r="HP375" s="34"/>
    </row>
    <row r="376" spans="3:224" ht="20.100000000000001" customHeight="1">
      <c r="C376" s="11">
        <v>15510001</v>
      </c>
      <c r="D376" s="11" t="s">
        <v>404</v>
      </c>
      <c r="E376" s="14">
        <v>1140001</v>
      </c>
      <c r="F376" s="14">
        <v>0</v>
      </c>
      <c r="G376" s="14">
        <v>1</v>
      </c>
      <c r="H376" s="14">
        <v>60</v>
      </c>
      <c r="I376" s="22">
        <v>0.2</v>
      </c>
      <c r="J376" s="23">
        <v>25</v>
      </c>
      <c r="K376" s="14">
        <v>0</v>
      </c>
      <c r="L376" s="14">
        <v>0</v>
      </c>
      <c r="M376" s="14">
        <f t="shared" si="92"/>
        <v>425</v>
      </c>
      <c r="N376" s="14">
        <v>850</v>
      </c>
      <c r="O376" s="14">
        <v>0</v>
      </c>
      <c r="P376" s="14">
        <v>0</v>
      </c>
      <c r="Q376" s="14">
        <f t="shared" si="93"/>
        <v>0</v>
      </c>
      <c r="R376" s="14">
        <v>0</v>
      </c>
      <c r="S376" s="14">
        <f t="shared" si="94"/>
        <v>0</v>
      </c>
      <c r="T376" s="14">
        <v>0</v>
      </c>
      <c r="U376" s="22">
        <v>0</v>
      </c>
      <c r="V376" s="14">
        <v>0</v>
      </c>
      <c r="W376" s="14">
        <v>0</v>
      </c>
      <c r="X376" s="14">
        <v>0</v>
      </c>
      <c r="Y376" s="22">
        <v>0</v>
      </c>
      <c r="Z376" s="22">
        <v>0</v>
      </c>
      <c r="AA376" s="22">
        <v>0</v>
      </c>
      <c r="AB376" s="22">
        <v>0</v>
      </c>
      <c r="AC376" s="22">
        <v>0</v>
      </c>
      <c r="AD376" s="22">
        <v>0</v>
      </c>
      <c r="AE376" s="43"/>
      <c r="GR376" s="6"/>
      <c r="GS376" s="6"/>
      <c r="GT376" s="6"/>
      <c r="GU376" s="6"/>
      <c r="GV376" s="6"/>
      <c r="GW376" s="6"/>
      <c r="GX376" s="6"/>
      <c r="GY376" s="6"/>
      <c r="GZ376" s="6"/>
      <c r="HA376" s="6"/>
      <c r="HB376" s="6"/>
      <c r="HC376" s="6"/>
      <c r="HD376" s="6"/>
      <c r="HE376" s="6"/>
      <c r="HF376" s="6"/>
      <c r="HG376" s="6"/>
      <c r="HH376" s="6"/>
      <c r="HI376" s="6"/>
      <c r="HJ376" s="6"/>
      <c r="HK376" s="6"/>
      <c r="HL376" s="6"/>
      <c r="HM376" s="6"/>
      <c r="HN376" s="6"/>
      <c r="HO376" s="6"/>
      <c r="HP376" s="6"/>
    </row>
    <row r="377" spans="3:224" ht="20.100000000000001" customHeight="1">
      <c r="C377" s="11">
        <v>15510002</v>
      </c>
      <c r="D377" s="11" t="s">
        <v>405</v>
      </c>
      <c r="E377" s="14">
        <v>1140001</v>
      </c>
      <c r="F377" s="14">
        <v>0</v>
      </c>
      <c r="G377" s="14">
        <v>1</v>
      </c>
      <c r="H377" s="14">
        <v>60</v>
      </c>
      <c r="I377" s="22">
        <v>0.2</v>
      </c>
      <c r="J377" s="23">
        <v>25</v>
      </c>
      <c r="K377" s="14">
        <v>0</v>
      </c>
      <c r="L377" s="14">
        <v>0</v>
      </c>
      <c r="M377" s="14">
        <f t="shared" si="92"/>
        <v>504</v>
      </c>
      <c r="N377" s="14">
        <v>1008</v>
      </c>
      <c r="O377" s="14">
        <v>0</v>
      </c>
      <c r="P377" s="14">
        <v>0</v>
      </c>
      <c r="Q377" s="14">
        <f t="shared" si="93"/>
        <v>0</v>
      </c>
      <c r="R377" s="14">
        <v>0</v>
      </c>
      <c r="S377" s="14">
        <f t="shared" si="94"/>
        <v>0</v>
      </c>
      <c r="T377" s="14">
        <v>0</v>
      </c>
      <c r="U377" s="22">
        <v>0</v>
      </c>
      <c r="V377" s="14">
        <v>0</v>
      </c>
      <c r="W377" s="14">
        <v>0</v>
      </c>
      <c r="X377" s="14">
        <v>0</v>
      </c>
      <c r="Y377" s="22">
        <v>0</v>
      </c>
      <c r="Z377" s="22">
        <v>0</v>
      </c>
      <c r="AA377" s="22">
        <v>0</v>
      </c>
      <c r="AB377" s="22">
        <v>0</v>
      </c>
      <c r="AC377" s="22">
        <v>0</v>
      </c>
      <c r="AD377" s="22">
        <v>0</v>
      </c>
      <c r="AE377" s="43"/>
      <c r="GR377" s="6"/>
      <c r="GS377" s="6"/>
      <c r="GT377" s="6"/>
      <c r="GU377" s="6"/>
      <c r="GV377" s="6"/>
      <c r="GW377" s="6"/>
      <c r="GX377" s="6"/>
      <c r="GY377" s="6"/>
      <c r="GZ377" s="6"/>
      <c r="HA377" s="6"/>
      <c r="HB377" s="6"/>
      <c r="HC377" s="6"/>
      <c r="HD377" s="6"/>
      <c r="HE377" s="6"/>
      <c r="HF377" s="6"/>
      <c r="HG377" s="6"/>
      <c r="HH377" s="6"/>
      <c r="HI377" s="6"/>
      <c r="HJ377" s="6"/>
      <c r="HK377" s="6"/>
      <c r="HL377" s="6"/>
      <c r="HM377" s="6"/>
      <c r="HN377" s="6"/>
      <c r="HO377" s="6"/>
      <c r="HP377" s="6"/>
    </row>
    <row r="378" spans="3:224" ht="20.100000000000001" customHeight="1">
      <c r="C378" s="11">
        <v>15510003</v>
      </c>
      <c r="D378" s="11" t="s">
        <v>406</v>
      </c>
      <c r="E378" s="14">
        <v>1140001</v>
      </c>
      <c r="F378" s="14">
        <v>0</v>
      </c>
      <c r="G378" s="14">
        <v>1</v>
      </c>
      <c r="H378" s="14">
        <v>60</v>
      </c>
      <c r="I378" s="22">
        <v>0.2</v>
      </c>
      <c r="J378" s="23">
        <v>25</v>
      </c>
      <c r="K378" s="14">
        <v>0</v>
      </c>
      <c r="L378" s="14">
        <v>0</v>
      </c>
      <c r="M378" s="14">
        <f t="shared" si="92"/>
        <v>425</v>
      </c>
      <c r="N378" s="14">
        <v>850</v>
      </c>
      <c r="O378" s="14">
        <v>0</v>
      </c>
      <c r="P378" s="14">
        <v>0</v>
      </c>
      <c r="Q378" s="14">
        <f t="shared" si="93"/>
        <v>0</v>
      </c>
      <c r="R378" s="14">
        <v>0</v>
      </c>
      <c r="S378" s="14">
        <f t="shared" si="94"/>
        <v>0</v>
      </c>
      <c r="T378" s="14">
        <v>0</v>
      </c>
      <c r="U378" s="22">
        <v>0</v>
      </c>
      <c r="V378" s="14">
        <v>0</v>
      </c>
      <c r="W378" s="14">
        <v>0</v>
      </c>
      <c r="X378" s="14">
        <v>0</v>
      </c>
      <c r="Y378" s="22">
        <v>0</v>
      </c>
      <c r="Z378" s="22">
        <v>0</v>
      </c>
      <c r="AA378" s="22">
        <v>0</v>
      </c>
      <c r="AB378" s="22">
        <v>0</v>
      </c>
      <c r="AC378" s="22">
        <v>0</v>
      </c>
      <c r="AD378" s="22">
        <v>0</v>
      </c>
      <c r="AE378" s="43"/>
      <c r="GR378" s="6"/>
      <c r="GS378" s="6"/>
      <c r="GT378" s="6"/>
      <c r="GU378" s="6"/>
      <c r="GV378" s="6"/>
      <c r="GW378" s="6"/>
      <c r="GX378" s="6"/>
      <c r="GY378" s="6"/>
      <c r="GZ378" s="6"/>
      <c r="HA378" s="6"/>
      <c r="HB378" s="6"/>
      <c r="HC378" s="6"/>
      <c r="HD378" s="6"/>
      <c r="HE378" s="6"/>
      <c r="HF378" s="6"/>
      <c r="HG378" s="6"/>
      <c r="HH378" s="6"/>
      <c r="HI378" s="6"/>
      <c r="HJ378" s="6"/>
      <c r="HK378" s="6"/>
      <c r="HL378" s="6"/>
      <c r="HM378" s="6"/>
      <c r="HN378" s="6"/>
      <c r="HO378" s="6"/>
      <c r="HP378" s="6"/>
    </row>
    <row r="379" spans="3:224" ht="20.100000000000001" customHeight="1">
      <c r="C379" s="11">
        <v>15510004</v>
      </c>
      <c r="D379" s="11" t="s">
        <v>407</v>
      </c>
      <c r="E379" s="14">
        <v>1140001</v>
      </c>
      <c r="F379" s="14">
        <v>0</v>
      </c>
      <c r="G379" s="14">
        <v>1</v>
      </c>
      <c r="H379" s="14">
        <v>60</v>
      </c>
      <c r="I379" s="22">
        <v>0.2</v>
      </c>
      <c r="J379" s="23">
        <v>25</v>
      </c>
      <c r="K379" s="14">
        <v>0</v>
      </c>
      <c r="L379" s="14">
        <v>0</v>
      </c>
      <c r="M379" s="14">
        <f t="shared" si="92"/>
        <v>504</v>
      </c>
      <c r="N379" s="14">
        <v>1008</v>
      </c>
      <c r="O379" s="14">
        <v>0</v>
      </c>
      <c r="P379" s="14">
        <v>0</v>
      </c>
      <c r="Q379" s="14">
        <f t="shared" si="93"/>
        <v>0</v>
      </c>
      <c r="R379" s="14">
        <v>0</v>
      </c>
      <c r="S379" s="14">
        <f t="shared" si="94"/>
        <v>0</v>
      </c>
      <c r="T379" s="14">
        <v>0</v>
      </c>
      <c r="U379" s="22">
        <v>0</v>
      </c>
      <c r="V379" s="14">
        <v>0</v>
      </c>
      <c r="W379" s="14">
        <v>0</v>
      </c>
      <c r="X379" s="14">
        <v>0</v>
      </c>
      <c r="Y379" s="22">
        <v>0</v>
      </c>
      <c r="Z379" s="22">
        <v>0</v>
      </c>
      <c r="AA379" s="22">
        <v>0</v>
      </c>
      <c r="AB379" s="22">
        <v>0</v>
      </c>
      <c r="AC379" s="22">
        <v>0</v>
      </c>
      <c r="AD379" s="22">
        <v>0</v>
      </c>
      <c r="AE379" s="43"/>
      <c r="GR379" s="6"/>
      <c r="GS379" s="6"/>
      <c r="GT379" s="6"/>
      <c r="GU379" s="6"/>
      <c r="GV379" s="6"/>
      <c r="GW379" s="6"/>
      <c r="GX379" s="6"/>
      <c r="GY379" s="6"/>
      <c r="GZ379" s="6"/>
      <c r="HA379" s="6"/>
      <c r="HB379" s="6"/>
      <c r="HC379" s="6"/>
      <c r="HD379" s="6"/>
      <c r="HE379" s="6"/>
      <c r="HF379" s="6"/>
      <c r="HG379" s="6"/>
      <c r="HH379" s="6"/>
      <c r="HI379" s="6"/>
      <c r="HJ379" s="6"/>
      <c r="HK379" s="6"/>
      <c r="HL379" s="6"/>
      <c r="HM379" s="6"/>
      <c r="HN379" s="6"/>
      <c r="HO379" s="6"/>
      <c r="HP379" s="6"/>
    </row>
    <row r="380" spans="3:224" ht="20.100000000000001" customHeight="1">
      <c r="C380" s="11">
        <v>15510011</v>
      </c>
      <c r="D380" s="37" t="s">
        <v>408</v>
      </c>
      <c r="E380" s="14">
        <v>1140001</v>
      </c>
      <c r="F380" s="14">
        <v>15051</v>
      </c>
      <c r="G380" s="14">
        <v>1</v>
      </c>
      <c r="H380" s="14">
        <v>60</v>
      </c>
      <c r="I380" s="22">
        <v>0.2</v>
      </c>
      <c r="J380" s="23">
        <v>25</v>
      </c>
      <c r="K380" s="14">
        <v>0</v>
      </c>
      <c r="L380" s="14">
        <v>0</v>
      </c>
      <c r="M380" s="14">
        <v>520</v>
      </c>
      <c r="N380" s="14">
        <v>1120</v>
      </c>
      <c r="O380" s="14">
        <v>0</v>
      </c>
      <c r="P380" s="14">
        <v>0</v>
      </c>
      <c r="Q380" s="14">
        <f t="shared" ref="Q380:Q381" si="104">ROUND(R380/2,0)</f>
        <v>0</v>
      </c>
      <c r="R380" s="14">
        <v>0</v>
      </c>
      <c r="S380" s="14">
        <f t="shared" ref="S380:S381" si="105">ROUND(T380/2,0)</f>
        <v>0</v>
      </c>
      <c r="T380" s="14">
        <v>0</v>
      </c>
      <c r="U380" s="22">
        <v>0</v>
      </c>
      <c r="V380" s="14">
        <v>0</v>
      </c>
      <c r="W380" s="14">
        <v>0</v>
      </c>
      <c r="X380" s="14">
        <v>0</v>
      </c>
      <c r="Y380" s="22">
        <v>0</v>
      </c>
      <c r="Z380" s="22">
        <v>0</v>
      </c>
      <c r="AA380" s="22">
        <v>0</v>
      </c>
      <c r="AB380" s="22">
        <v>0</v>
      </c>
      <c r="AC380" s="22">
        <v>0</v>
      </c>
      <c r="AD380" s="22">
        <v>0</v>
      </c>
      <c r="AE380" s="49">
        <v>100009</v>
      </c>
      <c r="GR380" s="6"/>
      <c r="GS380" s="6"/>
      <c r="GT380" s="6"/>
      <c r="GU380" s="6"/>
      <c r="GV380" s="6"/>
      <c r="GW380" s="6"/>
      <c r="GX380" s="6"/>
      <c r="GY380" s="6"/>
      <c r="GZ380" s="6"/>
      <c r="HA380" s="6"/>
      <c r="HB380" s="6"/>
      <c r="HC380" s="6"/>
      <c r="HD380" s="6"/>
      <c r="HE380" s="6"/>
      <c r="HF380" s="6"/>
      <c r="HG380" s="6"/>
      <c r="HH380" s="6"/>
      <c r="HI380" s="6"/>
      <c r="HJ380" s="6"/>
      <c r="HK380" s="6"/>
      <c r="HL380" s="6"/>
      <c r="HM380" s="6"/>
      <c r="HN380" s="6"/>
      <c r="HO380" s="6"/>
      <c r="HP380" s="6"/>
    </row>
    <row r="381" spans="3:224" ht="20.100000000000001" customHeight="1">
      <c r="C381" s="11">
        <v>15510012</v>
      </c>
      <c r="D381" s="37" t="s">
        <v>409</v>
      </c>
      <c r="E381" s="14">
        <v>1140001</v>
      </c>
      <c r="F381" s="14">
        <v>15051</v>
      </c>
      <c r="G381" s="14">
        <v>1</v>
      </c>
      <c r="H381" s="14">
        <v>60</v>
      </c>
      <c r="I381" s="22">
        <v>0.2</v>
      </c>
      <c r="J381" s="23">
        <v>25</v>
      </c>
      <c r="K381" s="14">
        <v>0</v>
      </c>
      <c r="L381" s="14">
        <v>0</v>
      </c>
      <c r="M381" s="14">
        <v>520</v>
      </c>
      <c r="N381" s="14">
        <v>1120</v>
      </c>
      <c r="O381" s="14">
        <v>0</v>
      </c>
      <c r="P381" s="14">
        <v>0</v>
      </c>
      <c r="Q381" s="14">
        <f t="shared" si="104"/>
        <v>0</v>
      </c>
      <c r="R381" s="14">
        <v>0</v>
      </c>
      <c r="S381" s="14">
        <f t="shared" si="105"/>
        <v>0</v>
      </c>
      <c r="T381" s="14">
        <v>0</v>
      </c>
      <c r="U381" s="22">
        <v>0</v>
      </c>
      <c r="V381" s="14">
        <v>0</v>
      </c>
      <c r="W381" s="14">
        <v>0</v>
      </c>
      <c r="X381" s="14">
        <v>0</v>
      </c>
      <c r="Y381" s="22">
        <v>0</v>
      </c>
      <c r="Z381" s="22">
        <v>0</v>
      </c>
      <c r="AA381" s="22">
        <v>0</v>
      </c>
      <c r="AB381" s="22">
        <v>0</v>
      </c>
      <c r="AC381" s="22">
        <v>0</v>
      </c>
      <c r="AD381" s="22">
        <v>0</v>
      </c>
      <c r="AE381" s="43">
        <v>100008</v>
      </c>
      <c r="GR381" s="6"/>
      <c r="GS381" s="6"/>
      <c r="GT381" s="6"/>
      <c r="GU381" s="6"/>
      <c r="GV381" s="6"/>
      <c r="GW381" s="6"/>
      <c r="GX381" s="6"/>
      <c r="GY381" s="6"/>
      <c r="GZ381" s="6"/>
      <c r="HA381" s="6"/>
      <c r="HB381" s="6"/>
      <c r="HC381" s="6"/>
      <c r="HD381" s="6"/>
      <c r="HE381" s="6"/>
      <c r="HF381" s="6"/>
      <c r="HG381" s="6"/>
      <c r="HH381" s="6"/>
      <c r="HI381" s="6"/>
      <c r="HJ381" s="6"/>
      <c r="HK381" s="6"/>
      <c r="HL381" s="6"/>
      <c r="HM381" s="6"/>
      <c r="HN381" s="6"/>
      <c r="HO381" s="6"/>
      <c r="HP381" s="6"/>
    </row>
    <row r="382" spans="3:224" ht="20.100000000000001" customHeight="1">
      <c r="C382" s="11">
        <v>15510121</v>
      </c>
      <c r="D382" s="37" t="s">
        <v>410</v>
      </c>
      <c r="E382" s="14">
        <v>1140001</v>
      </c>
      <c r="F382" s="14">
        <v>15051</v>
      </c>
      <c r="G382" s="14">
        <v>1</v>
      </c>
      <c r="H382" s="14">
        <v>60</v>
      </c>
      <c r="I382" s="22">
        <v>0.2</v>
      </c>
      <c r="J382" s="23">
        <v>25</v>
      </c>
      <c r="K382" s="14">
        <v>0</v>
      </c>
      <c r="L382" s="14">
        <v>0</v>
      </c>
      <c r="M382" s="14">
        <v>520</v>
      </c>
      <c r="N382" s="14">
        <v>1120</v>
      </c>
      <c r="O382" s="14">
        <v>0</v>
      </c>
      <c r="P382" s="14">
        <v>0</v>
      </c>
      <c r="Q382" s="14">
        <f t="shared" ref="Q382:Q386" si="106">ROUND(R382/2,0)</f>
        <v>0</v>
      </c>
      <c r="R382" s="14">
        <v>0</v>
      </c>
      <c r="S382" s="14">
        <f t="shared" ref="S382:S386" si="107">ROUND(T382/2,0)</f>
        <v>0</v>
      </c>
      <c r="T382" s="14">
        <v>0</v>
      </c>
      <c r="U382" s="22">
        <v>0</v>
      </c>
      <c r="V382" s="14">
        <v>0</v>
      </c>
      <c r="W382" s="14">
        <v>0</v>
      </c>
      <c r="X382" s="14">
        <v>0</v>
      </c>
      <c r="Y382" s="22">
        <v>0</v>
      </c>
      <c r="Z382" s="22">
        <v>0</v>
      </c>
      <c r="AA382" s="22">
        <v>0</v>
      </c>
      <c r="AB382" s="22">
        <v>0</v>
      </c>
      <c r="AC382" s="22">
        <v>0</v>
      </c>
      <c r="AD382" s="22">
        <v>0</v>
      </c>
      <c r="AE382" s="43"/>
      <c r="GR382" s="6"/>
      <c r="GS382" s="6"/>
      <c r="GT382" s="6"/>
      <c r="GU382" s="6"/>
      <c r="GV382" s="6"/>
      <c r="GW382" s="6"/>
      <c r="GX382" s="6"/>
      <c r="GY382" s="6"/>
      <c r="GZ382" s="6"/>
      <c r="HA382" s="6"/>
      <c r="HB382" s="6"/>
      <c r="HC382" s="6"/>
      <c r="HD382" s="6"/>
      <c r="HE382" s="6"/>
      <c r="HF382" s="6"/>
      <c r="HG382" s="6"/>
      <c r="HH382" s="6"/>
      <c r="HI382" s="6"/>
      <c r="HJ382" s="6"/>
      <c r="HK382" s="6"/>
      <c r="HL382" s="6"/>
      <c r="HM382" s="6"/>
      <c r="HN382" s="6"/>
      <c r="HO382" s="6"/>
      <c r="HP382" s="6"/>
    </row>
    <row r="383" spans="3:224" ht="20.100000000000001" customHeight="1">
      <c r="C383" s="11">
        <v>15510122</v>
      </c>
      <c r="D383" s="37" t="s">
        <v>411</v>
      </c>
      <c r="E383" s="14">
        <v>1140001</v>
      </c>
      <c r="F383" s="14">
        <v>15051</v>
      </c>
      <c r="G383" s="14">
        <v>1</v>
      </c>
      <c r="H383" s="14">
        <v>60</v>
      </c>
      <c r="I383" s="22">
        <v>0.2</v>
      </c>
      <c r="J383" s="23">
        <v>25</v>
      </c>
      <c r="K383" s="14">
        <v>0</v>
      </c>
      <c r="L383" s="14">
        <v>0</v>
      </c>
      <c r="M383" s="14">
        <v>520</v>
      </c>
      <c r="N383" s="14">
        <v>1120</v>
      </c>
      <c r="O383" s="14">
        <v>0</v>
      </c>
      <c r="P383" s="14">
        <v>0</v>
      </c>
      <c r="Q383" s="14">
        <f t="shared" si="106"/>
        <v>0</v>
      </c>
      <c r="R383" s="14">
        <v>0</v>
      </c>
      <c r="S383" s="14">
        <f t="shared" si="107"/>
        <v>0</v>
      </c>
      <c r="T383" s="14">
        <v>0</v>
      </c>
      <c r="U383" s="22">
        <v>0</v>
      </c>
      <c r="V383" s="14">
        <v>0</v>
      </c>
      <c r="W383" s="14">
        <v>0</v>
      </c>
      <c r="X383" s="14">
        <v>0</v>
      </c>
      <c r="Y383" s="22">
        <v>0</v>
      </c>
      <c r="Z383" s="22">
        <v>0</v>
      </c>
      <c r="AA383" s="22">
        <v>0</v>
      </c>
      <c r="AB383" s="22">
        <v>0</v>
      </c>
      <c r="AC383" s="22">
        <v>0</v>
      </c>
      <c r="AD383" s="22">
        <v>0</v>
      </c>
      <c r="AE383" s="43">
        <v>100010</v>
      </c>
      <c r="GR383" s="6"/>
      <c r="GS383" s="6"/>
      <c r="GT383" s="6"/>
      <c r="GU383" s="6"/>
      <c r="GV383" s="6"/>
      <c r="GW383" s="6"/>
      <c r="GX383" s="6"/>
      <c r="GY383" s="6"/>
      <c r="GZ383" s="6"/>
      <c r="HA383" s="6"/>
      <c r="HB383" s="6"/>
      <c r="HC383" s="6"/>
      <c r="HD383" s="6"/>
      <c r="HE383" s="6"/>
      <c r="HF383" s="6"/>
      <c r="HG383" s="6"/>
      <c r="HH383" s="6"/>
      <c r="HI383" s="6"/>
      <c r="HJ383" s="6"/>
      <c r="HK383" s="6"/>
      <c r="HL383" s="6"/>
      <c r="HM383" s="6"/>
      <c r="HN383" s="6"/>
      <c r="HO383" s="6"/>
      <c r="HP383" s="6"/>
    </row>
    <row r="384" spans="3:224" ht="20.100000000000001" customHeight="1">
      <c r="C384" s="11">
        <v>15510201</v>
      </c>
      <c r="D384" s="11" t="s">
        <v>412</v>
      </c>
      <c r="E384" s="14">
        <v>1140001</v>
      </c>
      <c r="F384" s="14">
        <v>0</v>
      </c>
      <c r="G384" s="14">
        <v>1</v>
      </c>
      <c r="H384" s="14">
        <v>60</v>
      </c>
      <c r="I384" s="22">
        <v>0.2</v>
      </c>
      <c r="J384" s="23">
        <v>25</v>
      </c>
      <c r="K384" s="14">
        <v>0</v>
      </c>
      <c r="L384" s="14">
        <v>0</v>
      </c>
      <c r="M384" s="14">
        <f t="shared" ref="M384:M385" si="108">ROUND(N384/2,0)</f>
        <v>425</v>
      </c>
      <c r="N384" s="14">
        <v>850</v>
      </c>
      <c r="O384" s="14">
        <v>0</v>
      </c>
      <c r="P384" s="14">
        <v>0</v>
      </c>
      <c r="Q384" s="14">
        <f t="shared" si="106"/>
        <v>0</v>
      </c>
      <c r="R384" s="14">
        <v>0</v>
      </c>
      <c r="S384" s="14">
        <f t="shared" si="107"/>
        <v>0</v>
      </c>
      <c r="T384" s="14">
        <v>0</v>
      </c>
      <c r="U384" s="22">
        <v>0</v>
      </c>
      <c r="V384" s="14">
        <v>0</v>
      </c>
      <c r="W384" s="14">
        <v>0</v>
      </c>
      <c r="X384" s="14">
        <v>0</v>
      </c>
      <c r="Y384" s="22">
        <v>0</v>
      </c>
      <c r="Z384" s="22">
        <v>0</v>
      </c>
      <c r="AA384" s="22">
        <v>0</v>
      </c>
      <c r="AB384" s="22">
        <v>0</v>
      </c>
      <c r="AC384" s="22">
        <v>0</v>
      </c>
      <c r="AD384" s="22">
        <v>0</v>
      </c>
      <c r="AE384" s="43"/>
      <c r="GR384" s="6"/>
      <c r="GS384" s="6"/>
      <c r="GT384" s="6"/>
      <c r="GU384" s="6"/>
      <c r="GV384" s="6"/>
      <c r="GW384" s="6"/>
      <c r="GX384" s="6"/>
      <c r="GY384" s="6"/>
      <c r="GZ384" s="6"/>
      <c r="HA384" s="6"/>
      <c r="HB384" s="6"/>
      <c r="HC384" s="6"/>
      <c r="HD384" s="6"/>
      <c r="HE384" s="6"/>
      <c r="HF384" s="6"/>
      <c r="HG384" s="6"/>
      <c r="HH384" s="6"/>
      <c r="HI384" s="6"/>
      <c r="HJ384" s="6"/>
      <c r="HK384" s="6"/>
      <c r="HL384" s="6"/>
      <c r="HM384" s="6"/>
      <c r="HN384" s="6"/>
      <c r="HO384" s="6"/>
      <c r="HP384" s="6"/>
    </row>
    <row r="385" spans="3:224" ht="20.100000000000001" customHeight="1">
      <c r="C385" s="11">
        <v>15510202</v>
      </c>
      <c r="D385" s="11" t="s">
        <v>413</v>
      </c>
      <c r="E385" s="14">
        <v>1140001</v>
      </c>
      <c r="F385" s="14">
        <v>0</v>
      </c>
      <c r="G385" s="14">
        <v>1</v>
      </c>
      <c r="H385" s="14">
        <v>60</v>
      </c>
      <c r="I385" s="22">
        <v>0.2</v>
      </c>
      <c r="J385" s="23">
        <v>25</v>
      </c>
      <c r="K385" s="14">
        <v>0</v>
      </c>
      <c r="L385" s="14">
        <v>0</v>
      </c>
      <c r="M385" s="14">
        <f t="shared" si="108"/>
        <v>504</v>
      </c>
      <c r="N385" s="14">
        <v>1008</v>
      </c>
      <c r="O385" s="14">
        <v>0</v>
      </c>
      <c r="P385" s="14">
        <v>0</v>
      </c>
      <c r="Q385" s="14">
        <f t="shared" si="106"/>
        <v>0</v>
      </c>
      <c r="R385" s="14">
        <v>0</v>
      </c>
      <c r="S385" s="14">
        <f t="shared" si="107"/>
        <v>0</v>
      </c>
      <c r="T385" s="14">
        <v>0</v>
      </c>
      <c r="U385" s="22">
        <v>0</v>
      </c>
      <c r="V385" s="14">
        <v>0</v>
      </c>
      <c r="W385" s="14">
        <v>0</v>
      </c>
      <c r="X385" s="14">
        <v>0</v>
      </c>
      <c r="Y385" s="22">
        <v>0</v>
      </c>
      <c r="Z385" s="22">
        <v>0</v>
      </c>
      <c r="AA385" s="22">
        <v>0</v>
      </c>
      <c r="AB385" s="22">
        <v>0</v>
      </c>
      <c r="AC385" s="22">
        <v>0</v>
      </c>
      <c r="AD385" s="22">
        <v>0</v>
      </c>
      <c r="AE385" s="43"/>
      <c r="GR385" s="6"/>
      <c r="GS385" s="6"/>
      <c r="GT385" s="6"/>
      <c r="GU385" s="6"/>
      <c r="GV385" s="6"/>
      <c r="GW385" s="6"/>
      <c r="GX385" s="6"/>
      <c r="GY385" s="6"/>
      <c r="GZ385" s="6"/>
      <c r="HA385" s="6"/>
      <c r="HB385" s="6"/>
      <c r="HC385" s="6"/>
      <c r="HD385" s="6"/>
      <c r="HE385" s="6"/>
      <c r="HF385" s="6"/>
      <c r="HG385" s="6"/>
      <c r="HH385" s="6"/>
      <c r="HI385" s="6"/>
      <c r="HJ385" s="6"/>
      <c r="HK385" s="6"/>
      <c r="HL385" s="6"/>
      <c r="HM385" s="6"/>
      <c r="HN385" s="6"/>
      <c r="HO385" s="6"/>
      <c r="HP385" s="6"/>
    </row>
    <row r="386" spans="3:224" ht="20.100000000000001" customHeight="1">
      <c r="C386" s="11">
        <v>15510211</v>
      </c>
      <c r="D386" s="37" t="s">
        <v>414</v>
      </c>
      <c r="E386" s="14">
        <v>1140001</v>
      </c>
      <c r="F386" s="14">
        <v>15051</v>
      </c>
      <c r="G386" s="14">
        <v>1</v>
      </c>
      <c r="H386" s="14">
        <v>60</v>
      </c>
      <c r="I386" s="22">
        <v>0.2</v>
      </c>
      <c r="J386" s="23">
        <v>25</v>
      </c>
      <c r="K386" s="14">
        <v>0</v>
      </c>
      <c r="L386" s="14">
        <v>0</v>
      </c>
      <c r="M386" s="14">
        <v>520</v>
      </c>
      <c r="N386" s="14">
        <v>1120</v>
      </c>
      <c r="O386" s="14">
        <v>0</v>
      </c>
      <c r="P386" s="14">
        <v>0</v>
      </c>
      <c r="Q386" s="14">
        <f t="shared" si="106"/>
        <v>0</v>
      </c>
      <c r="R386" s="14">
        <v>0</v>
      </c>
      <c r="S386" s="14">
        <f t="shared" si="107"/>
        <v>0</v>
      </c>
      <c r="T386" s="14">
        <v>0</v>
      </c>
      <c r="U386" s="22">
        <v>0</v>
      </c>
      <c r="V386" s="14">
        <v>0</v>
      </c>
      <c r="W386" s="14">
        <v>0</v>
      </c>
      <c r="X386" s="14">
        <v>0</v>
      </c>
      <c r="Y386" s="22">
        <v>0</v>
      </c>
      <c r="Z386" s="22">
        <v>0</v>
      </c>
      <c r="AA386" s="22">
        <v>0</v>
      </c>
      <c r="AB386" s="22">
        <v>200103</v>
      </c>
      <c r="AC386" s="22">
        <v>500</v>
      </c>
      <c r="AD386" s="22">
        <v>1</v>
      </c>
      <c r="AE386" s="49"/>
      <c r="GR386" s="6"/>
      <c r="GS386" s="6"/>
      <c r="GT386" s="6"/>
      <c r="GU386" s="6"/>
      <c r="GV386" s="6"/>
      <c r="GW386" s="6"/>
      <c r="GX386" s="6"/>
      <c r="GY386" s="6"/>
      <c r="GZ386" s="6"/>
      <c r="HA386" s="6"/>
      <c r="HB386" s="6"/>
      <c r="HC386" s="6"/>
      <c r="HD386" s="6"/>
      <c r="HE386" s="6"/>
      <c r="HF386" s="6"/>
      <c r="HG386" s="6"/>
      <c r="HH386" s="6"/>
      <c r="HI386" s="6"/>
      <c r="HJ386" s="6"/>
      <c r="HK386" s="6"/>
      <c r="HL386" s="6"/>
      <c r="HM386" s="6"/>
      <c r="HN386" s="6"/>
      <c r="HO386" s="6"/>
      <c r="HP386" s="6"/>
    </row>
    <row r="387" spans="3:224" ht="20.100000000000001" customHeight="1">
      <c r="C387" s="11">
        <v>15511001</v>
      </c>
      <c r="D387" s="14" t="s">
        <v>415</v>
      </c>
      <c r="E387" s="14">
        <v>1140003</v>
      </c>
      <c r="F387" s="14">
        <v>0</v>
      </c>
      <c r="G387" s="14">
        <v>1</v>
      </c>
      <c r="H387" s="14">
        <v>60</v>
      </c>
      <c r="I387" s="22">
        <v>0.2</v>
      </c>
      <c r="J387" s="23">
        <v>25</v>
      </c>
      <c r="K387" s="14">
        <v>0</v>
      </c>
      <c r="L387" s="14">
        <v>6100</v>
      </c>
      <c r="M387" s="14">
        <f t="shared" si="92"/>
        <v>0</v>
      </c>
      <c r="N387" s="14">
        <v>0</v>
      </c>
      <c r="O387" s="14">
        <v>0</v>
      </c>
      <c r="P387" s="14">
        <v>0</v>
      </c>
      <c r="Q387" s="14">
        <f t="shared" si="93"/>
        <v>75</v>
      </c>
      <c r="R387" s="14">
        <v>150</v>
      </c>
      <c r="S387" s="14">
        <f t="shared" si="94"/>
        <v>75</v>
      </c>
      <c r="T387" s="14">
        <v>150</v>
      </c>
      <c r="U387" s="22">
        <v>0</v>
      </c>
      <c r="V387" s="14">
        <v>0</v>
      </c>
      <c r="W387" s="14">
        <v>0</v>
      </c>
      <c r="X387" s="14">
        <v>0</v>
      </c>
      <c r="Y387" s="22">
        <v>0</v>
      </c>
      <c r="Z387" s="22">
        <v>0</v>
      </c>
      <c r="AA387" s="22">
        <v>0</v>
      </c>
      <c r="AB387" s="22">
        <v>0</v>
      </c>
      <c r="AC387" s="22">
        <v>0</v>
      </c>
      <c r="AD387" s="22">
        <v>0</v>
      </c>
      <c r="AE387" s="22"/>
      <c r="GR387" s="6"/>
      <c r="GS387" s="6"/>
      <c r="GT387" s="6"/>
      <c r="GU387" s="6"/>
      <c r="GV387" s="6"/>
      <c r="GW387" s="6"/>
      <c r="GX387" s="6"/>
      <c r="GY387" s="6"/>
      <c r="GZ387" s="6"/>
      <c r="HA387" s="6"/>
      <c r="HB387" s="6"/>
      <c r="HC387" s="6"/>
      <c r="HD387" s="6"/>
      <c r="HE387" s="6"/>
      <c r="HF387" s="6"/>
      <c r="HG387" s="6"/>
      <c r="HH387" s="6"/>
      <c r="HI387" s="6"/>
      <c r="HJ387" s="6"/>
      <c r="HK387" s="6"/>
      <c r="HL387" s="6"/>
      <c r="HM387" s="6"/>
      <c r="HN387" s="6"/>
      <c r="HO387" s="6"/>
      <c r="HP387" s="6"/>
    </row>
    <row r="388" spans="3:224" ht="20.100000000000001" customHeight="1">
      <c r="C388" s="11">
        <v>15511002</v>
      </c>
      <c r="D388" s="14" t="s">
        <v>416</v>
      </c>
      <c r="E388" s="14">
        <v>1140003</v>
      </c>
      <c r="F388" s="14">
        <v>15011</v>
      </c>
      <c r="G388" s="14">
        <v>1</v>
      </c>
      <c r="H388" s="14">
        <v>60</v>
      </c>
      <c r="I388" s="22">
        <v>0.2</v>
      </c>
      <c r="J388" s="23">
        <v>25</v>
      </c>
      <c r="K388" s="14">
        <v>0</v>
      </c>
      <c r="L388" s="14">
        <v>7200</v>
      </c>
      <c r="M388" s="14">
        <f t="shared" si="92"/>
        <v>0</v>
      </c>
      <c r="N388" s="14">
        <v>0</v>
      </c>
      <c r="O388" s="14">
        <v>0</v>
      </c>
      <c r="P388" s="14">
        <v>0</v>
      </c>
      <c r="Q388" s="14">
        <f t="shared" si="93"/>
        <v>90</v>
      </c>
      <c r="R388" s="14">
        <v>180</v>
      </c>
      <c r="S388" s="14">
        <f t="shared" si="94"/>
        <v>90</v>
      </c>
      <c r="T388" s="14">
        <v>180</v>
      </c>
      <c r="U388" s="22">
        <v>0</v>
      </c>
      <c r="V388" s="14">
        <v>0</v>
      </c>
      <c r="W388" s="14">
        <v>0</v>
      </c>
      <c r="X388" s="14">
        <v>0</v>
      </c>
      <c r="Y388" s="22">
        <v>0</v>
      </c>
      <c r="Z388" s="22">
        <v>0</v>
      </c>
      <c r="AA388" s="22">
        <v>0</v>
      </c>
      <c r="AB388" s="22">
        <v>0</v>
      </c>
      <c r="AC388" s="22">
        <v>0</v>
      </c>
      <c r="AD388" s="22">
        <v>0</v>
      </c>
      <c r="AE388" s="22"/>
      <c r="GR388" s="6"/>
      <c r="GS388" s="6"/>
      <c r="GT388" s="6"/>
      <c r="GU388" s="6"/>
      <c r="GV388" s="6"/>
      <c r="GW388" s="6"/>
      <c r="GX388" s="6"/>
      <c r="GY388" s="6"/>
      <c r="GZ388" s="6"/>
      <c r="HA388" s="6"/>
      <c r="HB388" s="6"/>
      <c r="HC388" s="6"/>
      <c r="HD388" s="6"/>
      <c r="HE388" s="6"/>
      <c r="HF388" s="6"/>
      <c r="HG388" s="6"/>
      <c r="HH388" s="6"/>
      <c r="HI388" s="6"/>
      <c r="HJ388" s="6"/>
      <c r="HK388" s="6"/>
      <c r="HL388" s="6"/>
      <c r="HM388" s="6"/>
      <c r="HN388" s="6"/>
      <c r="HO388" s="6"/>
      <c r="HP388" s="6"/>
    </row>
    <row r="389" spans="3:224" ht="20.100000000000001" customHeight="1">
      <c r="C389" s="11">
        <v>15511003</v>
      </c>
      <c r="D389" s="14" t="s">
        <v>417</v>
      </c>
      <c r="E389" s="14">
        <v>1140003</v>
      </c>
      <c r="F389" s="14">
        <v>0</v>
      </c>
      <c r="G389" s="14">
        <v>1</v>
      </c>
      <c r="H389" s="14">
        <v>60</v>
      </c>
      <c r="I389" s="22">
        <v>0.2</v>
      </c>
      <c r="J389" s="23">
        <v>25</v>
      </c>
      <c r="K389" s="14">
        <v>0</v>
      </c>
      <c r="L389" s="14">
        <v>3050</v>
      </c>
      <c r="M389" s="14">
        <f t="shared" si="92"/>
        <v>0</v>
      </c>
      <c r="N389" s="14">
        <v>0</v>
      </c>
      <c r="O389" s="14">
        <v>0</v>
      </c>
      <c r="P389" s="14">
        <v>0</v>
      </c>
      <c r="Q389" s="14">
        <f t="shared" si="93"/>
        <v>57</v>
      </c>
      <c r="R389" s="14">
        <v>113</v>
      </c>
      <c r="S389" s="14">
        <f t="shared" si="94"/>
        <v>57</v>
      </c>
      <c r="T389" s="14">
        <v>113</v>
      </c>
      <c r="U389" s="22">
        <v>0</v>
      </c>
      <c r="V389" s="14">
        <v>0</v>
      </c>
      <c r="W389" s="14">
        <v>0</v>
      </c>
      <c r="X389" s="14">
        <v>0</v>
      </c>
      <c r="Y389" s="22">
        <v>0</v>
      </c>
      <c r="Z389" s="22">
        <v>0</v>
      </c>
      <c r="AA389" s="22">
        <v>0</v>
      </c>
      <c r="AB389" s="22">
        <v>0</v>
      </c>
      <c r="AC389" s="22">
        <v>0</v>
      </c>
      <c r="AD389" s="22">
        <v>0</v>
      </c>
      <c r="AE389" s="22"/>
      <c r="GR389" s="6"/>
      <c r="GS389" s="6"/>
      <c r="GT389" s="6"/>
      <c r="GU389" s="6"/>
      <c r="GV389" s="6"/>
      <c r="GW389" s="6"/>
      <c r="GX389" s="6"/>
      <c r="GY389" s="6"/>
      <c r="GZ389" s="6"/>
      <c r="HA389" s="6"/>
      <c r="HB389" s="6"/>
      <c r="HC389" s="6"/>
      <c r="HD389" s="6"/>
      <c r="HE389" s="6"/>
      <c r="HF389" s="6"/>
      <c r="HG389" s="6"/>
      <c r="HH389" s="6"/>
      <c r="HI389" s="6"/>
      <c r="HJ389" s="6"/>
      <c r="HK389" s="6"/>
      <c r="HL389" s="6"/>
      <c r="HM389" s="6"/>
      <c r="HN389" s="6"/>
      <c r="HO389" s="6"/>
      <c r="HP389" s="6"/>
    </row>
    <row r="390" spans="3:224" ht="20.100000000000001" customHeight="1">
      <c r="C390" s="11">
        <v>15511004</v>
      </c>
      <c r="D390" s="14" t="s">
        <v>418</v>
      </c>
      <c r="E390" s="14">
        <v>1140003</v>
      </c>
      <c r="F390" s="14">
        <v>15021</v>
      </c>
      <c r="G390" s="14">
        <v>1</v>
      </c>
      <c r="H390" s="14">
        <v>60</v>
      </c>
      <c r="I390" s="22">
        <v>0.2</v>
      </c>
      <c r="J390" s="23">
        <v>25</v>
      </c>
      <c r="K390" s="14">
        <v>0</v>
      </c>
      <c r="L390" s="14">
        <v>3600</v>
      </c>
      <c r="M390" s="14">
        <f t="shared" si="92"/>
        <v>0</v>
      </c>
      <c r="N390" s="14">
        <v>0</v>
      </c>
      <c r="O390" s="14">
        <v>0</v>
      </c>
      <c r="P390" s="14">
        <v>0</v>
      </c>
      <c r="Q390" s="14">
        <f t="shared" si="93"/>
        <v>68</v>
      </c>
      <c r="R390" s="14">
        <v>135</v>
      </c>
      <c r="S390" s="14">
        <f t="shared" si="94"/>
        <v>68</v>
      </c>
      <c r="T390" s="14">
        <v>135</v>
      </c>
      <c r="U390" s="22">
        <v>0</v>
      </c>
      <c r="V390" s="14">
        <v>0</v>
      </c>
      <c r="W390" s="14">
        <v>0</v>
      </c>
      <c r="X390" s="14">
        <v>0</v>
      </c>
      <c r="Y390" s="22">
        <v>0</v>
      </c>
      <c r="Z390" s="22">
        <v>0</v>
      </c>
      <c r="AA390" s="22">
        <v>0</v>
      </c>
      <c r="AB390" s="22">
        <v>0</v>
      </c>
      <c r="AC390" s="22">
        <v>0</v>
      </c>
      <c r="AD390" s="22">
        <v>0</v>
      </c>
      <c r="AE390" s="22"/>
      <c r="GR390" s="6"/>
      <c r="GS390" s="6"/>
      <c r="GT390" s="6"/>
      <c r="GU390" s="6"/>
      <c r="GV390" s="6"/>
      <c r="GW390" s="6"/>
      <c r="GX390" s="6"/>
      <c r="GY390" s="6"/>
      <c r="GZ390" s="6"/>
      <c r="HA390" s="6"/>
      <c r="HB390" s="6"/>
      <c r="HC390" s="6"/>
      <c r="HD390" s="6"/>
      <c r="HE390" s="6"/>
      <c r="HF390" s="6"/>
      <c r="HG390" s="6"/>
      <c r="HH390" s="6"/>
      <c r="HI390" s="6"/>
      <c r="HJ390" s="6"/>
      <c r="HK390" s="6"/>
      <c r="HL390" s="6"/>
      <c r="HM390" s="6"/>
      <c r="HN390" s="6"/>
      <c r="HO390" s="6"/>
      <c r="HP390" s="6"/>
    </row>
    <row r="391" spans="3:224" ht="20.100000000000001" customHeight="1">
      <c r="C391" s="11">
        <v>15511005</v>
      </c>
      <c r="D391" s="14" t="s">
        <v>419</v>
      </c>
      <c r="E391" s="14">
        <v>1140003</v>
      </c>
      <c r="F391" s="14">
        <v>0</v>
      </c>
      <c r="G391" s="14">
        <v>1</v>
      </c>
      <c r="H391" s="14">
        <v>60</v>
      </c>
      <c r="I391" s="22">
        <v>0.2</v>
      </c>
      <c r="J391" s="23">
        <v>25</v>
      </c>
      <c r="K391" s="14">
        <v>0</v>
      </c>
      <c r="L391" s="14">
        <f>L387*1.5</f>
        <v>9150</v>
      </c>
      <c r="M391" s="14">
        <f t="shared" si="92"/>
        <v>0</v>
      </c>
      <c r="N391" s="14">
        <v>0</v>
      </c>
      <c r="O391" s="14">
        <v>0</v>
      </c>
      <c r="P391" s="14">
        <v>0</v>
      </c>
      <c r="Q391" s="14">
        <f t="shared" si="93"/>
        <v>94</v>
      </c>
      <c r="R391" s="14">
        <v>188</v>
      </c>
      <c r="S391" s="14">
        <f t="shared" si="94"/>
        <v>94</v>
      </c>
      <c r="T391" s="14">
        <v>188</v>
      </c>
      <c r="U391" s="22">
        <v>0</v>
      </c>
      <c r="V391" s="14">
        <v>0</v>
      </c>
      <c r="W391" s="14">
        <v>0</v>
      </c>
      <c r="X391" s="14">
        <v>0</v>
      </c>
      <c r="Y391" s="22">
        <v>0</v>
      </c>
      <c r="Z391" s="22">
        <v>0</v>
      </c>
      <c r="AA391" s="22">
        <v>0</v>
      </c>
      <c r="AB391" s="22">
        <v>0</v>
      </c>
      <c r="AC391" s="22">
        <v>0</v>
      </c>
      <c r="AD391" s="22">
        <v>0</v>
      </c>
      <c r="AE391" s="22"/>
      <c r="GR391" s="6"/>
      <c r="GS391" s="6"/>
      <c r="GT391" s="6"/>
      <c r="GU391" s="6"/>
      <c r="GV391" s="6"/>
      <c r="GW391" s="6"/>
      <c r="GX391" s="6"/>
      <c r="GY391" s="6"/>
      <c r="GZ391" s="6"/>
      <c r="HA391" s="6"/>
      <c r="HB391" s="6"/>
      <c r="HC391" s="6"/>
      <c r="HD391" s="6"/>
      <c r="HE391" s="6"/>
      <c r="HF391" s="6"/>
      <c r="HG391" s="6"/>
      <c r="HH391" s="6"/>
      <c r="HI391" s="6"/>
      <c r="HJ391" s="6"/>
      <c r="HK391" s="6"/>
      <c r="HL391" s="6"/>
      <c r="HM391" s="6"/>
      <c r="HN391" s="6"/>
      <c r="HO391" s="6"/>
      <c r="HP391" s="6"/>
    </row>
    <row r="392" spans="3:224" ht="20.100000000000001" customHeight="1">
      <c r="C392" s="11">
        <v>15511006</v>
      </c>
      <c r="D392" s="14" t="s">
        <v>420</v>
      </c>
      <c r="E392" s="14">
        <v>1140003</v>
      </c>
      <c r="F392" s="14">
        <v>15031</v>
      </c>
      <c r="G392" s="14">
        <v>1</v>
      </c>
      <c r="H392" s="14">
        <v>60</v>
      </c>
      <c r="I392" s="22">
        <v>0.2</v>
      </c>
      <c r="J392" s="23">
        <v>25</v>
      </c>
      <c r="K392" s="14">
        <v>0</v>
      </c>
      <c r="L392" s="14">
        <f>L388*1.5</f>
        <v>10800</v>
      </c>
      <c r="M392" s="14">
        <f t="shared" si="92"/>
        <v>0</v>
      </c>
      <c r="N392" s="14">
        <v>0</v>
      </c>
      <c r="O392" s="14">
        <v>0</v>
      </c>
      <c r="P392" s="14">
        <v>0</v>
      </c>
      <c r="Q392" s="14">
        <f t="shared" si="93"/>
        <v>113</v>
      </c>
      <c r="R392" s="14">
        <v>225</v>
      </c>
      <c r="S392" s="14">
        <f t="shared" si="94"/>
        <v>113</v>
      </c>
      <c r="T392" s="14">
        <v>225</v>
      </c>
      <c r="U392" s="22">
        <v>0</v>
      </c>
      <c r="V392" s="14">
        <v>0</v>
      </c>
      <c r="W392" s="14">
        <v>0</v>
      </c>
      <c r="X392" s="14">
        <v>0</v>
      </c>
      <c r="Y392" s="22">
        <v>0</v>
      </c>
      <c r="Z392" s="22">
        <v>0</v>
      </c>
      <c r="AA392" s="22">
        <v>0</v>
      </c>
      <c r="AB392" s="22">
        <v>0</v>
      </c>
      <c r="AC392" s="22">
        <v>0</v>
      </c>
      <c r="AD392" s="22">
        <v>0</v>
      </c>
      <c r="AE392" s="22"/>
      <c r="GR392" s="6"/>
      <c r="GS392" s="6"/>
      <c r="GT392" s="6"/>
      <c r="GU392" s="6"/>
      <c r="GV392" s="6"/>
      <c r="GW392" s="6"/>
      <c r="GX392" s="6"/>
      <c r="GY392" s="6"/>
      <c r="GZ392" s="6"/>
      <c r="HA392" s="6"/>
      <c r="HB392" s="6"/>
      <c r="HC392" s="6"/>
      <c r="HD392" s="6"/>
      <c r="HE392" s="6"/>
      <c r="HF392" s="6"/>
      <c r="HG392" s="6"/>
      <c r="HH392" s="6"/>
      <c r="HI392" s="6"/>
      <c r="HJ392" s="6"/>
      <c r="HK392" s="6"/>
      <c r="HL392" s="6"/>
      <c r="HM392" s="6"/>
      <c r="HN392" s="6"/>
      <c r="HO392" s="6"/>
      <c r="HP392" s="6"/>
    </row>
    <row r="393" spans="3:224" ht="20.100000000000001" customHeight="1">
      <c r="C393" s="11">
        <v>15511011</v>
      </c>
      <c r="D393" s="37" t="s">
        <v>421</v>
      </c>
      <c r="E393" s="14">
        <v>1140003</v>
      </c>
      <c r="F393" s="14">
        <v>15011</v>
      </c>
      <c r="G393" s="14">
        <v>1</v>
      </c>
      <c r="H393" s="14">
        <v>60</v>
      </c>
      <c r="I393" s="22">
        <v>0.2</v>
      </c>
      <c r="J393" s="23">
        <v>25</v>
      </c>
      <c r="K393" s="14">
        <v>0</v>
      </c>
      <c r="L393" s="14">
        <v>8280</v>
      </c>
      <c r="M393" s="14">
        <v>0</v>
      </c>
      <c r="N393" s="14">
        <v>0</v>
      </c>
      <c r="O393" s="14">
        <v>0</v>
      </c>
      <c r="P393" s="14">
        <v>0</v>
      </c>
      <c r="Q393" s="14">
        <v>100</v>
      </c>
      <c r="R393" s="14">
        <v>200</v>
      </c>
      <c r="S393" s="14">
        <v>100</v>
      </c>
      <c r="T393" s="14">
        <v>200</v>
      </c>
      <c r="U393" s="22">
        <v>0</v>
      </c>
      <c r="V393" s="14">
        <v>0</v>
      </c>
      <c r="W393" s="14">
        <v>0</v>
      </c>
      <c r="X393" s="14">
        <v>0</v>
      </c>
      <c r="Y393" s="22">
        <v>0</v>
      </c>
      <c r="Z393" s="22">
        <v>0</v>
      </c>
      <c r="AA393" s="22">
        <v>0</v>
      </c>
      <c r="AB393" s="22">
        <v>0</v>
      </c>
      <c r="AC393" s="22">
        <v>0</v>
      </c>
      <c r="AD393" s="22">
        <v>0</v>
      </c>
      <c r="AE393" s="22"/>
      <c r="GR393" s="6"/>
      <c r="GS393" s="6"/>
      <c r="GT393" s="6"/>
      <c r="GU393" s="6"/>
      <c r="GV393" s="6"/>
      <c r="GW393" s="6"/>
      <c r="GX393" s="6"/>
      <c r="GY393" s="6"/>
      <c r="GZ393" s="6"/>
      <c r="HA393" s="6"/>
      <c r="HB393" s="6"/>
      <c r="HC393" s="6"/>
      <c r="HD393" s="6"/>
      <c r="HE393" s="6"/>
      <c r="HF393" s="6"/>
      <c r="HG393" s="6"/>
      <c r="HH393" s="6"/>
      <c r="HI393" s="6"/>
      <c r="HJ393" s="6"/>
      <c r="HK393" s="6"/>
      <c r="HL393" s="6"/>
      <c r="HM393" s="6"/>
      <c r="HN393" s="6"/>
      <c r="HO393" s="6"/>
      <c r="HP393" s="6"/>
    </row>
    <row r="394" spans="3:224" ht="20.100000000000001" customHeight="1">
      <c r="C394" s="11">
        <v>15511012</v>
      </c>
      <c r="D394" s="37" t="s">
        <v>422</v>
      </c>
      <c r="E394" s="14">
        <v>1140003</v>
      </c>
      <c r="F394" s="14">
        <v>15021</v>
      </c>
      <c r="G394" s="14">
        <v>1</v>
      </c>
      <c r="H394" s="14">
        <v>60</v>
      </c>
      <c r="I394" s="22">
        <v>0.2</v>
      </c>
      <c r="J394" s="23">
        <v>25</v>
      </c>
      <c r="K394" s="14">
        <v>0</v>
      </c>
      <c r="L394" s="14">
        <v>4140</v>
      </c>
      <c r="M394" s="14">
        <v>0</v>
      </c>
      <c r="N394" s="14">
        <v>0</v>
      </c>
      <c r="O394" s="14">
        <v>0</v>
      </c>
      <c r="P394" s="14">
        <v>0</v>
      </c>
      <c r="Q394" s="14">
        <v>76</v>
      </c>
      <c r="R394" s="14">
        <v>148</v>
      </c>
      <c r="S394" s="14">
        <v>76</v>
      </c>
      <c r="T394" s="14">
        <v>148</v>
      </c>
      <c r="U394" s="22">
        <v>0</v>
      </c>
      <c r="V394" s="14">
        <v>0</v>
      </c>
      <c r="W394" s="14">
        <v>0</v>
      </c>
      <c r="X394" s="14">
        <v>0</v>
      </c>
      <c r="Y394" s="22">
        <v>0</v>
      </c>
      <c r="Z394" s="22">
        <v>0</v>
      </c>
      <c r="AA394" s="22">
        <v>0</v>
      </c>
      <c r="AB394" s="22">
        <v>100402</v>
      </c>
      <c r="AC394" s="22">
        <v>500</v>
      </c>
      <c r="AD394" s="22">
        <v>1</v>
      </c>
      <c r="AE394" s="22"/>
      <c r="GR394" s="6"/>
      <c r="GS394" s="6"/>
      <c r="GT394" s="6"/>
      <c r="GU394" s="6"/>
      <c r="GV394" s="6"/>
      <c r="GW394" s="6"/>
      <c r="GX394" s="6"/>
      <c r="GY394" s="6"/>
      <c r="GZ394" s="6"/>
      <c r="HA394" s="6"/>
      <c r="HB394" s="6"/>
      <c r="HC394" s="6"/>
      <c r="HD394" s="6"/>
      <c r="HE394" s="6"/>
      <c r="HF394" s="6"/>
      <c r="HG394" s="6"/>
      <c r="HH394" s="6"/>
      <c r="HI394" s="6"/>
      <c r="HJ394" s="6"/>
      <c r="HK394" s="6"/>
      <c r="HL394" s="6"/>
      <c r="HM394" s="6"/>
      <c r="HN394" s="6"/>
      <c r="HO394" s="6"/>
      <c r="HP394" s="6"/>
    </row>
    <row r="395" spans="3:224" ht="20.100000000000001" customHeight="1">
      <c r="C395" s="11">
        <v>15511013</v>
      </c>
      <c r="D395" s="37" t="s">
        <v>423</v>
      </c>
      <c r="E395" s="14">
        <v>1140003</v>
      </c>
      <c r="F395" s="14">
        <v>15031</v>
      </c>
      <c r="G395" s="14">
        <v>1</v>
      </c>
      <c r="H395" s="14">
        <v>60</v>
      </c>
      <c r="I395" s="22">
        <v>0.2</v>
      </c>
      <c r="J395" s="23">
        <v>25</v>
      </c>
      <c r="K395" s="14">
        <v>0</v>
      </c>
      <c r="L395" s="14">
        <f>L393*1.5</f>
        <v>12420</v>
      </c>
      <c r="M395" s="14">
        <v>0</v>
      </c>
      <c r="N395" s="14">
        <v>0</v>
      </c>
      <c r="O395" s="14">
        <v>0</v>
      </c>
      <c r="P395" s="14">
        <v>0</v>
      </c>
      <c r="Q395" s="14">
        <v>120</v>
      </c>
      <c r="R395" s="14">
        <v>245</v>
      </c>
      <c r="S395" s="14">
        <v>120</v>
      </c>
      <c r="T395" s="14">
        <v>245</v>
      </c>
      <c r="U395" s="22">
        <v>0</v>
      </c>
      <c r="V395" s="14">
        <v>0</v>
      </c>
      <c r="W395" s="14">
        <v>0</v>
      </c>
      <c r="X395" s="14">
        <v>0</v>
      </c>
      <c r="Y395" s="22">
        <v>0</v>
      </c>
      <c r="Z395" s="22">
        <v>0</v>
      </c>
      <c r="AA395" s="22">
        <v>0</v>
      </c>
      <c r="AB395" s="22">
        <v>200303</v>
      </c>
      <c r="AC395" s="22">
        <v>500</v>
      </c>
      <c r="AD395" s="22">
        <v>1</v>
      </c>
      <c r="AE395" s="22"/>
      <c r="GR395" s="6"/>
      <c r="GS395" s="6"/>
      <c r="GT395" s="6"/>
      <c r="GU395" s="6"/>
      <c r="GV395" s="6"/>
      <c r="GW395" s="6"/>
      <c r="GX395" s="6"/>
      <c r="GY395" s="6"/>
      <c r="GZ395" s="6"/>
      <c r="HA395" s="6"/>
      <c r="HB395" s="6"/>
      <c r="HC395" s="6"/>
      <c r="HD395" s="6"/>
      <c r="HE395" s="6"/>
      <c r="HF395" s="6"/>
      <c r="HG395" s="6"/>
      <c r="HH395" s="6"/>
      <c r="HI395" s="6"/>
      <c r="HJ395" s="6"/>
      <c r="HK395" s="6"/>
      <c r="HL395" s="6"/>
      <c r="HM395" s="6"/>
      <c r="HN395" s="6"/>
      <c r="HO395" s="6"/>
      <c r="HP395" s="6"/>
    </row>
    <row r="396" spans="3:224" ht="20.100000000000001" customHeight="1">
      <c r="C396" s="11">
        <v>15601001</v>
      </c>
      <c r="D396" s="14" t="s">
        <v>363</v>
      </c>
      <c r="E396" s="14">
        <v>1140003</v>
      </c>
      <c r="F396" s="14">
        <v>16011</v>
      </c>
      <c r="G396" s="14">
        <v>1</v>
      </c>
      <c r="H396" s="14">
        <v>60</v>
      </c>
      <c r="I396" s="22">
        <v>0.2</v>
      </c>
      <c r="J396" s="23">
        <v>25</v>
      </c>
      <c r="K396" s="14">
        <v>0</v>
      </c>
      <c r="L396" s="14">
        <v>0</v>
      </c>
      <c r="M396" s="14">
        <v>70</v>
      </c>
      <c r="N396" s="14">
        <v>140</v>
      </c>
      <c r="O396" s="14">
        <v>0</v>
      </c>
      <c r="P396" s="14">
        <v>0</v>
      </c>
      <c r="Q396" s="14">
        <v>40</v>
      </c>
      <c r="R396" s="14">
        <v>90</v>
      </c>
      <c r="S396" s="14">
        <v>40</v>
      </c>
      <c r="T396" s="14">
        <v>90</v>
      </c>
      <c r="U396" s="22">
        <v>0</v>
      </c>
      <c r="V396" s="14">
        <v>0</v>
      </c>
      <c r="W396" s="14">
        <v>0</v>
      </c>
      <c r="X396" s="14">
        <v>0</v>
      </c>
      <c r="Y396" s="22">
        <v>0</v>
      </c>
      <c r="Z396" s="22">
        <v>0</v>
      </c>
      <c r="AA396" s="22">
        <v>0</v>
      </c>
      <c r="AB396" s="22">
        <v>200503</v>
      </c>
      <c r="AC396" s="22">
        <v>100</v>
      </c>
      <c r="AD396" s="22">
        <v>1</v>
      </c>
      <c r="AE396" s="22"/>
      <c r="GR396" s="6"/>
      <c r="GS396" s="6"/>
      <c r="GT396" s="6"/>
      <c r="GU396" s="6"/>
      <c r="GV396" s="6"/>
      <c r="GW396" s="6"/>
      <c r="GX396" s="6"/>
      <c r="GY396" s="6"/>
      <c r="GZ396" s="6"/>
      <c r="HA396" s="6"/>
      <c r="HB396" s="6"/>
      <c r="HC396" s="6"/>
      <c r="HD396" s="6"/>
      <c r="HE396" s="6"/>
      <c r="HF396" s="6"/>
      <c r="HG396" s="6"/>
      <c r="HH396" s="6"/>
      <c r="HI396" s="6"/>
      <c r="HJ396" s="6"/>
      <c r="HK396" s="6"/>
      <c r="HL396" s="6"/>
      <c r="HM396" s="6"/>
      <c r="HN396" s="6"/>
      <c r="HO396" s="6"/>
      <c r="HP396" s="6"/>
    </row>
    <row r="397" spans="3:224" ht="20.100000000000001" customHeight="1">
      <c r="C397" s="11">
        <v>15601002</v>
      </c>
      <c r="D397" s="14" t="s">
        <v>365</v>
      </c>
      <c r="E397" s="14">
        <v>1140003</v>
      </c>
      <c r="F397" s="14">
        <v>16021</v>
      </c>
      <c r="G397" s="14">
        <v>1</v>
      </c>
      <c r="H397" s="14">
        <v>60</v>
      </c>
      <c r="I397" s="22">
        <v>0.2</v>
      </c>
      <c r="J397" s="23">
        <v>25</v>
      </c>
      <c r="K397" s="14">
        <v>0</v>
      </c>
      <c r="L397" s="14">
        <v>0</v>
      </c>
      <c r="M397" s="14">
        <v>100</v>
      </c>
      <c r="N397" s="14">
        <v>190</v>
      </c>
      <c r="O397" s="14">
        <v>0</v>
      </c>
      <c r="P397" s="14">
        <v>0</v>
      </c>
      <c r="Q397" s="14">
        <v>30</v>
      </c>
      <c r="R397" s="14">
        <v>60</v>
      </c>
      <c r="S397" s="14">
        <v>30</v>
      </c>
      <c r="T397" s="14">
        <v>60</v>
      </c>
      <c r="U397" s="22">
        <v>0</v>
      </c>
      <c r="V397" s="14">
        <v>0</v>
      </c>
      <c r="W397" s="14">
        <v>0</v>
      </c>
      <c r="X397" s="14">
        <v>0</v>
      </c>
      <c r="Y397" s="22">
        <v>0</v>
      </c>
      <c r="Z397" s="22">
        <v>0</v>
      </c>
      <c r="AA397" s="22">
        <v>0</v>
      </c>
      <c r="AB397" s="22">
        <v>200603</v>
      </c>
      <c r="AC397" s="22">
        <v>100</v>
      </c>
      <c r="AD397" s="22">
        <v>1</v>
      </c>
      <c r="AE397" s="22"/>
      <c r="GR397" s="6"/>
      <c r="GS397" s="6"/>
      <c r="GT397" s="6"/>
      <c r="GU397" s="6"/>
      <c r="GV397" s="6"/>
      <c r="GW397" s="6"/>
      <c r="GX397" s="6"/>
      <c r="GY397" s="6"/>
      <c r="GZ397" s="6"/>
      <c r="HA397" s="6"/>
      <c r="HB397" s="6"/>
      <c r="HC397" s="6"/>
      <c r="HD397" s="6"/>
      <c r="HE397" s="6"/>
      <c r="HF397" s="6"/>
      <c r="HG397" s="6"/>
      <c r="HH397" s="6"/>
      <c r="HI397" s="6"/>
      <c r="HJ397" s="6"/>
      <c r="HK397" s="6"/>
      <c r="HL397" s="6"/>
      <c r="HM397" s="6"/>
      <c r="HN397" s="6"/>
      <c r="HO397" s="6"/>
      <c r="HP397" s="6"/>
    </row>
    <row r="398" spans="3:224" ht="20.100000000000001" customHeight="1">
      <c r="C398" s="11">
        <v>15601003</v>
      </c>
      <c r="D398" s="14" t="s">
        <v>367</v>
      </c>
      <c r="E398" s="14">
        <v>1140003</v>
      </c>
      <c r="F398" s="14">
        <v>16031</v>
      </c>
      <c r="G398" s="14">
        <v>1</v>
      </c>
      <c r="H398" s="14">
        <v>60</v>
      </c>
      <c r="I398" s="22">
        <v>0.2</v>
      </c>
      <c r="J398" s="23">
        <v>25</v>
      </c>
      <c r="K398" s="14">
        <v>0</v>
      </c>
      <c r="L398" s="14">
        <v>0</v>
      </c>
      <c r="M398" s="14">
        <v>50</v>
      </c>
      <c r="N398" s="14">
        <v>110</v>
      </c>
      <c r="O398" s="14">
        <v>0</v>
      </c>
      <c r="P398" s="14">
        <v>0</v>
      </c>
      <c r="Q398" s="14">
        <v>50</v>
      </c>
      <c r="R398" s="14">
        <v>110</v>
      </c>
      <c r="S398" s="14">
        <v>50</v>
      </c>
      <c r="T398" s="14">
        <v>110</v>
      </c>
      <c r="U398" s="22">
        <v>0</v>
      </c>
      <c r="V398" s="14">
        <v>0</v>
      </c>
      <c r="W398" s="14">
        <v>0</v>
      </c>
      <c r="X398" s="14">
        <v>0</v>
      </c>
      <c r="Y398" s="22">
        <v>0</v>
      </c>
      <c r="Z398" s="22">
        <v>0</v>
      </c>
      <c r="AA398" s="22">
        <v>0</v>
      </c>
      <c r="AB398" s="22">
        <v>200503</v>
      </c>
      <c r="AC398" s="22">
        <v>100</v>
      </c>
      <c r="AD398" s="22">
        <v>1</v>
      </c>
      <c r="AE398" s="22"/>
      <c r="GR398" s="6"/>
      <c r="GS398" s="6"/>
      <c r="GT398" s="6"/>
      <c r="GU398" s="6"/>
      <c r="GV398" s="6"/>
      <c r="GW398" s="6"/>
      <c r="GX398" s="6"/>
      <c r="GY398" s="6"/>
      <c r="GZ398" s="6"/>
      <c r="HA398" s="6"/>
      <c r="HB398" s="6"/>
      <c r="HC398" s="6"/>
      <c r="HD398" s="6"/>
      <c r="HE398" s="6"/>
      <c r="HF398" s="6"/>
      <c r="HG398" s="6"/>
      <c r="HH398" s="6"/>
      <c r="HI398" s="6"/>
      <c r="HJ398" s="6"/>
      <c r="HK398" s="6"/>
      <c r="HL398" s="6"/>
      <c r="HM398" s="6"/>
      <c r="HN398" s="6"/>
      <c r="HO398" s="6"/>
      <c r="HP398" s="6"/>
    </row>
    <row r="399" spans="3:224" ht="20.100000000000001" customHeight="1">
      <c r="C399" s="11">
        <v>15602001</v>
      </c>
      <c r="D399" s="14" t="s">
        <v>369</v>
      </c>
      <c r="E399" s="14">
        <v>1140003</v>
      </c>
      <c r="F399" s="14">
        <v>16011</v>
      </c>
      <c r="G399" s="14">
        <v>1</v>
      </c>
      <c r="H399" s="14">
        <v>60</v>
      </c>
      <c r="I399" s="22">
        <v>0.2</v>
      </c>
      <c r="J399" s="23">
        <v>25</v>
      </c>
      <c r="K399" s="14">
        <v>0</v>
      </c>
      <c r="L399" s="14">
        <v>0</v>
      </c>
      <c r="M399" s="14">
        <v>90</v>
      </c>
      <c r="N399" s="14">
        <v>190</v>
      </c>
      <c r="O399" s="14">
        <v>0</v>
      </c>
      <c r="P399" s="14">
        <v>0</v>
      </c>
      <c r="Q399" s="14">
        <v>0</v>
      </c>
      <c r="R399" s="14">
        <v>0</v>
      </c>
      <c r="S399" s="14">
        <v>130</v>
      </c>
      <c r="T399" s="14">
        <v>260</v>
      </c>
      <c r="U399" s="22">
        <v>0</v>
      </c>
      <c r="V399" s="14">
        <v>0</v>
      </c>
      <c r="W399" s="14">
        <v>0</v>
      </c>
      <c r="X399" s="14">
        <v>0</v>
      </c>
      <c r="Y399" s="22">
        <v>0</v>
      </c>
      <c r="Z399" s="22">
        <v>0</v>
      </c>
      <c r="AA399" s="22">
        <v>0</v>
      </c>
      <c r="AB399" s="22">
        <v>202303</v>
      </c>
      <c r="AC399" s="22">
        <v>100</v>
      </c>
      <c r="AD399" s="22">
        <v>1</v>
      </c>
      <c r="AE399" s="22"/>
      <c r="GR399" s="6"/>
      <c r="GS399" s="6"/>
      <c r="GT399" s="6"/>
      <c r="GU399" s="6"/>
      <c r="GV399" s="6"/>
      <c r="GW399" s="6"/>
      <c r="GX399" s="6"/>
      <c r="GY399" s="6"/>
      <c r="GZ399" s="6"/>
      <c r="HA399" s="6"/>
      <c r="HB399" s="6"/>
      <c r="HC399" s="6"/>
      <c r="HD399" s="6"/>
      <c r="HE399" s="6"/>
      <c r="HF399" s="6"/>
      <c r="HG399" s="6"/>
      <c r="HH399" s="6"/>
      <c r="HI399" s="6"/>
      <c r="HJ399" s="6"/>
      <c r="HK399" s="6"/>
      <c r="HL399" s="6"/>
      <c r="HM399" s="6"/>
      <c r="HN399" s="6"/>
      <c r="HO399" s="6"/>
      <c r="HP399" s="6"/>
    </row>
    <row r="400" spans="3:224" ht="20.100000000000001" customHeight="1">
      <c r="C400" s="11">
        <v>15602002</v>
      </c>
      <c r="D400" s="14" t="s">
        <v>371</v>
      </c>
      <c r="E400" s="14">
        <v>1140003</v>
      </c>
      <c r="F400" s="14">
        <v>16021</v>
      </c>
      <c r="G400" s="14">
        <v>1</v>
      </c>
      <c r="H400" s="14">
        <v>60</v>
      </c>
      <c r="I400" s="22">
        <v>0.2</v>
      </c>
      <c r="J400" s="23">
        <v>25</v>
      </c>
      <c r="K400" s="14">
        <v>0</v>
      </c>
      <c r="L400" s="14">
        <v>0</v>
      </c>
      <c r="M400" s="14">
        <v>130</v>
      </c>
      <c r="N400" s="14">
        <v>250</v>
      </c>
      <c r="O400" s="14">
        <v>0</v>
      </c>
      <c r="P400" s="14">
        <v>0</v>
      </c>
      <c r="Q400" s="14">
        <v>0</v>
      </c>
      <c r="R400" s="14">
        <v>0</v>
      </c>
      <c r="S400" s="14">
        <v>100</v>
      </c>
      <c r="T400" s="14">
        <v>190</v>
      </c>
      <c r="U400" s="22">
        <v>0</v>
      </c>
      <c r="V400" s="14">
        <v>0</v>
      </c>
      <c r="W400" s="14">
        <v>0</v>
      </c>
      <c r="X400" s="14">
        <v>0</v>
      </c>
      <c r="Y400" s="22">
        <v>0</v>
      </c>
      <c r="Z400" s="22">
        <v>0</v>
      </c>
      <c r="AA400" s="22">
        <v>0</v>
      </c>
      <c r="AB400" s="22">
        <v>202303</v>
      </c>
      <c r="AC400" s="22">
        <v>100</v>
      </c>
      <c r="AD400" s="22">
        <v>1</v>
      </c>
      <c r="AE400" s="22"/>
      <c r="GR400" s="6"/>
      <c r="GS400" s="6"/>
      <c r="GT400" s="6"/>
      <c r="GU400" s="6"/>
      <c r="GV400" s="6"/>
      <c r="GW400" s="6"/>
      <c r="GX400" s="6"/>
      <c r="GY400" s="6"/>
      <c r="GZ400" s="6"/>
      <c r="HA400" s="6"/>
      <c r="HB400" s="6"/>
      <c r="HC400" s="6"/>
      <c r="HD400" s="6"/>
      <c r="HE400" s="6"/>
      <c r="HF400" s="6"/>
      <c r="HG400" s="6"/>
      <c r="HH400" s="6"/>
      <c r="HI400" s="6"/>
      <c r="HJ400" s="6"/>
      <c r="HK400" s="6"/>
      <c r="HL400" s="6"/>
      <c r="HM400" s="6"/>
      <c r="HN400" s="6"/>
      <c r="HO400" s="6"/>
      <c r="HP400" s="6"/>
    </row>
    <row r="401" spans="3:224" ht="20.100000000000001" customHeight="1">
      <c r="C401" s="11">
        <v>15602003</v>
      </c>
      <c r="D401" s="14" t="s">
        <v>373</v>
      </c>
      <c r="E401" s="14">
        <v>1140003</v>
      </c>
      <c r="F401" s="14">
        <v>16031</v>
      </c>
      <c r="G401" s="14">
        <v>1</v>
      </c>
      <c r="H401" s="14">
        <v>60</v>
      </c>
      <c r="I401" s="22">
        <v>0.2</v>
      </c>
      <c r="J401" s="23">
        <v>25</v>
      </c>
      <c r="K401" s="14">
        <v>0</v>
      </c>
      <c r="L401" s="14">
        <v>0</v>
      </c>
      <c r="M401" s="14">
        <v>70</v>
      </c>
      <c r="N401" s="14">
        <v>140</v>
      </c>
      <c r="O401" s="14">
        <v>0</v>
      </c>
      <c r="P401" s="14">
        <v>0</v>
      </c>
      <c r="Q401" s="14">
        <v>0</v>
      </c>
      <c r="R401" s="14">
        <v>0</v>
      </c>
      <c r="S401" s="14">
        <v>160</v>
      </c>
      <c r="T401" s="14">
        <v>320</v>
      </c>
      <c r="U401" s="22">
        <v>0</v>
      </c>
      <c r="V401" s="14">
        <v>0</v>
      </c>
      <c r="W401" s="14">
        <v>0</v>
      </c>
      <c r="X401" s="14">
        <v>0</v>
      </c>
      <c r="Y401" s="22">
        <v>0</v>
      </c>
      <c r="Z401" s="22">
        <v>0</v>
      </c>
      <c r="AA401" s="22">
        <v>0</v>
      </c>
      <c r="AB401" s="22">
        <v>202303</v>
      </c>
      <c r="AC401" s="22">
        <v>100</v>
      </c>
      <c r="AD401" s="22">
        <v>1</v>
      </c>
      <c r="AE401" s="22"/>
      <c r="GR401" s="6"/>
      <c r="GS401" s="6"/>
      <c r="GT401" s="6"/>
      <c r="GU401" s="6"/>
      <c r="GV401" s="6"/>
      <c r="GW401" s="6"/>
      <c r="GX401" s="6"/>
      <c r="GY401" s="6"/>
      <c r="GZ401" s="6"/>
      <c r="HA401" s="6"/>
      <c r="HB401" s="6"/>
      <c r="HC401" s="6"/>
      <c r="HD401" s="6"/>
      <c r="HE401" s="6"/>
      <c r="HF401" s="6"/>
      <c r="HG401" s="6"/>
      <c r="HH401" s="6"/>
      <c r="HI401" s="6"/>
      <c r="HJ401" s="6"/>
      <c r="HK401" s="6"/>
      <c r="HL401" s="6"/>
      <c r="HM401" s="6"/>
      <c r="HN401" s="6"/>
      <c r="HO401" s="6"/>
      <c r="HP401" s="6"/>
    </row>
    <row r="402" spans="3:224" ht="20.100000000000001" customHeight="1">
      <c r="C402" s="11">
        <v>15603001</v>
      </c>
      <c r="D402" s="14" t="s">
        <v>375</v>
      </c>
      <c r="E402" s="14">
        <v>1140003</v>
      </c>
      <c r="F402" s="14">
        <v>16011</v>
      </c>
      <c r="G402" s="14">
        <v>1</v>
      </c>
      <c r="H402" s="14">
        <v>60</v>
      </c>
      <c r="I402" s="22">
        <v>0.2</v>
      </c>
      <c r="J402" s="23">
        <v>25</v>
      </c>
      <c r="K402" s="14">
        <v>0</v>
      </c>
      <c r="L402" s="14">
        <v>3020</v>
      </c>
      <c r="M402" s="14">
        <v>50</v>
      </c>
      <c r="N402" s="14">
        <v>100</v>
      </c>
      <c r="O402" s="14">
        <v>0</v>
      </c>
      <c r="P402" s="14">
        <v>0</v>
      </c>
      <c r="Q402" s="14">
        <v>90</v>
      </c>
      <c r="R402" s="14">
        <v>170</v>
      </c>
      <c r="S402" s="14">
        <v>0</v>
      </c>
      <c r="T402" s="14">
        <v>0</v>
      </c>
      <c r="U402" s="22">
        <v>0</v>
      </c>
      <c r="V402" s="14">
        <v>0</v>
      </c>
      <c r="W402" s="14">
        <v>0</v>
      </c>
      <c r="X402" s="14">
        <v>0</v>
      </c>
      <c r="Y402" s="22">
        <v>0</v>
      </c>
      <c r="Z402" s="22">
        <v>0</v>
      </c>
      <c r="AA402" s="22">
        <v>0</v>
      </c>
      <c r="AB402" s="22">
        <v>200403</v>
      </c>
      <c r="AC402" s="22">
        <v>100</v>
      </c>
      <c r="AD402" s="22">
        <v>1</v>
      </c>
      <c r="AE402" s="22"/>
      <c r="GR402" s="6"/>
      <c r="GS402" s="6"/>
      <c r="GT402" s="6"/>
      <c r="GU402" s="6"/>
      <c r="GV402" s="6"/>
      <c r="GW402" s="6"/>
      <c r="GX402" s="6"/>
      <c r="GY402" s="6"/>
      <c r="GZ402" s="6"/>
      <c r="HA402" s="6"/>
      <c r="HB402" s="6"/>
      <c r="HC402" s="6"/>
      <c r="HD402" s="6"/>
      <c r="HE402" s="6"/>
      <c r="HF402" s="6"/>
      <c r="HG402" s="6"/>
      <c r="HH402" s="6"/>
      <c r="HI402" s="6"/>
      <c r="HJ402" s="6"/>
      <c r="HK402" s="6"/>
      <c r="HL402" s="6"/>
      <c r="HM402" s="6"/>
      <c r="HN402" s="6"/>
      <c r="HO402" s="6"/>
      <c r="HP402" s="6"/>
    </row>
    <row r="403" spans="3:224" ht="20.100000000000001" customHeight="1">
      <c r="C403" s="11">
        <v>15603002</v>
      </c>
      <c r="D403" s="14" t="s">
        <v>377</v>
      </c>
      <c r="E403" s="14">
        <v>1140003</v>
      </c>
      <c r="F403" s="14">
        <v>16021</v>
      </c>
      <c r="G403" s="14">
        <v>1</v>
      </c>
      <c r="H403" s="14">
        <v>60</v>
      </c>
      <c r="I403" s="22">
        <v>0.2</v>
      </c>
      <c r="J403" s="23">
        <v>25</v>
      </c>
      <c r="K403" s="14">
        <v>0</v>
      </c>
      <c r="L403" s="14">
        <v>1510</v>
      </c>
      <c r="M403" s="14">
        <v>70</v>
      </c>
      <c r="N403" s="14">
        <v>140</v>
      </c>
      <c r="O403" s="14">
        <v>0</v>
      </c>
      <c r="P403" s="14">
        <v>0</v>
      </c>
      <c r="Q403" s="14">
        <v>60</v>
      </c>
      <c r="R403" s="14">
        <v>130</v>
      </c>
      <c r="S403" s="14">
        <v>0</v>
      </c>
      <c r="T403" s="14">
        <v>0</v>
      </c>
      <c r="U403" s="22">
        <v>0</v>
      </c>
      <c r="V403" s="14">
        <v>0</v>
      </c>
      <c r="W403" s="14">
        <v>0</v>
      </c>
      <c r="X403" s="14">
        <v>0</v>
      </c>
      <c r="Y403" s="22">
        <v>0</v>
      </c>
      <c r="Z403" s="22">
        <v>0</v>
      </c>
      <c r="AA403" s="22">
        <v>0</v>
      </c>
      <c r="AB403" s="22">
        <v>200403</v>
      </c>
      <c r="AC403" s="22">
        <v>100</v>
      </c>
      <c r="AD403" s="22">
        <v>1</v>
      </c>
      <c r="AE403" s="22"/>
      <c r="GR403" s="6"/>
      <c r="GS403" s="6"/>
      <c r="GT403" s="6"/>
      <c r="GU403" s="6"/>
      <c r="GV403" s="6"/>
      <c r="GW403" s="6"/>
      <c r="GX403" s="6"/>
      <c r="GY403" s="6"/>
      <c r="GZ403" s="6"/>
      <c r="HA403" s="6"/>
      <c r="HB403" s="6"/>
      <c r="HC403" s="6"/>
      <c r="HD403" s="6"/>
      <c r="HE403" s="6"/>
      <c r="HF403" s="6"/>
      <c r="HG403" s="6"/>
      <c r="HH403" s="6"/>
      <c r="HI403" s="6"/>
      <c r="HJ403" s="6"/>
      <c r="HK403" s="6"/>
      <c r="HL403" s="6"/>
      <c r="HM403" s="6"/>
      <c r="HN403" s="6"/>
      <c r="HO403" s="6"/>
      <c r="HP403" s="6"/>
    </row>
    <row r="404" spans="3:224" ht="20.100000000000001" customHeight="1">
      <c r="C404" s="11">
        <v>15603003</v>
      </c>
      <c r="D404" s="14" t="s">
        <v>379</v>
      </c>
      <c r="E404" s="14">
        <v>1140003</v>
      </c>
      <c r="F404" s="14">
        <v>16031</v>
      </c>
      <c r="G404" s="14">
        <v>1</v>
      </c>
      <c r="H404" s="14">
        <v>60</v>
      </c>
      <c r="I404" s="22">
        <v>0.2</v>
      </c>
      <c r="J404" s="23">
        <v>25</v>
      </c>
      <c r="K404" s="14">
        <v>0</v>
      </c>
      <c r="L404" s="14">
        <v>4540</v>
      </c>
      <c r="M404" s="14">
        <v>40</v>
      </c>
      <c r="N404" s="14">
        <v>80</v>
      </c>
      <c r="O404" s="14">
        <v>0</v>
      </c>
      <c r="P404" s="14">
        <v>0</v>
      </c>
      <c r="Q404" s="14">
        <v>110</v>
      </c>
      <c r="R404" s="14">
        <v>220</v>
      </c>
      <c r="S404" s="14">
        <v>0</v>
      </c>
      <c r="T404" s="14">
        <v>0</v>
      </c>
      <c r="U404" s="22">
        <v>0</v>
      </c>
      <c r="V404" s="14">
        <v>0</v>
      </c>
      <c r="W404" s="14">
        <v>0</v>
      </c>
      <c r="X404" s="14">
        <v>0</v>
      </c>
      <c r="Y404" s="22">
        <v>0</v>
      </c>
      <c r="Z404" s="22">
        <v>0</v>
      </c>
      <c r="AA404" s="22">
        <v>0</v>
      </c>
      <c r="AB404" s="22">
        <v>200403</v>
      </c>
      <c r="AC404" s="22">
        <v>100</v>
      </c>
      <c r="AD404" s="22">
        <v>1</v>
      </c>
      <c r="AE404" s="22"/>
      <c r="GR404" s="6"/>
      <c r="GS404" s="6"/>
      <c r="GT404" s="6"/>
      <c r="GU404" s="6"/>
      <c r="GV404" s="6"/>
      <c r="GW404" s="6"/>
      <c r="GX404" s="6"/>
      <c r="GY404" s="6"/>
      <c r="GZ404" s="6"/>
      <c r="HA404" s="6"/>
      <c r="HB404" s="6"/>
      <c r="HC404" s="6"/>
      <c r="HD404" s="6"/>
      <c r="HE404" s="6"/>
      <c r="HF404" s="6"/>
      <c r="HG404" s="6"/>
      <c r="HH404" s="6"/>
      <c r="HI404" s="6"/>
      <c r="HJ404" s="6"/>
      <c r="HK404" s="6"/>
      <c r="HL404" s="6"/>
      <c r="HM404" s="6"/>
      <c r="HN404" s="6"/>
      <c r="HO404" s="6"/>
      <c r="HP404" s="6"/>
    </row>
    <row r="405" spans="3:224" ht="20.100000000000001" customHeight="1">
      <c r="C405" s="11">
        <v>15604001</v>
      </c>
      <c r="D405" s="14" t="s">
        <v>382</v>
      </c>
      <c r="E405" s="14">
        <v>1140003</v>
      </c>
      <c r="F405" s="14">
        <v>16011</v>
      </c>
      <c r="G405" s="14">
        <v>1</v>
      </c>
      <c r="H405" s="14">
        <v>60</v>
      </c>
      <c r="I405" s="22">
        <v>0.2</v>
      </c>
      <c r="J405" s="23">
        <v>25</v>
      </c>
      <c r="K405" s="14">
        <v>0</v>
      </c>
      <c r="L405" s="14">
        <v>0</v>
      </c>
      <c r="M405" s="14">
        <v>80</v>
      </c>
      <c r="N405" s="14">
        <v>160</v>
      </c>
      <c r="O405" s="14">
        <v>0</v>
      </c>
      <c r="P405" s="14">
        <v>0</v>
      </c>
      <c r="Q405" s="14">
        <v>90</v>
      </c>
      <c r="R405" s="14">
        <v>170</v>
      </c>
      <c r="S405" s="14">
        <v>90</v>
      </c>
      <c r="T405" s="14">
        <v>170</v>
      </c>
      <c r="U405" s="22">
        <v>0</v>
      </c>
      <c r="V405" s="14">
        <v>0</v>
      </c>
      <c r="W405" s="14">
        <v>0</v>
      </c>
      <c r="X405" s="14">
        <v>0</v>
      </c>
      <c r="Y405" s="22">
        <v>0</v>
      </c>
      <c r="Z405" s="22">
        <v>0</v>
      </c>
      <c r="AA405" s="22">
        <v>0</v>
      </c>
      <c r="AB405" s="22">
        <v>202203</v>
      </c>
      <c r="AC405" s="22">
        <v>100</v>
      </c>
      <c r="AD405" s="22">
        <v>1</v>
      </c>
      <c r="AE405" s="22"/>
      <c r="GR405" s="6"/>
      <c r="GS405" s="6"/>
      <c r="GT405" s="6"/>
      <c r="GU405" s="6"/>
      <c r="GV405" s="6"/>
      <c r="GW405" s="6"/>
      <c r="GX405" s="6"/>
      <c r="GY405" s="6"/>
      <c r="GZ405" s="6"/>
      <c r="HA405" s="6"/>
      <c r="HB405" s="6"/>
      <c r="HC405" s="6"/>
      <c r="HD405" s="6"/>
      <c r="HE405" s="6"/>
      <c r="HF405" s="6"/>
      <c r="HG405" s="6"/>
      <c r="HH405" s="6"/>
      <c r="HI405" s="6"/>
      <c r="HJ405" s="6"/>
      <c r="HK405" s="6"/>
      <c r="HL405" s="6"/>
      <c r="HM405" s="6"/>
      <c r="HN405" s="6"/>
      <c r="HO405" s="6"/>
      <c r="HP405" s="6"/>
    </row>
    <row r="406" spans="3:224" ht="20.100000000000001" customHeight="1">
      <c r="C406" s="11">
        <v>15604002</v>
      </c>
      <c r="D406" s="14" t="s">
        <v>384</v>
      </c>
      <c r="E406" s="14">
        <v>1140003</v>
      </c>
      <c r="F406" s="14">
        <v>16021</v>
      </c>
      <c r="G406" s="14">
        <v>1</v>
      </c>
      <c r="H406" s="14">
        <v>60</v>
      </c>
      <c r="I406" s="22">
        <v>0.2</v>
      </c>
      <c r="J406" s="23">
        <v>25</v>
      </c>
      <c r="K406" s="14">
        <v>0</v>
      </c>
      <c r="L406" s="14">
        <v>0</v>
      </c>
      <c r="M406" s="14">
        <v>110</v>
      </c>
      <c r="N406" s="14">
        <v>210</v>
      </c>
      <c r="O406" s="14">
        <v>0</v>
      </c>
      <c r="P406" s="14">
        <v>0</v>
      </c>
      <c r="Q406" s="14">
        <v>60</v>
      </c>
      <c r="R406" s="14">
        <v>130</v>
      </c>
      <c r="S406" s="14">
        <v>60</v>
      </c>
      <c r="T406" s="14">
        <v>130</v>
      </c>
      <c r="U406" s="22">
        <v>0</v>
      </c>
      <c r="V406" s="14">
        <v>0</v>
      </c>
      <c r="W406" s="14">
        <v>0</v>
      </c>
      <c r="X406" s="14">
        <v>0</v>
      </c>
      <c r="Y406" s="22">
        <v>0</v>
      </c>
      <c r="Z406" s="22">
        <v>0</v>
      </c>
      <c r="AA406" s="22">
        <v>0</v>
      </c>
      <c r="AB406" s="22">
        <v>202303</v>
      </c>
      <c r="AC406" s="22">
        <v>100</v>
      </c>
      <c r="AD406" s="22">
        <v>1</v>
      </c>
      <c r="AE406" s="22"/>
      <c r="GR406" s="6"/>
      <c r="GS406" s="6"/>
      <c r="GT406" s="6"/>
      <c r="GU406" s="6"/>
      <c r="GV406" s="6"/>
      <c r="GW406" s="6"/>
      <c r="GX406" s="6"/>
      <c r="GY406" s="6"/>
      <c r="GZ406" s="6"/>
      <c r="HA406" s="6"/>
      <c r="HB406" s="6"/>
      <c r="HC406" s="6"/>
      <c r="HD406" s="6"/>
      <c r="HE406" s="6"/>
      <c r="HF406" s="6"/>
      <c r="HG406" s="6"/>
      <c r="HH406" s="6"/>
      <c r="HI406" s="6"/>
      <c r="HJ406" s="6"/>
      <c r="HK406" s="6"/>
      <c r="HL406" s="6"/>
      <c r="HM406" s="6"/>
      <c r="HN406" s="6"/>
      <c r="HO406" s="6"/>
      <c r="HP406" s="6"/>
    </row>
    <row r="407" spans="3:224" ht="20.100000000000001" customHeight="1">
      <c r="C407" s="11">
        <v>15604003</v>
      </c>
      <c r="D407" s="14" t="s">
        <v>386</v>
      </c>
      <c r="E407" s="14">
        <v>1140003</v>
      </c>
      <c r="F407" s="14">
        <v>16031</v>
      </c>
      <c r="G407" s="14">
        <v>1</v>
      </c>
      <c r="H407" s="14">
        <v>60</v>
      </c>
      <c r="I407" s="22">
        <v>0.2</v>
      </c>
      <c r="J407" s="23">
        <v>25</v>
      </c>
      <c r="K407" s="14">
        <v>0</v>
      </c>
      <c r="L407" s="14">
        <v>0</v>
      </c>
      <c r="M407" s="14">
        <v>60</v>
      </c>
      <c r="N407" s="14">
        <v>120</v>
      </c>
      <c r="O407" s="14">
        <v>0</v>
      </c>
      <c r="P407" s="14">
        <v>0</v>
      </c>
      <c r="Q407" s="14">
        <v>110</v>
      </c>
      <c r="R407" s="14">
        <v>220</v>
      </c>
      <c r="S407" s="14">
        <v>110</v>
      </c>
      <c r="T407" s="14">
        <v>220</v>
      </c>
      <c r="U407" s="22">
        <v>0</v>
      </c>
      <c r="V407" s="14">
        <v>0</v>
      </c>
      <c r="W407" s="14">
        <v>0</v>
      </c>
      <c r="X407" s="14">
        <v>0</v>
      </c>
      <c r="Y407" s="22">
        <v>0</v>
      </c>
      <c r="Z407" s="22">
        <v>0</v>
      </c>
      <c r="AA407" s="22">
        <v>0</v>
      </c>
      <c r="AB407" s="22">
        <v>202203</v>
      </c>
      <c r="AC407" s="22">
        <v>100</v>
      </c>
      <c r="AD407" s="22">
        <v>1</v>
      </c>
      <c r="AE407" s="22"/>
      <c r="GR407" s="6"/>
      <c r="GS407" s="6"/>
      <c r="GT407" s="6"/>
      <c r="GU407" s="6"/>
      <c r="GV407" s="6"/>
      <c r="GW407" s="6"/>
      <c r="GX407" s="6"/>
      <c r="GY407" s="6"/>
      <c r="GZ407" s="6"/>
      <c r="HA407" s="6"/>
      <c r="HB407" s="6"/>
      <c r="HC407" s="6"/>
      <c r="HD407" s="6"/>
      <c r="HE407" s="6"/>
      <c r="HF407" s="6"/>
      <c r="HG407" s="6"/>
      <c r="HH407" s="6"/>
      <c r="HI407" s="6"/>
      <c r="HJ407" s="6"/>
      <c r="HK407" s="6"/>
      <c r="HL407" s="6"/>
      <c r="HM407" s="6"/>
      <c r="HN407" s="6"/>
      <c r="HO407" s="6"/>
      <c r="HP407" s="6"/>
    </row>
    <row r="408" spans="3:224" ht="20.100000000000001" customHeight="1">
      <c r="C408" s="11">
        <v>15605001</v>
      </c>
      <c r="D408" s="14" t="s">
        <v>388</v>
      </c>
      <c r="E408" s="14">
        <v>1140003</v>
      </c>
      <c r="F408" s="14">
        <v>16011</v>
      </c>
      <c r="G408" s="14">
        <v>1</v>
      </c>
      <c r="H408" s="14">
        <v>60</v>
      </c>
      <c r="I408" s="22">
        <v>0.2</v>
      </c>
      <c r="J408" s="23">
        <v>25</v>
      </c>
      <c r="K408" s="14">
        <v>0</v>
      </c>
      <c r="L408" s="14">
        <v>7560</v>
      </c>
      <c r="M408" s="14">
        <v>110</v>
      </c>
      <c r="N408" s="14">
        <v>220</v>
      </c>
      <c r="O408" s="14">
        <v>0</v>
      </c>
      <c r="P408" s="14">
        <v>0</v>
      </c>
      <c r="Q408" s="14">
        <v>40</v>
      </c>
      <c r="R408" s="14">
        <v>90</v>
      </c>
      <c r="S408" s="14">
        <v>0</v>
      </c>
      <c r="T408" s="14">
        <v>0</v>
      </c>
      <c r="U408" s="22">
        <v>0</v>
      </c>
      <c r="V408" s="14">
        <v>0</v>
      </c>
      <c r="W408" s="14">
        <v>0</v>
      </c>
      <c r="X408" s="14">
        <v>0</v>
      </c>
      <c r="Y408" s="22">
        <v>0</v>
      </c>
      <c r="Z408" s="22">
        <v>0</v>
      </c>
      <c r="AA408" s="22">
        <v>0</v>
      </c>
      <c r="AB408" s="22">
        <v>200103</v>
      </c>
      <c r="AC408" s="22">
        <v>100</v>
      </c>
      <c r="AD408" s="22">
        <v>1</v>
      </c>
      <c r="AE408" s="22"/>
      <c r="GR408" s="6"/>
      <c r="GS408" s="6"/>
      <c r="GT408" s="6"/>
      <c r="GU408" s="6"/>
      <c r="GV408" s="6"/>
      <c r="GW408" s="6"/>
      <c r="GX408" s="6"/>
      <c r="GY408" s="6"/>
      <c r="GZ408" s="6"/>
      <c r="HA408" s="6"/>
      <c r="HB408" s="6"/>
      <c r="HC408" s="6"/>
      <c r="HD408" s="6"/>
      <c r="HE408" s="6"/>
      <c r="HF408" s="6"/>
      <c r="HG408" s="6"/>
      <c r="HH408" s="6"/>
      <c r="HI408" s="6"/>
      <c r="HJ408" s="6"/>
      <c r="HK408" s="6"/>
      <c r="HL408" s="6"/>
      <c r="HM408" s="6"/>
      <c r="HN408" s="6"/>
      <c r="HO408" s="6"/>
      <c r="HP408" s="6"/>
    </row>
    <row r="409" spans="3:224" ht="20.100000000000001" customHeight="1">
      <c r="C409" s="11">
        <v>15605002</v>
      </c>
      <c r="D409" s="14" t="s">
        <v>390</v>
      </c>
      <c r="E409" s="14">
        <v>1140003</v>
      </c>
      <c r="F409" s="14">
        <v>16021</v>
      </c>
      <c r="G409" s="14">
        <v>1</v>
      </c>
      <c r="H409" s="14">
        <v>60</v>
      </c>
      <c r="I409" s="22">
        <v>0.2</v>
      </c>
      <c r="J409" s="23">
        <v>25</v>
      </c>
      <c r="K409" s="14">
        <v>0</v>
      </c>
      <c r="L409" s="14">
        <v>3780</v>
      </c>
      <c r="M409" s="14">
        <v>150</v>
      </c>
      <c r="N409" s="14">
        <v>290</v>
      </c>
      <c r="O409" s="14">
        <v>0</v>
      </c>
      <c r="P409" s="14">
        <v>0</v>
      </c>
      <c r="Q409" s="14">
        <v>30</v>
      </c>
      <c r="R409" s="14">
        <v>60</v>
      </c>
      <c r="S409" s="14">
        <v>0</v>
      </c>
      <c r="T409" s="14">
        <v>0</v>
      </c>
      <c r="U409" s="22">
        <v>0</v>
      </c>
      <c r="V409" s="14">
        <v>0</v>
      </c>
      <c r="W409" s="14">
        <v>0</v>
      </c>
      <c r="X409" s="14">
        <v>0</v>
      </c>
      <c r="Y409" s="22">
        <v>0</v>
      </c>
      <c r="Z409" s="22">
        <v>0</v>
      </c>
      <c r="AA409" s="22">
        <v>0</v>
      </c>
      <c r="AB409" s="22">
        <v>200103</v>
      </c>
      <c r="AC409" s="22">
        <v>100</v>
      </c>
      <c r="AD409" s="22">
        <v>1</v>
      </c>
      <c r="AE409" s="22"/>
      <c r="GR409" s="6"/>
      <c r="GS409" s="6"/>
      <c r="GT409" s="6"/>
      <c r="GU409" s="6"/>
      <c r="GV409" s="6"/>
      <c r="GW409" s="6"/>
      <c r="GX409" s="6"/>
      <c r="GY409" s="6"/>
      <c r="GZ409" s="6"/>
      <c r="HA409" s="6"/>
      <c r="HB409" s="6"/>
      <c r="HC409" s="6"/>
      <c r="HD409" s="6"/>
      <c r="HE409" s="6"/>
      <c r="HF409" s="6"/>
      <c r="HG409" s="6"/>
      <c r="HH409" s="6"/>
      <c r="HI409" s="6"/>
      <c r="HJ409" s="6"/>
      <c r="HK409" s="6"/>
      <c r="HL409" s="6"/>
      <c r="HM409" s="6"/>
      <c r="HN409" s="6"/>
      <c r="HO409" s="6"/>
      <c r="HP409" s="6"/>
    </row>
    <row r="410" spans="3:224" ht="20.100000000000001" customHeight="1">
      <c r="C410" s="11">
        <v>15605003</v>
      </c>
      <c r="D410" s="14" t="s">
        <v>392</v>
      </c>
      <c r="E410" s="14">
        <v>1140003</v>
      </c>
      <c r="F410" s="14">
        <v>16031</v>
      </c>
      <c r="G410" s="14">
        <v>1</v>
      </c>
      <c r="H410" s="14">
        <v>60</v>
      </c>
      <c r="I410" s="22">
        <v>0.2</v>
      </c>
      <c r="J410" s="23">
        <v>25</v>
      </c>
      <c r="K410" s="14">
        <v>0</v>
      </c>
      <c r="L410" s="14">
        <v>11340</v>
      </c>
      <c r="M410" s="14">
        <v>80</v>
      </c>
      <c r="N410" s="14">
        <v>160</v>
      </c>
      <c r="O410" s="14">
        <v>0</v>
      </c>
      <c r="P410" s="14">
        <v>0</v>
      </c>
      <c r="Q410" s="14">
        <v>50</v>
      </c>
      <c r="R410" s="14">
        <v>110</v>
      </c>
      <c r="S410" s="14">
        <v>0</v>
      </c>
      <c r="T410" s="14">
        <v>0</v>
      </c>
      <c r="U410" s="22">
        <v>0</v>
      </c>
      <c r="V410" s="14">
        <v>0</v>
      </c>
      <c r="W410" s="14">
        <v>0</v>
      </c>
      <c r="X410" s="14">
        <v>0</v>
      </c>
      <c r="Y410" s="22">
        <v>0</v>
      </c>
      <c r="Z410" s="22">
        <v>0</v>
      </c>
      <c r="AA410" s="22">
        <v>0</v>
      </c>
      <c r="AB410" s="22">
        <v>200103</v>
      </c>
      <c r="AC410" s="22">
        <v>100</v>
      </c>
      <c r="AD410" s="22">
        <v>1</v>
      </c>
      <c r="AE410" s="22"/>
      <c r="GR410" s="6"/>
      <c r="GS410" s="6"/>
      <c r="GT410" s="6"/>
      <c r="GU410" s="6"/>
      <c r="GV410" s="6"/>
      <c r="GW410" s="6"/>
      <c r="GX410" s="6"/>
      <c r="GY410" s="6"/>
      <c r="GZ410" s="6"/>
      <c r="HA410" s="6"/>
      <c r="HB410" s="6"/>
      <c r="HC410" s="6"/>
      <c r="HD410" s="6"/>
      <c r="HE410" s="6"/>
      <c r="HF410" s="6"/>
      <c r="HG410" s="6"/>
      <c r="HH410" s="6"/>
      <c r="HI410" s="6"/>
      <c r="HJ410" s="6"/>
      <c r="HK410" s="6"/>
      <c r="HL410" s="6"/>
      <c r="HM410" s="6"/>
      <c r="HN410" s="6"/>
      <c r="HO410" s="6"/>
      <c r="HP410" s="6"/>
    </row>
    <row r="411" spans="3:224" ht="20.100000000000001" customHeight="1">
      <c r="C411" s="11">
        <v>15606001</v>
      </c>
      <c r="D411" s="14" t="s">
        <v>394</v>
      </c>
      <c r="E411" s="14">
        <v>1140002</v>
      </c>
      <c r="F411" s="14">
        <v>16051</v>
      </c>
      <c r="G411" s="14">
        <v>1</v>
      </c>
      <c r="H411" s="14">
        <v>60</v>
      </c>
      <c r="I411" s="22">
        <v>0.2</v>
      </c>
      <c r="J411" s="23">
        <v>25</v>
      </c>
      <c r="K411" s="14">
        <v>0</v>
      </c>
      <c r="L411" s="14">
        <v>0</v>
      </c>
      <c r="M411" s="14">
        <v>220</v>
      </c>
      <c r="N411" s="14">
        <v>430</v>
      </c>
      <c r="O411" s="14">
        <v>0</v>
      </c>
      <c r="P411" s="14">
        <v>0</v>
      </c>
      <c r="Q411" s="14">
        <v>60</v>
      </c>
      <c r="R411" s="14">
        <v>130</v>
      </c>
      <c r="S411" s="14">
        <v>0</v>
      </c>
      <c r="T411" s="14">
        <v>0</v>
      </c>
      <c r="U411" s="22">
        <v>0</v>
      </c>
      <c r="V411" s="14">
        <v>0</v>
      </c>
      <c r="W411" s="14">
        <v>0</v>
      </c>
      <c r="X411" s="14">
        <v>0</v>
      </c>
      <c r="Y411" s="22">
        <v>0</v>
      </c>
      <c r="Z411" s="22">
        <v>0</v>
      </c>
      <c r="AA411" s="22">
        <v>0</v>
      </c>
      <c r="AB411" s="22">
        <v>100402</v>
      </c>
      <c r="AC411" s="22">
        <v>100</v>
      </c>
      <c r="AD411" s="22">
        <v>1</v>
      </c>
      <c r="AE411" s="22"/>
      <c r="GR411" s="6"/>
      <c r="GS411" s="6"/>
      <c r="GT411" s="6"/>
      <c r="GU411" s="6"/>
      <c r="GV411" s="6"/>
      <c r="GW411" s="6"/>
      <c r="GX411" s="6"/>
      <c r="GY411" s="6"/>
      <c r="GZ411" s="6"/>
      <c r="HA411" s="6"/>
      <c r="HB411" s="6"/>
      <c r="HC411" s="6"/>
      <c r="HD411" s="6"/>
      <c r="HE411" s="6"/>
      <c r="HF411" s="6"/>
      <c r="HG411" s="6"/>
      <c r="HH411" s="6"/>
      <c r="HI411" s="6"/>
      <c r="HJ411" s="6"/>
      <c r="HK411" s="6"/>
      <c r="HL411" s="6"/>
      <c r="HM411" s="6"/>
      <c r="HN411" s="6"/>
      <c r="HO411" s="6"/>
      <c r="HP411" s="6"/>
    </row>
    <row r="412" spans="3:224" ht="20.100000000000001" customHeight="1">
      <c r="C412" s="11">
        <v>15607001</v>
      </c>
      <c r="D412" s="14" t="s">
        <v>397</v>
      </c>
      <c r="E412" s="14">
        <v>1140002</v>
      </c>
      <c r="F412" s="14">
        <v>0</v>
      </c>
      <c r="G412" s="14">
        <v>1</v>
      </c>
      <c r="H412" s="14">
        <v>60</v>
      </c>
      <c r="I412" s="22">
        <v>0.2</v>
      </c>
      <c r="J412" s="23">
        <v>25</v>
      </c>
      <c r="K412" s="14">
        <v>0</v>
      </c>
      <c r="L412" s="14">
        <v>0</v>
      </c>
      <c r="M412" s="14">
        <v>220</v>
      </c>
      <c r="N412" s="14">
        <v>430</v>
      </c>
      <c r="O412" s="14">
        <v>0</v>
      </c>
      <c r="P412" s="14">
        <v>0</v>
      </c>
      <c r="Q412" s="14">
        <v>0</v>
      </c>
      <c r="R412" s="14">
        <v>0</v>
      </c>
      <c r="S412" s="14">
        <v>60</v>
      </c>
      <c r="T412" s="14">
        <v>130</v>
      </c>
      <c r="U412" s="22">
        <v>0</v>
      </c>
      <c r="V412" s="14">
        <v>0</v>
      </c>
      <c r="W412" s="14">
        <v>0</v>
      </c>
      <c r="X412" s="14">
        <v>0</v>
      </c>
      <c r="Y412" s="22">
        <v>0</v>
      </c>
      <c r="Z412" s="22">
        <v>0</v>
      </c>
      <c r="AA412" s="22">
        <v>0</v>
      </c>
      <c r="AB412" s="22">
        <v>200203</v>
      </c>
      <c r="AC412" s="22">
        <v>100</v>
      </c>
      <c r="AD412" s="22">
        <v>1</v>
      </c>
      <c r="AE412" s="22"/>
      <c r="GR412" s="6"/>
      <c r="GS412" s="6"/>
      <c r="GT412" s="6"/>
      <c r="GU412" s="6"/>
      <c r="GV412" s="6"/>
      <c r="GW412" s="6"/>
      <c r="GX412" s="6"/>
      <c r="GY412" s="6"/>
      <c r="GZ412" s="6"/>
      <c r="HA412" s="6"/>
      <c r="HB412" s="6"/>
      <c r="HC412" s="6"/>
      <c r="HD412" s="6"/>
      <c r="HE412" s="6"/>
      <c r="HF412" s="6"/>
      <c r="HG412" s="6"/>
      <c r="HH412" s="6"/>
      <c r="HI412" s="6"/>
      <c r="HJ412" s="6"/>
      <c r="HK412" s="6"/>
      <c r="HL412" s="6"/>
      <c r="HM412" s="6"/>
      <c r="HN412" s="6"/>
      <c r="HO412" s="6"/>
      <c r="HP412" s="6"/>
    </row>
    <row r="413" spans="3:224" ht="20.100000000000001" customHeight="1">
      <c r="C413" s="11">
        <v>15608001</v>
      </c>
      <c r="D413" s="14" t="s">
        <v>399</v>
      </c>
      <c r="E413" s="14">
        <v>1140002</v>
      </c>
      <c r="F413" s="14">
        <v>0</v>
      </c>
      <c r="G413" s="14">
        <v>1</v>
      </c>
      <c r="H413" s="14">
        <v>60</v>
      </c>
      <c r="I413" s="22">
        <v>0.2</v>
      </c>
      <c r="J413" s="23">
        <v>25</v>
      </c>
      <c r="K413" s="14">
        <v>0</v>
      </c>
      <c r="L413" s="14">
        <v>0</v>
      </c>
      <c r="M413" s="14">
        <v>40</v>
      </c>
      <c r="N413" s="14">
        <v>100</v>
      </c>
      <c r="O413" s="14">
        <v>0</v>
      </c>
      <c r="P413" s="14">
        <v>0</v>
      </c>
      <c r="Q413" s="14">
        <v>0</v>
      </c>
      <c r="R413" s="14">
        <v>0</v>
      </c>
      <c r="S413" s="14">
        <v>0</v>
      </c>
      <c r="T413" s="14">
        <v>0</v>
      </c>
      <c r="U413" s="22">
        <v>0</v>
      </c>
      <c r="V413" s="14">
        <v>0</v>
      </c>
      <c r="W413" s="14">
        <v>0</v>
      </c>
      <c r="X413" s="14">
        <v>0</v>
      </c>
      <c r="Y413" s="22">
        <v>0</v>
      </c>
      <c r="Z413" s="22">
        <v>0</v>
      </c>
      <c r="AA413" s="22">
        <v>0</v>
      </c>
      <c r="AB413" s="22">
        <v>0</v>
      </c>
      <c r="AC413" s="22">
        <v>0</v>
      </c>
      <c r="AD413" s="22">
        <v>0</v>
      </c>
      <c r="AE413" s="22"/>
      <c r="GR413" s="6"/>
      <c r="GS413" s="6"/>
      <c r="GT413" s="6"/>
      <c r="GU413" s="6"/>
      <c r="GV413" s="6"/>
      <c r="GW413" s="6"/>
      <c r="GX413" s="6"/>
      <c r="GY413" s="6"/>
      <c r="GZ413" s="6"/>
      <c r="HA413" s="6"/>
      <c r="HB413" s="6"/>
      <c r="HC413" s="6"/>
      <c r="HD413" s="6"/>
      <c r="HE413" s="6"/>
      <c r="HF413" s="6"/>
      <c r="HG413" s="6"/>
      <c r="HH413" s="6"/>
      <c r="HI413" s="6"/>
      <c r="HJ413" s="6"/>
      <c r="HK413" s="6"/>
      <c r="HL413" s="6"/>
      <c r="HM413" s="6"/>
      <c r="HN413" s="6"/>
      <c r="HO413" s="6"/>
      <c r="HP413" s="6"/>
    </row>
    <row r="414" spans="3:224" ht="20.100000000000001" customHeight="1">
      <c r="C414" s="11">
        <v>15609001</v>
      </c>
      <c r="D414" s="14" t="s">
        <v>402</v>
      </c>
      <c r="E414" s="14">
        <v>1140001</v>
      </c>
      <c r="F414" s="14">
        <v>0</v>
      </c>
      <c r="G414" s="14">
        <v>1</v>
      </c>
      <c r="H414" s="14">
        <v>60</v>
      </c>
      <c r="I414" s="22">
        <v>0.2</v>
      </c>
      <c r="J414" s="23">
        <v>25</v>
      </c>
      <c r="K414" s="14">
        <v>0</v>
      </c>
      <c r="L414" s="14">
        <v>12100</v>
      </c>
      <c r="M414" s="14">
        <v>0</v>
      </c>
      <c r="N414" s="14">
        <v>0</v>
      </c>
      <c r="O414" s="14">
        <v>0</v>
      </c>
      <c r="P414" s="14">
        <v>0</v>
      </c>
      <c r="Q414" s="14">
        <v>0</v>
      </c>
      <c r="R414" s="14">
        <v>0</v>
      </c>
      <c r="S414" s="14">
        <v>0</v>
      </c>
      <c r="T414" s="14">
        <v>0</v>
      </c>
      <c r="U414" s="22">
        <v>0</v>
      </c>
      <c r="V414" s="14">
        <v>0</v>
      </c>
      <c r="W414" s="14">
        <v>0</v>
      </c>
      <c r="X414" s="14">
        <v>0</v>
      </c>
      <c r="Y414" s="22">
        <v>0</v>
      </c>
      <c r="Z414" s="22">
        <v>0</v>
      </c>
      <c r="AA414" s="22">
        <v>0</v>
      </c>
      <c r="AB414" s="22">
        <v>200303</v>
      </c>
      <c r="AC414" s="22">
        <v>100</v>
      </c>
      <c r="AD414" s="22">
        <v>1</v>
      </c>
      <c r="AE414" s="22"/>
      <c r="GR414" s="6"/>
      <c r="GS414" s="6"/>
      <c r="GT414" s="6"/>
      <c r="GU414" s="6"/>
      <c r="GV414" s="6"/>
      <c r="GW414" s="6"/>
      <c r="GX414" s="6"/>
      <c r="GY414" s="6"/>
      <c r="GZ414" s="6"/>
      <c r="HA414" s="6"/>
      <c r="HB414" s="6"/>
      <c r="HC414" s="6"/>
      <c r="HD414" s="6"/>
      <c r="HE414" s="6"/>
      <c r="HF414" s="6"/>
      <c r="HG414" s="6"/>
      <c r="HH414" s="6"/>
      <c r="HI414" s="6"/>
      <c r="HJ414" s="6"/>
      <c r="HK414" s="6"/>
      <c r="HL414" s="6"/>
      <c r="HM414" s="6"/>
      <c r="HN414" s="6"/>
      <c r="HO414" s="6"/>
      <c r="HP414" s="6"/>
    </row>
    <row r="415" spans="3:224" ht="20.100000000000001" customHeight="1">
      <c r="C415" s="11">
        <v>15610001</v>
      </c>
      <c r="D415" s="11" t="s">
        <v>405</v>
      </c>
      <c r="E415" s="14">
        <v>1140001</v>
      </c>
      <c r="F415" s="14">
        <v>16051</v>
      </c>
      <c r="G415" s="14">
        <v>1</v>
      </c>
      <c r="H415" s="14">
        <v>60</v>
      </c>
      <c r="I415" s="22">
        <v>0.2</v>
      </c>
      <c r="J415" s="23">
        <v>25</v>
      </c>
      <c r="K415" s="14">
        <v>0</v>
      </c>
      <c r="L415" s="14">
        <v>0</v>
      </c>
      <c r="M415" s="14">
        <v>600</v>
      </c>
      <c r="N415" s="14">
        <v>1320</v>
      </c>
      <c r="O415" s="14">
        <v>0</v>
      </c>
      <c r="P415" s="14">
        <v>0</v>
      </c>
      <c r="Q415" s="14">
        <v>0</v>
      </c>
      <c r="R415" s="14">
        <v>0</v>
      </c>
      <c r="S415" s="14">
        <v>0</v>
      </c>
      <c r="T415" s="14">
        <v>0</v>
      </c>
      <c r="U415" s="22">
        <v>0</v>
      </c>
      <c r="V415" s="14">
        <v>0</v>
      </c>
      <c r="W415" s="14">
        <v>0</v>
      </c>
      <c r="X415" s="14">
        <v>0</v>
      </c>
      <c r="Y415" s="22">
        <v>0</v>
      </c>
      <c r="Z415" s="22">
        <v>0</v>
      </c>
      <c r="AA415" s="22">
        <v>0</v>
      </c>
      <c r="AB415" s="22">
        <v>200903</v>
      </c>
      <c r="AC415" s="22">
        <v>100</v>
      </c>
      <c r="AD415" s="22">
        <v>1</v>
      </c>
      <c r="AE415" s="22"/>
      <c r="GR415" s="6"/>
      <c r="GS415" s="6"/>
      <c r="GT415" s="6"/>
      <c r="GU415" s="6"/>
      <c r="GV415" s="6"/>
      <c r="GW415" s="6"/>
      <c r="GX415" s="6"/>
      <c r="GY415" s="6"/>
      <c r="GZ415" s="6"/>
      <c r="HA415" s="6"/>
      <c r="HB415" s="6"/>
      <c r="HC415" s="6"/>
      <c r="HD415" s="6"/>
      <c r="HE415" s="6"/>
      <c r="HF415" s="6"/>
      <c r="HG415" s="6"/>
      <c r="HH415" s="6"/>
      <c r="HI415" s="6"/>
      <c r="HJ415" s="6"/>
      <c r="HK415" s="6"/>
      <c r="HL415" s="6"/>
      <c r="HM415" s="6"/>
      <c r="HN415" s="6"/>
      <c r="HO415" s="6"/>
      <c r="HP415" s="6"/>
    </row>
    <row r="416" spans="3:224" ht="20.100000000000001" customHeight="1">
      <c r="C416" s="11">
        <v>15610002</v>
      </c>
      <c r="D416" s="11" t="s">
        <v>407</v>
      </c>
      <c r="E416" s="14">
        <v>1140001</v>
      </c>
      <c r="F416" s="14">
        <v>16051</v>
      </c>
      <c r="G416" s="14">
        <v>1</v>
      </c>
      <c r="H416" s="14">
        <v>60</v>
      </c>
      <c r="I416" s="22">
        <v>0.2</v>
      </c>
      <c r="J416" s="23">
        <v>25</v>
      </c>
      <c r="K416" s="14">
        <v>0</v>
      </c>
      <c r="L416" s="14">
        <v>0</v>
      </c>
      <c r="M416" s="14">
        <v>600</v>
      </c>
      <c r="N416" s="14">
        <v>1320</v>
      </c>
      <c r="O416" s="14">
        <v>0</v>
      </c>
      <c r="P416" s="14">
        <v>0</v>
      </c>
      <c r="Q416" s="14">
        <v>0</v>
      </c>
      <c r="R416" s="14">
        <v>0</v>
      </c>
      <c r="S416" s="14">
        <v>0</v>
      </c>
      <c r="T416" s="14">
        <v>0</v>
      </c>
      <c r="U416" s="22">
        <v>0</v>
      </c>
      <c r="V416" s="14">
        <v>0</v>
      </c>
      <c r="W416" s="14">
        <v>0</v>
      </c>
      <c r="X416" s="14">
        <v>0</v>
      </c>
      <c r="Y416" s="22">
        <v>0</v>
      </c>
      <c r="Z416" s="22">
        <v>0</v>
      </c>
      <c r="AA416" s="22">
        <v>0</v>
      </c>
      <c r="AB416" s="22">
        <v>200903</v>
      </c>
      <c r="AC416" s="22">
        <v>100</v>
      </c>
      <c r="AD416" s="22">
        <v>1</v>
      </c>
      <c r="AE416" s="22"/>
      <c r="GR416" s="6"/>
      <c r="GS416" s="6"/>
      <c r="GT416" s="6"/>
      <c r="GU416" s="6"/>
      <c r="GV416" s="6"/>
      <c r="GW416" s="6"/>
      <c r="GX416" s="6"/>
      <c r="GY416" s="6"/>
      <c r="GZ416" s="6"/>
      <c r="HA416" s="6"/>
      <c r="HB416" s="6"/>
      <c r="HC416" s="6"/>
      <c r="HD416" s="6"/>
      <c r="HE416" s="6"/>
      <c r="HF416" s="6"/>
      <c r="HG416" s="6"/>
      <c r="HH416" s="6"/>
      <c r="HI416" s="6"/>
      <c r="HJ416" s="6"/>
      <c r="HK416" s="6"/>
      <c r="HL416" s="6"/>
      <c r="HM416" s="6"/>
      <c r="HN416" s="6"/>
      <c r="HO416" s="6"/>
      <c r="HP416" s="6"/>
    </row>
    <row r="417" spans="3:224" ht="20.100000000000001" customHeight="1">
      <c r="C417" s="11">
        <v>15610201</v>
      </c>
      <c r="D417" s="50" t="s">
        <v>424</v>
      </c>
      <c r="E417" s="14">
        <v>1140001</v>
      </c>
      <c r="F417" s="14">
        <v>16051</v>
      </c>
      <c r="G417" s="14">
        <v>1</v>
      </c>
      <c r="H417" s="14">
        <v>60</v>
      </c>
      <c r="I417" s="22">
        <v>0.2</v>
      </c>
      <c r="J417" s="23">
        <v>25</v>
      </c>
      <c r="K417" s="14">
        <v>0</v>
      </c>
      <c r="L417" s="14">
        <v>0</v>
      </c>
      <c r="M417" s="14">
        <v>600</v>
      </c>
      <c r="N417" s="14">
        <v>1320</v>
      </c>
      <c r="O417" s="14">
        <v>0</v>
      </c>
      <c r="P417" s="14">
        <v>0</v>
      </c>
      <c r="Q417" s="14">
        <v>0</v>
      </c>
      <c r="R417" s="14">
        <v>0</v>
      </c>
      <c r="S417" s="14">
        <v>0</v>
      </c>
      <c r="T417" s="14">
        <v>0</v>
      </c>
      <c r="U417" s="22">
        <v>0</v>
      </c>
      <c r="V417" s="14">
        <v>0</v>
      </c>
      <c r="W417" s="14">
        <v>0</v>
      </c>
      <c r="X417" s="14">
        <v>0</v>
      </c>
      <c r="Y417" s="22">
        <v>0</v>
      </c>
      <c r="Z417" s="22">
        <v>0</v>
      </c>
      <c r="AA417" s="22">
        <v>0</v>
      </c>
      <c r="AB417" s="22">
        <v>200903</v>
      </c>
      <c r="AC417" s="22">
        <v>100</v>
      </c>
      <c r="AD417" s="22">
        <v>1</v>
      </c>
      <c r="AE417" s="22"/>
      <c r="GR417" s="6"/>
      <c r="GS417" s="6"/>
      <c r="GT417" s="6"/>
      <c r="GU417" s="6"/>
      <c r="GV417" s="6"/>
      <c r="GW417" s="6"/>
      <c r="GX417" s="6"/>
      <c r="GY417" s="6"/>
      <c r="GZ417" s="6"/>
      <c r="HA417" s="6"/>
      <c r="HB417" s="6"/>
      <c r="HC417" s="6"/>
      <c r="HD417" s="6"/>
      <c r="HE417" s="6"/>
      <c r="HF417" s="6"/>
      <c r="HG417" s="6"/>
      <c r="HH417" s="6"/>
      <c r="HI417" s="6"/>
      <c r="HJ417" s="6"/>
      <c r="HK417" s="6"/>
      <c r="HL417" s="6"/>
      <c r="HM417" s="6"/>
      <c r="HN417" s="6"/>
      <c r="HO417" s="6"/>
      <c r="HP417" s="6"/>
    </row>
    <row r="418" spans="3:224" ht="20.100000000000001" customHeight="1">
      <c r="C418" s="11">
        <v>15611001</v>
      </c>
      <c r="D418" s="14" t="s">
        <v>416</v>
      </c>
      <c r="E418" s="14">
        <v>1140003</v>
      </c>
      <c r="F418" s="14">
        <v>16011</v>
      </c>
      <c r="G418" s="14">
        <v>1</v>
      </c>
      <c r="H418" s="14">
        <v>60</v>
      </c>
      <c r="I418" s="22">
        <v>0.2</v>
      </c>
      <c r="J418" s="23">
        <v>25</v>
      </c>
      <c r="K418" s="14">
        <v>0</v>
      </c>
      <c r="L418" s="14">
        <v>10370</v>
      </c>
      <c r="M418" s="14">
        <v>0</v>
      </c>
      <c r="N418" s="14">
        <v>0</v>
      </c>
      <c r="O418" s="14">
        <v>0</v>
      </c>
      <c r="P418" s="14">
        <v>0</v>
      </c>
      <c r="Q418" s="14">
        <v>110</v>
      </c>
      <c r="R418" s="14">
        <v>220</v>
      </c>
      <c r="S418" s="14">
        <v>110</v>
      </c>
      <c r="T418" s="14">
        <v>220</v>
      </c>
      <c r="U418" s="22">
        <v>0</v>
      </c>
      <c r="V418" s="14">
        <v>0</v>
      </c>
      <c r="W418" s="14">
        <v>0</v>
      </c>
      <c r="X418" s="14">
        <v>0</v>
      </c>
      <c r="Y418" s="22">
        <v>0</v>
      </c>
      <c r="Z418" s="22">
        <v>0</v>
      </c>
      <c r="AA418" s="22">
        <v>0</v>
      </c>
      <c r="AB418" s="22">
        <v>201003</v>
      </c>
      <c r="AC418" s="22">
        <v>100</v>
      </c>
      <c r="AD418" s="22">
        <v>1</v>
      </c>
      <c r="AE418" s="22"/>
      <c r="GR418" s="6"/>
      <c r="GS418" s="6"/>
      <c r="GT418" s="6"/>
      <c r="GU418" s="6"/>
      <c r="GV418" s="6"/>
      <c r="GW418" s="6"/>
      <c r="GX418" s="6"/>
      <c r="GY418" s="6"/>
      <c r="GZ418" s="6"/>
      <c r="HA418" s="6"/>
      <c r="HB418" s="6"/>
      <c r="HC418" s="6"/>
      <c r="HD418" s="6"/>
      <c r="HE418" s="6"/>
      <c r="HF418" s="6"/>
      <c r="HG418" s="6"/>
      <c r="HH418" s="6"/>
      <c r="HI418" s="6"/>
      <c r="HJ418" s="6"/>
      <c r="HK418" s="6"/>
      <c r="HL418" s="6"/>
      <c r="HM418" s="6"/>
      <c r="HN418" s="6"/>
      <c r="HO418" s="6"/>
      <c r="HP418" s="6"/>
    </row>
    <row r="419" spans="3:224" ht="20.100000000000001" customHeight="1">
      <c r="C419" s="11">
        <v>15611002</v>
      </c>
      <c r="D419" s="45" t="s">
        <v>418</v>
      </c>
      <c r="E419" s="14">
        <v>1140003</v>
      </c>
      <c r="F419" s="14">
        <v>16021</v>
      </c>
      <c r="G419" s="14">
        <v>1</v>
      </c>
      <c r="H419" s="14">
        <v>60</v>
      </c>
      <c r="I419" s="22">
        <v>0.2</v>
      </c>
      <c r="J419" s="23">
        <v>25</v>
      </c>
      <c r="K419" s="14">
        <v>0</v>
      </c>
      <c r="L419" s="14">
        <v>5180</v>
      </c>
      <c r="M419" s="14">
        <v>0</v>
      </c>
      <c r="N419" s="14">
        <v>0</v>
      </c>
      <c r="O419" s="14">
        <v>0</v>
      </c>
      <c r="P419" s="14">
        <v>0</v>
      </c>
      <c r="Q419" s="14">
        <v>80</v>
      </c>
      <c r="R419" s="14">
        <v>160</v>
      </c>
      <c r="S419" s="14">
        <v>80</v>
      </c>
      <c r="T419" s="14">
        <v>160</v>
      </c>
      <c r="U419" s="22">
        <v>0</v>
      </c>
      <c r="V419" s="14">
        <v>0</v>
      </c>
      <c r="W419" s="14">
        <v>0</v>
      </c>
      <c r="X419" s="14">
        <v>0</v>
      </c>
      <c r="Y419" s="22">
        <v>0</v>
      </c>
      <c r="Z419" s="22">
        <v>0</v>
      </c>
      <c r="AA419" s="22">
        <v>0</v>
      </c>
      <c r="AB419" s="22">
        <v>201003</v>
      </c>
      <c r="AC419" s="22">
        <v>100</v>
      </c>
      <c r="AD419" s="22">
        <v>1</v>
      </c>
      <c r="AE419" s="22"/>
      <c r="GR419" s="6"/>
      <c r="GS419" s="6"/>
      <c r="GT419" s="6"/>
      <c r="GU419" s="6"/>
      <c r="GV419" s="6"/>
      <c r="GW419" s="6"/>
      <c r="GX419" s="6"/>
      <c r="GY419" s="6"/>
      <c r="GZ419" s="6"/>
      <c r="HA419" s="6"/>
      <c r="HB419" s="6"/>
      <c r="HC419" s="6"/>
      <c r="HD419" s="6"/>
      <c r="HE419" s="6"/>
      <c r="HF419" s="6"/>
      <c r="HG419" s="6"/>
      <c r="HH419" s="6"/>
      <c r="HI419" s="6"/>
      <c r="HJ419" s="6"/>
      <c r="HK419" s="6"/>
      <c r="HL419" s="6"/>
      <c r="HM419" s="6"/>
      <c r="HN419" s="6"/>
      <c r="HO419" s="6"/>
      <c r="HP419" s="6"/>
    </row>
    <row r="420" spans="3:224" ht="20.100000000000001" customHeight="1">
      <c r="C420" s="11">
        <v>15611003</v>
      </c>
      <c r="D420" s="14" t="s">
        <v>420</v>
      </c>
      <c r="E420" s="14">
        <v>1140003</v>
      </c>
      <c r="F420" s="14">
        <v>16031</v>
      </c>
      <c r="G420" s="14">
        <v>1</v>
      </c>
      <c r="H420" s="14">
        <v>60</v>
      </c>
      <c r="I420" s="22">
        <v>0.2</v>
      </c>
      <c r="J420" s="23">
        <v>25</v>
      </c>
      <c r="K420" s="14">
        <v>0</v>
      </c>
      <c r="L420" s="14">
        <v>15550</v>
      </c>
      <c r="M420" s="14">
        <v>0</v>
      </c>
      <c r="N420" s="14">
        <v>0</v>
      </c>
      <c r="O420" s="14">
        <v>0</v>
      </c>
      <c r="P420" s="14">
        <v>0</v>
      </c>
      <c r="Q420" s="14">
        <v>140</v>
      </c>
      <c r="R420" s="14">
        <v>270</v>
      </c>
      <c r="S420" s="14">
        <v>140</v>
      </c>
      <c r="T420" s="14">
        <v>270</v>
      </c>
      <c r="U420" s="22">
        <v>0</v>
      </c>
      <c r="V420" s="14">
        <v>0</v>
      </c>
      <c r="W420" s="14">
        <v>0</v>
      </c>
      <c r="X420" s="14">
        <v>0</v>
      </c>
      <c r="Y420" s="22">
        <v>0</v>
      </c>
      <c r="Z420" s="22">
        <v>0</v>
      </c>
      <c r="AA420" s="22">
        <v>0</v>
      </c>
      <c r="AB420" s="22">
        <v>201003</v>
      </c>
      <c r="AC420" s="22">
        <v>100</v>
      </c>
      <c r="AD420" s="22">
        <v>1</v>
      </c>
      <c r="AE420" s="22"/>
      <c r="GR420" s="6"/>
      <c r="GS420" s="6"/>
      <c r="GT420" s="6"/>
      <c r="GU420" s="6"/>
      <c r="GV420" s="6"/>
      <c r="GW420" s="6"/>
      <c r="GX420" s="6"/>
      <c r="GY420" s="6"/>
      <c r="GZ420" s="6"/>
      <c r="HA420" s="6"/>
      <c r="HB420" s="6"/>
      <c r="HC420" s="6"/>
      <c r="HD420" s="6"/>
      <c r="HE420" s="6"/>
      <c r="HF420" s="6"/>
      <c r="HG420" s="6"/>
      <c r="HH420" s="6"/>
      <c r="HI420" s="6"/>
      <c r="HJ420" s="6"/>
      <c r="HK420" s="6"/>
      <c r="HL420" s="6"/>
      <c r="HM420" s="6"/>
      <c r="HN420" s="6"/>
      <c r="HO420" s="6"/>
      <c r="HP420" s="6"/>
    </row>
    <row r="421" spans="3:224" ht="20.100000000000001" customHeight="1">
      <c r="C421" s="11">
        <v>15701001</v>
      </c>
      <c r="D421" s="14" t="s">
        <v>363</v>
      </c>
      <c r="E421" s="14">
        <v>1140003</v>
      </c>
      <c r="F421" s="14">
        <v>17011</v>
      </c>
      <c r="G421" s="14">
        <v>1</v>
      </c>
      <c r="H421" s="14">
        <v>60</v>
      </c>
      <c r="I421" s="22">
        <v>0.2</v>
      </c>
      <c r="J421" s="23">
        <v>30</v>
      </c>
      <c r="K421" s="14">
        <v>0</v>
      </c>
      <c r="L421" s="14">
        <v>0</v>
      </c>
      <c r="M421" s="14">
        <v>106</v>
      </c>
      <c r="N421" s="14">
        <v>210</v>
      </c>
      <c r="O421" s="14">
        <v>0</v>
      </c>
      <c r="P421" s="14">
        <v>0</v>
      </c>
      <c r="Q421" s="14">
        <v>60</v>
      </c>
      <c r="R421" s="14">
        <v>136</v>
      </c>
      <c r="S421" s="14">
        <v>60</v>
      </c>
      <c r="T421" s="14">
        <v>136</v>
      </c>
      <c r="U421" s="22">
        <v>0</v>
      </c>
      <c r="V421" s="14">
        <v>0</v>
      </c>
      <c r="W421" s="14">
        <v>0</v>
      </c>
      <c r="X421" s="14">
        <v>0</v>
      </c>
      <c r="Y421" s="22">
        <v>0</v>
      </c>
      <c r="Z421" s="22">
        <v>0</v>
      </c>
      <c r="AA421" s="22">
        <v>0</v>
      </c>
      <c r="AB421" s="22">
        <v>200503</v>
      </c>
      <c r="AC421" s="22">
        <v>200</v>
      </c>
      <c r="AD421" s="22">
        <v>1</v>
      </c>
      <c r="AE421" s="22"/>
      <c r="GR421" s="6"/>
      <c r="GS421" s="6"/>
      <c r="GT421" s="6"/>
      <c r="GU421" s="6"/>
      <c r="GV421" s="6"/>
      <c r="GW421" s="6"/>
      <c r="GX421" s="6"/>
      <c r="GY421" s="6"/>
      <c r="GZ421" s="6"/>
      <c r="HA421" s="6"/>
      <c r="HB421" s="6"/>
      <c r="HC421" s="6"/>
      <c r="HD421" s="6"/>
      <c r="HE421" s="6"/>
      <c r="HF421" s="6"/>
      <c r="HG421" s="6"/>
      <c r="HH421" s="6"/>
      <c r="HI421" s="6"/>
      <c r="HJ421" s="6"/>
      <c r="HK421" s="6"/>
      <c r="HL421" s="6"/>
      <c r="HM421" s="6"/>
      <c r="HN421" s="6"/>
      <c r="HO421" s="6"/>
      <c r="HP421" s="6"/>
    </row>
    <row r="422" spans="3:224" ht="20.100000000000001" customHeight="1">
      <c r="C422" s="11">
        <v>15701002</v>
      </c>
      <c r="D422" s="14" t="s">
        <v>365</v>
      </c>
      <c r="E422" s="14">
        <v>1140003</v>
      </c>
      <c r="F422" s="14">
        <v>17021</v>
      </c>
      <c r="G422" s="14">
        <v>1</v>
      </c>
      <c r="H422" s="14">
        <v>60</v>
      </c>
      <c r="I422" s="22">
        <v>0.2</v>
      </c>
      <c r="J422" s="23">
        <v>30</v>
      </c>
      <c r="K422" s="14">
        <v>0</v>
      </c>
      <c r="L422" s="14">
        <v>0</v>
      </c>
      <c r="M422" s="14">
        <v>150</v>
      </c>
      <c r="N422" s="14">
        <v>286</v>
      </c>
      <c r="O422" s="14">
        <v>0</v>
      </c>
      <c r="P422" s="14">
        <v>0</v>
      </c>
      <c r="Q422" s="14">
        <v>46</v>
      </c>
      <c r="R422" s="14">
        <v>90</v>
      </c>
      <c r="S422" s="14">
        <v>46</v>
      </c>
      <c r="T422" s="14">
        <v>90</v>
      </c>
      <c r="U422" s="22">
        <v>0</v>
      </c>
      <c r="V422" s="14">
        <v>0</v>
      </c>
      <c r="W422" s="14">
        <v>0</v>
      </c>
      <c r="X422" s="14">
        <v>0</v>
      </c>
      <c r="Y422" s="22">
        <v>0</v>
      </c>
      <c r="Z422" s="22">
        <v>0</v>
      </c>
      <c r="AA422" s="22">
        <v>0</v>
      </c>
      <c r="AB422" s="22">
        <v>200603</v>
      </c>
      <c r="AC422" s="22">
        <v>200</v>
      </c>
      <c r="AD422" s="22">
        <v>1</v>
      </c>
      <c r="AE422" s="22"/>
      <c r="GR422" s="6"/>
      <c r="GS422" s="6"/>
      <c r="GT422" s="6"/>
      <c r="GU422" s="6"/>
      <c r="GV422" s="6"/>
      <c r="GW422" s="6"/>
      <c r="GX422" s="6"/>
      <c r="GY422" s="6"/>
      <c r="GZ422" s="6"/>
      <c r="HA422" s="6"/>
      <c r="HB422" s="6"/>
      <c r="HC422" s="6"/>
      <c r="HD422" s="6"/>
      <c r="HE422" s="6"/>
      <c r="HF422" s="6"/>
      <c r="HG422" s="6"/>
      <c r="HH422" s="6"/>
      <c r="HI422" s="6"/>
      <c r="HJ422" s="6"/>
      <c r="HK422" s="6"/>
      <c r="HL422" s="6"/>
      <c r="HM422" s="6"/>
      <c r="HN422" s="6"/>
      <c r="HO422" s="6"/>
      <c r="HP422" s="6"/>
    </row>
    <row r="423" spans="3:224" ht="20.100000000000001" customHeight="1">
      <c r="C423" s="11">
        <v>15701003</v>
      </c>
      <c r="D423" s="14" t="s">
        <v>367</v>
      </c>
      <c r="E423" s="14">
        <v>1140003</v>
      </c>
      <c r="F423" s="14">
        <v>17031</v>
      </c>
      <c r="G423" s="14">
        <v>1</v>
      </c>
      <c r="H423" s="14">
        <v>60</v>
      </c>
      <c r="I423" s="22">
        <v>0.2</v>
      </c>
      <c r="J423" s="23">
        <v>30</v>
      </c>
      <c r="K423" s="14">
        <v>0</v>
      </c>
      <c r="L423" s="14">
        <v>0</v>
      </c>
      <c r="M423" s="14">
        <v>76</v>
      </c>
      <c r="N423" s="14">
        <v>166</v>
      </c>
      <c r="O423" s="14">
        <v>0</v>
      </c>
      <c r="P423" s="14">
        <v>0</v>
      </c>
      <c r="Q423" s="14">
        <v>76</v>
      </c>
      <c r="R423" s="14">
        <v>166</v>
      </c>
      <c r="S423" s="14">
        <v>76</v>
      </c>
      <c r="T423" s="14">
        <v>166</v>
      </c>
      <c r="U423" s="22">
        <v>0</v>
      </c>
      <c r="V423" s="14">
        <v>0</v>
      </c>
      <c r="W423" s="14">
        <v>0</v>
      </c>
      <c r="X423" s="14">
        <v>0</v>
      </c>
      <c r="Y423" s="22">
        <v>0</v>
      </c>
      <c r="Z423" s="22">
        <v>0</v>
      </c>
      <c r="AA423" s="22">
        <v>0</v>
      </c>
      <c r="AB423" s="22">
        <v>200503</v>
      </c>
      <c r="AC423" s="22">
        <v>200</v>
      </c>
      <c r="AD423" s="22">
        <v>1</v>
      </c>
      <c r="AE423" s="22"/>
      <c r="GR423" s="6"/>
      <c r="GS423" s="6"/>
      <c r="GT423" s="6"/>
      <c r="GU423" s="6"/>
      <c r="GV423" s="6"/>
      <c r="GW423" s="6"/>
      <c r="GX423" s="6"/>
      <c r="GY423" s="6"/>
      <c r="GZ423" s="6"/>
      <c r="HA423" s="6"/>
      <c r="HB423" s="6"/>
      <c r="HC423" s="6"/>
      <c r="HD423" s="6"/>
      <c r="HE423" s="6"/>
      <c r="HF423" s="6"/>
      <c r="HG423" s="6"/>
      <c r="HH423" s="6"/>
      <c r="HI423" s="6"/>
      <c r="HJ423" s="6"/>
      <c r="HK423" s="6"/>
      <c r="HL423" s="6"/>
      <c r="HM423" s="6"/>
      <c r="HN423" s="6"/>
      <c r="HO423" s="6"/>
      <c r="HP423" s="6"/>
    </row>
    <row r="424" spans="3:224" ht="20.100000000000001" customHeight="1">
      <c r="C424" s="11">
        <v>15702001</v>
      </c>
      <c r="D424" s="14" t="s">
        <v>369</v>
      </c>
      <c r="E424" s="14">
        <v>1140003</v>
      </c>
      <c r="F424" s="14">
        <v>17011</v>
      </c>
      <c r="G424" s="14">
        <v>1</v>
      </c>
      <c r="H424" s="14">
        <v>60</v>
      </c>
      <c r="I424" s="22">
        <v>0.2</v>
      </c>
      <c r="J424" s="23">
        <v>30</v>
      </c>
      <c r="K424" s="14">
        <v>0</v>
      </c>
      <c r="L424" s="14">
        <v>0</v>
      </c>
      <c r="M424" s="14">
        <v>136</v>
      </c>
      <c r="N424" s="14">
        <v>286</v>
      </c>
      <c r="O424" s="14">
        <v>0</v>
      </c>
      <c r="P424" s="14">
        <v>0</v>
      </c>
      <c r="Q424" s="14">
        <v>0</v>
      </c>
      <c r="R424" s="14">
        <v>0</v>
      </c>
      <c r="S424" s="14">
        <v>196</v>
      </c>
      <c r="T424" s="14">
        <v>390</v>
      </c>
      <c r="U424" s="22">
        <v>0</v>
      </c>
      <c r="V424" s="14">
        <v>0</v>
      </c>
      <c r="W424" s="14">
        <v>0</v>
      </c>
      <c r="X424" s="14">
        <v>0</v>
      </c>
      <c r="Y424" s="22">
        <v>0</v>
      </c>
      <c r="Z424" s="22">
        <v>0</v>
      </c>
      <c r="AA424" s="22">
        <v>0</v>
      </c>
      <c r="AB424" s="22">
        <v>202303</v>
      </c>
      <c r="AC424" s="22">
        <v>200</v>
      </c>
      <c r="AD424" s="22">
        <v>1</v>
      </c>
      <c r="AE424" s="22"/>
      <c r="GR424" s="6"/>
      <c r="GS424" s="6"/>
      <c r="GT424" s="6"/>
      <c r="GU424" s="6"/>
      <c r="GV424" s="6"/>
      <c r="GW424" s="6"/>
      <c r="GX424" s="6"/>
      <c r="GY424" s="6"/>
      <c r="GZ424" s="6"/>
      <c r="HA424" s="6"/>
      <c r="HB424" s="6"/>
      <c r="HC424" s="6"/>
      <c r="HD424" s="6"/>
      <c r="HE424" s="6"/>
      <c r="HF424" s="6"/>
      <c r="HG424" s="6"/>
      <c r="HH424" s="6"/>
      <c r="HI424" s="6"/>
      <c r="HJ424" s="6"/>
      <c r="HK424" s="6"/>
      <c r="HL424" s="6"/>
      <c r="HM424" s="6"/>
      <c r="HN424" s="6"/>
      <c r="HO424" s="6"/>
      <c r="HP424" s="6"/>
    </row>
    <row r="425" spans="3:224" ht="20.100000000000001" customHeight="1">
      <c r="C425" s="11">
        <v>15702002</v>
      </c>
      <c r="D425" s="14" t="s">
        <v>371</v>
      </c>
      <c r="E425" s="14">
        <v>1140003</v>
      </c>
      <c r="F425" s="14">
        <v>17021</v>
      </c>
      <c r="G425" s="14">
        <v>1</v>
      </c>
      <c r="H425" s="14">
        <v>60</v>
      </c>
      <c r="I425" s="22">
        <v>0.2</v>
      </c>
      <c r="J425" s="23">
        <v>30</v>
      </c>
      <c r="K425" s="14">
        <v>0</v>
      </c>
      <c r="L425" s="14">
        <v>0</v>
      </c>
      <c r="M425" s="14">
        <v>196</v>
      </c>
      <c r="N425" s="14">
        <v>376</v>
      </c>
      <c r="O425" s="14">
        <v>0</v>
      </c>
      <c r="P425" s="14">
        <v>0</v>
      </c>
      <c r="Q425" s="14">
        <v>0</v>
      </c>
      <c r="R425" s="14">
        <v>0</v>
      </c>
      <c r="S425" s="14">
        <v>150</v>
      </c>
      <c r="T425" s="14">
        <v>286</v>
      </c>
      <c r="U425" s="22">
        <v>0</v>
      </c>
      <c r="V425" s="14">
        <v>0</v>
      </c>
      <c r="W425" s="14">
        <v>0</v>
      </c>
      <c r="X425" s="14">
        <v>0</v>
      </c>
      <c r="Y425" s="22">
        <v>0</v>
      </c>
      <c r="Z425" s="22">
        <v>0</v>
      </c>
      <c r="AA425" s="22">
        <v>0</v>
      </c>
      <c r="AB425" s="22">
        <v>202303</v>
      </c>
      <c r="AC425" s="22">
        <v>200</v>
      </c>
      <c r="AD425" s="22">
        <v>1</v>
      </c>
      <c r="AE425" s="22"/>
      <c r="GR425" s="6"/>
      <c r="GS425" s="6"/>
      <c r="GT425" s="6"/>
      <c r="GU425" s="6"/>
      <c r="GV425" s="6"/>
      <c r="GW425" s="6"/>
      <c r="GX425" s="6"/>
      <c r="GY425" s="6"/>
      <c r="GZ425" s="6"/>
      <c r="HA425" s="6"/>
      <c r="HB425" s="6"/>
      <c r="HC425" s="6"/>
      <c r="HD425" s="6"/>
      <c r="HE425" s="6"/>
      <c r="HF425" s="6"/>
      <c r="HG425" s="6"/>
      <c r="HH425" s="6"/>
      <c r="HI425" s="6"/>
      <c r="HJ425" s="6"/>
      <c r="HK425" s="6"/>
      <c r="HL425" s="6"/>
      <c r="HM425" s="6"/>
      <c r="HN425" s="6"/>
      <c r="HO425" s="6"/>
      <c r="HP425" s="6"/>
    </row>
    <row r="426" spans="3:224" ht="20.100000000000001" customHeight="1">
      <c r="C426" s="11">
        <v>15702003</v>
      </c>
      <c r="D426" s="14" t="s">
        <v>373</v>
      </c>
      <c r="E426" s="14">
        <v>1140003</v>
      </c>
      <c r="F426" s="14">
        <v>17031</v>
      </c>
      <c r="G426" s="14">
        <v>1</v>
      </c>
      <c r="H426" s="14">
        <v>60</v>
      </c>
      <c r="I426" s="22">
        <v>0.2</v>
      </c>
      <c r="J426" s="23">
        <v>30</v>
      </c>
      <c r="K426" s="14">
        <v>0</v>
      </c>
      <c r="L426" s="14">
        <v>0</v>
      </c>
      <c r="M426" s="14">
        <v>106</v>
      </c>
      <c r="N426" s="14">
        <v>210</v>
      </c>
      <c r="O426" s="14">
        <v>0</v>
      </c>
      <c r="P426" s="14">
        <v>0</v>
      </c>
      <c r="Q426" s="14">
        <v>0</v>
      </c>
      <c r="R426" s="14">
        <v>0</v>
      </c>
      <c r="S426" s="14">
        <v>240</v>
      </c>
      <c r="T426" s="14">
        <v>480</v>
      </c>
      <c r="U426" s="22">
        <v>0</v>
      </c>
      <c r="V426" s="14">
        <v>0</v>
      </c>
      <c r="W426" s="14">
        <v>0</v>
      </c>
      <c r="X426" s="14">
        <v>0</v>
      </c>
      <c r="Y426" s="22">
        <v>0</v>
      </c>
      <c r="Z426" s="22">
        <v>0</v>
      </c>
      <c r="AA426" s="22">
        <v>0</v>
      </c>
      <c r="AB426" s="22">
        <v>202303</v>
      </c>
      <c r="AC426" s="22">
        <v>200</v>
      </c>
      <c r="AD426" s="22">
        <v>1</v>
      </c>
      <c r="AE426" s="22"/>
      <c r="GR426" s="6"/>
      <c r="GS426" s="6"/>
      <c r="GT426" s="6"/>
      <c r="GU426" s="6"/>
      <c r="GV426" s="6"/>
      <c r="GW426" s="6"/>
      <c r="GX426" s="6"/>
      <c r="GY426" s="6"/>
      <c r="GZ426" s="6"/>
      <c r="HA426" s="6"/>
      <c r="HB426" s="6"/>
      <c r="HC426" s="6"/>
      <c r="HD426" s="6"/>
      <c r="HE426" s="6"/>
      <c r="HF426" s="6"/>
      <c r="HG426" s="6"/>
      <c r="HH426" s="6"/>
      <c r="HI426" s="6"/>
      <c r="HJ426" s="6"/>
      <c r="HK426" s="6"/>
      <c r="HL426" s="6"/>
      <c r="HM426" s="6"/>
      <c r="HN426" s="6"/>
      <c r="HO426" s="6"/>
      <c r="HP426" s="6"/>
    </row>
    <row r="427" spans="3:224" ht="20.100000000000001" customHeight="1">
      <c r="C427" s="11">
        <v>15703001</v>
      </c>
      <c r="D427" s="14" t="s">
        <v>375</v>
      </c>
      <c r="E427" s="14">
        <v>1140003</v>
      </c>
      <c r="F427" s="14">
        <v>17011</v>
      </c>
      <c r="G427" s="14">
        <v>1</v>
      </c>
      <c r="H427" s="14">
        <v>60</v>
      </c>
      <c r="I427" s="22">
        <v>0.2</v>
      </c>
      <c r="J427" s="23">
        <v>30</v>
      </c>
      <c r="K427" s="14">
        <v>0</v>
      </c>
      <c r="L427" s="14">
        <v>4530</v>
      </c>
      <c r="M427" s="14">
        <v>76</v>
      </c>
      <c r="N427" s="14">
        <v>150</v>
      </c>
      <c r="O427" s="14">
        <v>0</v>
      </c>
      <c r="P427" s="14">
        <v>0</v>
      </c>
      <c r="Q427" s="14">
        <v>136</v>
      </c>
      <c r="R427" s="14">
        <v>256</v>
      </c>
      <c r="S427" s="14">
        <v>0</v>
      </c>
      <c r="T427" s="14">
        <v>0</v>
      </c>
      <c r="U427" s="22">
        <v>0</v>
      </c>
      <c r="V427" s="14">
        <v>0</v>
      </c>
      <c r="W427" s="14">
        <v>0</v>
      </c>
      <c r="X427" s="14">
        <v>0</v>
      </c>
      <c r="Y427" s="22">
        <v>0</v>
      </c>
      <c r="Z427" s="22">
        <v>0</v>
      </c>
      <c r="AA427" s="22">
        <v>0</v>
      </c>
      <c r="AB427" s="22">
        <v>200403</v>
      </c>
      <c r="AC427" s="22">
        <v>200</v>
      </c>
      <c r="AD427" s="22">
        <v>1</v>
      </c>
      <c r="AE427" s="22"/>
      <c r="GR427" s="6"/>
      <c r="GS427" s="6"/>
      <c r="GT427" s="6"/>
      <c r="GU427" s="6"/>
      <c r="GV427" s="6"/>
      <c r="GW427" s="6"/>
      <c r="GX427" s="6"/>
      <c r="GY427" s="6"/>
      <c r="GZ427" s="6"/>
      <c r="HA427" s="6"/>
      <c r="HB427" s="6"/>
      <c r="HC427" s="6"/>
      <c r="HD427" s="6"/>
      <c r="HE427" s="6"/>
      <c r="HF427" s="6"/>
      <c r="HG427" s="6"/>
      <c r="HH427" s="6"/>
      <c r="HI427" s="6"/>
      <c r="HJ427" s="6"/>
      <c r="HK427" s="6"/>
      <c r="HL427" s="6"/>
      <c r="HM427" s="6"/>
      <c r="HN427" s="6"/>
      <c r="HO427" s="6"/>
      <c r="HP427" s="6"/>
    </row>
    <row r="428" spans="3:224" ht="20.100000000000001" customHeight="1">
      <c r="C428" s="11">
        <v>15703002</v>
      </c>
      <c r="D428" s="14" t="s">
        <v>377</v>
      </c>
      <c r="E428" s="14">
        <v>1140003</v>
      </c>
      <c r="F428" s="14">
        <v>17021</v>
      </c>
      <c r="G428" s="14">
        <v>1</v>
      </c>
      <c r="H428" s="14">
        <v>60</v>
      </c>
      <c r="I428" s="22">
        <v>0.2</v>
      </c>
      <c r="J428" s="23">
        <v>30</v>
      </c>
      <c r="K428" s="14">
        <v>0</v>
      </c>
      <c r="L428" s="14">
        <v>2270</v>
      </c>
      <c r="M428" s="14">
        <v>106</v>
      </c>
      <c r="N428" s="14">
        <v>210</v>
      </c>
      <c r="O428" s="14">
        <v>0</v>
      </c>
      <c r="P428" s="14">
        <v>0</v>
      </c>
      <c r="Q428" s="14">
        <v>90</v>
      </c>
      <c r="R428" s="14">
        <v>196</v>
      </c>
      <c r="S428" s="14">
        <v>0</v>
      </c>
      <c r="T428" s="14">
        <v>0</v>
      </c>
      <c r="U428" s="22">
        <v>0</v>
      </c>
      <c r="V428" s="14">
        <v>0</v>
      </c>
      <c r="W428" s="14">
        <v>0</v>
      </c>
      <c r="X428" s="14">
        <v>0</v>
      </c>
      <c r="Y428" s="22">
        <v>0</v>
      </c>
      <c r="Z428" s="22">
        <v>0</v>
      </c>
      <c r="AA428" s="22">
        <v>0</v>
      </c>
      <c r="AB428" s="22">
        <v>200403</v>
      </c>
      <c r="AC428" s="22">
        <v>200</v>
      </c>
      <c r="AD428" s="22">
        <v>1</v>
      </c>
      <c r="AE428" s="22"/>
      <c r="GR428" s="6"/>
      <c r="GS428" s="6"/>
      <c r="GT428" s="6"/>
      <c r="GU428" s="6"/>
      <c r="GV428" s="6"/>
      <c r="GW428" s="6"/>
      <c r="GX428" s="6"/>
      <c r="GY428" s="6"/>
      <c r="GZ428" s="6"/>
      <c r="HA428" s="6"/>
      <c r="HB428" s="6"/>
      <c r="HC428" s="6"/>
      <c r="HD428" s="6"/>
      <c r="HE428" s="6"/>
      <c r="HF428" s="6"/>
      <c r="HG428" s="6"/>
      <c r="HH428" s="6"/>
      <c r="HI428" s="6"/>
      <c r="HJ428" s="6"/>
      <c r="HK428" s="6"/>
      <c r="HL428" s="6"/>
      <c r="HM428" s="6"/>
      <c r="HN428" s="6"/>
      <c r="HO428" s="6"/>
      <c r="HP428" s="6"/>
    </row>
    <row r="429" spans="3:224" ht="20.100000000000001" customHeight="1">
      <c r="C429" s="11">
        <v>15703003</v>
      </c>
      <c r="D429" s="14" t="s">
        <v>379</v>
      </c>
      <c r="E429" s="14">
        <v>1140003</v>
      </c>
      <c r="F429" s="14">
        <v>17031</v>
      </c>
      <c r="G429" s="14">
        <v>1</v>
      </c>
      <c r="H429" s="14">
        <v>60</v>
      </c>
      <c r="I429" s="22">
        <v>0.2</v>
      </c>
      <c r="J429" s="23">
        <v>30</v>
      </c>
      <c r="K429" s="14">
        <v>0</v>
      </c>
      <c r="L429" s="14">
        <v>6810</v>
      </c>
      <c r="M429" s="14">
        <v>60</v>
      </c>
      <c r="N429" s="14">
        <v>120</v>
      </c>
      <c r="O429" s="14">
        <v>0</v>
      </c>
      <c r="P429" s="14">
        <v>0</v>
      </c>
      <c r="Q429" s="14">
        <v>166</v>
      </c>
      <c r="R429" s="14">
        <v>330</v>
      </c>
      <c r="S429" s="14">
        <v>0</v>
      </c>
      <c r="T429" s="14">
        <v>0</v>
      </c>
      <c r="U429" s="22">
        <v>0</v>
      </c>
      <c r="V429" s="14">
        <v>0</v>
      </c>
      <c r="W429" s="14">
        <v>0</v>
      </c>
      <c r="X429" s="14">
        <v>0</v>
      </c>
      <c r="Y429" s="22">
        <v>0</v>
      </c>
      <c r="Z429" s="22">
        <v>0</v>
      </c>
      <c r="AA429" s="22">
        <v>0</v>
      </c>
      <c r="AB429" s="22">
        <v>200403</v>
      </c>
      <c r="AC429" s="22">
        <v>200</v>
      </c>
      <c r="AD429" s="22">
        <v>1</v>
      </c>
      <c r="AE429" s="22"/>
      <c r="GR429" s="6"/>
      <c r="GS429" s="6"/>
      <c r="GT429" s="6"/>
      <c r="GU429" s="6"/>
      <c r="GV429" s="6"/>
      <c r="GW429" s="6"/>
      <c r="GX429" s="6"/>
      <c r="GY429" s="6"/>
      <c r="GZ429" s="6"/>
      <c r="HA429" s="6"/>
      <c r="HB429" s="6"/>
      <c r="HC429" s="6"/>
      <c r="HD429" s="6"/>
      <c r="HE429" s="6"/>
      <c r="HF429" s="6"/>
      <c r="HG429" s="6"/>
      <c r="HH429" s="6"/>
      <c r="HI429" s="6"/>
      <c r="HJ429" s="6"/>
      <c r="HK429" s="6"/>
      <c r="HL429" s="6"/>
      <c r="HM429" s="6"/>
      <c r="HN429" s="6"/>
      <c r="HO429" s="6"/>
      <c r="HP429" s="6"/>
    </row>
    <row r="430" spans="3:224" ht="20.100000000000001" customHeight="1">
      <c r="C430" s="11">
        <v>15704001</v>
      </c>
      <c r="D430" s="14" t="s">
        <v>382</v>
      </c>
      <c r="E430" s="14">
        <v>1140003</v>
      </c>
      <c r="F430" s="14">
        <v>17011</v>
      </c>
      <c r="G430" s="14">
        <v>1</v>
      </c>
      <c r="H430" s="14">
        <v>60</v>
      </c>
      <c r="I430" s="22">
        <v>0.2</v>
      </c>
      <c r="J430" s="23">
        <v>30</v>
      </c>
      <c r="K430" s="14">
        <v>0</v>
      </c>
      <c r="L430" s="14">
        <v>0</v>
      </c>
      <c r="M430" s="14">
        <v>120</v>
      </c>
      <c r="N430" s="14">
        <v>240</v>
      </c>
      <c r="O430" s="14">
        <v>0</v>
      </c>
      <c r="P430" s="14">
        <v>0</v>
      </c>
      <c r="Q430" s="14">
        <v>136</v>
      </c>
      <c r="R430" s="14">
        <v>256</v>
      </c>
      <c r="S430" s="14">
        <v>136</v>
      </c>
      <c r="T430" s="14">
        <v>256</v>
      </c>
      <c r="U430" s="22">
        <v>0</v>
      </c>
      <c r="V430" s="14">
        <v>0</v>
      </c>
      <c r="W430" s="14">
        <v>0</v>
      </c>
      <c r="X430" s="14">
        <v>0</v>
      </c>
      <c r="Y430" s="22">
        <v>0</v>
      </c>
      <c r="Z430" s="22">
        <v>0</v>
      </c>
      <c r="AA430" s="22">
        <v>0</v>
      </c>
      <c r="AB430" s="22">
        <v>202203</v>
      </c>
      <c r="AC430" s="22">
        <v>200</v>
      </c>
      <c r="AD430" s="22">
        <v>1</v>
      </c>
      <c r="AE430" s="22"/>
      <c r="GR430" s="6"/>
      <c r="GS430" s="6"/>
      <c r="GT430" s="6"/>
      <c r="GU430" s="6"/>
      <c r="GV430" s="6"/>
      <c r="GW430" s="6"/>
      <c r="GX430" s="6"/>
      <c r="GY430" s="6"/>
      <c r="GZ430" s="6"/>
      <c r="HA430" s="6"/>
      <c r="HB430" s="6"/>
      <c r="HC430" s="6"/>
      <c r="HD430" s="6"/>
      <c r="HE430" s="6"/>
      <c r="HF430" s="6"/>
      <c r="HG430" s="6"/>
      <c r="HH430" s="6"/>
      <c r="HI430" s="6"/>
      <c r="HJ430" s="6"/>
      <c r="HK430" s="6"/>
      <c r="HL430" s="6"/>
      <c r="HM430" s="6"/>
      <c r="HN430" s="6"/>
      <c r="HO430" s="6"/>
      <c r="HP430" s="6"/>
    </row>
    <row r="431" spans="3:224" ht="20.100000000000001" customHeight="1">
      <c r="C431" s="11">
        <v>15704002</v>
      </c>
      <c r="D431" s="14" t="s">
        <v>384</v>
      </c>
      <c r="E431" s="14">
        <v>1140003</v>
      </c>
      <c r="F431" s="14">
        <v>17021</v>
      </c>
      <c r="G431" s="14">
        <v>1</v>
      </c>
      <c r="H431" s="14">
        <v>60</v>
      </c>
      <c r="I431" s="22">
        <v>0.2</v>
      </c>
      <c r="J431" s="23">
        <v>30</v>
      </c>
      <c r="K431" s="14">
        <v>0</v>
      </c>
      <c r="L431" s="14">
        <v>0</v>
      </c>
      <c r="M431" s="14">
        <v>166</v>
      </c>
      <c r="N431" s="14">
        <v>316</v>
      </c>
      <c r="O431" s="14">
        <v>0</v>
      </c>
      <c r="P431" s="14">
        <v>0</v>
      </c>
      <c r="Q431" s="14">
        <v>90</v>
      </c>
      <c r="R431" s="14">
        <v>196</v>
      </c>
      <c r="S431" s="14">
        <v>90</v>
      </c>
      <c r="T431" s="14">
        <v>196</v>
      </c>
      <c r="U431" s="22">
        <v>0</v>
      </c>
      <c r="V431" s="14">
        <v>0</v>
      </c>
      <c r="W431" s="14">
        <v>0</v>
      </c>
      <c r="X431" s="14">
        <v>0</v>
      </c>
      <c r="Y431" s="22">
        <v>0</v>
      </c>
      <c r="Z431" s="22">
        <v>0</v>
      </c>
      <c r="AA431" s="22">
        <v>0</v>
      </c>
      <c r="AB431" s="22">
        <v>202303</v>
      </c>
      <c r="AC431" s="22">
        <v>200</v>
      </c>
      <c r="AD431" s="22">
        <v>1</v>
      </c>
      <c r="AE431" s="22"/>
      <c r="GR431" s="6"/>
      <c r="GS431" s="6"/>
      <c r="GT431" s="6"/>
      <c r="GU431" s="6"/>
      <c r="GV431" s="6"/>
      <c r="GW431" s="6"/>
      <c r="GX431" s="6"/>
      <c r="GY431" s="6"/>
      <c r="GZ431" s="6"/>
      <c r="HA431" s="6"/>
      <c r="HB431" s="6"/>
      <c r="HC431" s="6"/>
      <c r="HD431" s="6"/>
      <c r="HE431" s="6"/>
      <c r="HF431" s="6"/>
      <c r="HG431" s="6"/>
      <c r="HH431" s="6"/>
      <c r="HI431" s="6"/>
      <c r="HJ431" s="6"/>
      <c r="HK431" s="6"/>
      <c r="HL431" s="6"/>
      <c r="HM431" s="6"/>
      <c r="HN431" s="6"/>
      <c r="HO431" s="6"/>
      <c r="HP431" s="6"/>
    </row>
    <row r="432" spans="3:224" ht="20.100000000000001" customHeight="1">
      <c r="C432" s="11">
        <v>15704003</v>
      </c>
      <c r="D432" s="14" t="s">
        <v>386</v>
      </c>
      <c r="E432" s="14">
        <v>1140003</v>
      </c>
      <c r="F432" s="14">
        <v>17031</v>
      </c>
      <c r="G432" s="14">
        <v>1</v>
      </c>
      <c r="H432" s="14">
        <v>60</v>
      </c>
      <c r="I432" s="22">
        <v>0.2</v>
      </c>
      <c r="J432" s="23">
        <v>30</v>
      </c>
      <c r="K432" s="14">
        <v>0</v>
      </c>
      <c r="L432" s="14">
        <v>0</v>
      </c>
      <c r="M432" s="14">
        <v>90</v>
      </c>
      <c r="N432" s="14">
        <v>180</v>
      </c>
      <c r="O432" s="14">
        <v>0</v>
      </c>
      <c r="P432" s="14">
        <v>0</v>
      </c>
      <c r="Q432" s="14">
        <v>166</v>
      </c>
      <c r="R432" s="14">
        <v>330</v>
      </c>
      <c r="S432" s="14">
        <v>166</v>
      </c>
      <c r="T432" s="14">
        <v>330</v>
      </c>
      <c r="U432" s="22">
        <v>0</v>
      </c>
      <c r="V432" s="14">
        <v>0</v>
      </c>
      <c r="W432" s="14">
        <v>0</v>
      </c>
      <c r="X432" s="14">
        <v>0</v>
      </c>
      <c r="Y432" s="22">
        <v>0</v>
      </c>
      <c r="Z432" s="22">
        <v>0</v>
      </c>
      <c r="AA432" s="22">
        <v>0</v>
      </c>
      <c r="AB432" s="22">
        <v>202203</v>
      </c>
      <c r="AC432" s="22">
        <v>200</v>
      </c>
      <c r="AD432" s="22">
        <v>1</v>
      </c>
      <c r="AE432" s="22"/>
      <c r="GR432" s="6"/>
      <c r="GS432" s="6"/>
      <c r="GT432" s="6"/>
      <c r="GU432" s="6"/>
      <c r="GV432" s="6"/>
      <c r="GW432" s="6"/>
      <c r="GX432" s="6"/>
      <c r="GY432" s="6"/>
      <c r="GZ432" s="6"/>
      <c r="HA432" s="6"/>
      <c r="HB432" s="6"/>
      <c r="HC432" s="6"/>
      <c r="HD432" s="6"/>
      <c r="HE432" s="6"/>
      <c r="HF432" s="6"/>
      <c r="HG432" s="6"/>
      <c r="HH432" s="6"/>
      <c r="HI432" s="6"/>
      <c r="HJ432" s="6"/>
      <c r="HK432" s="6"/>
      <c r="HL432" s="6"/>
      <c r="HM432" s="6"/>
      <c r="HN432" s="6"/>
      <c r="HO432" s="6"/>
      <c r="HP432" s="6"/>
    </row>
    <row r="433" spans="3:224" ht="20.100000000000001" customHeight="1">
      <c r="C433" s="11">
        <v>15705001</v>
      </c>
      <c r="D433" s="14" t="s">
        <v>388</v>
      </c>
      <c r="E433" s="14">
        <v>1140003</v>
      </c>
      <c r="F433" s="14">
        <v>17011</v>
      </c>
      <c r="G433" s="14">
        <v>1</v>
      </c>
      <c r="H433" s="14">
        <v>60</v>
      </c>
      <c r="I433" s="22">
        <v>0.2</v>
      </c>
      <c r="J433" s="23">
        <v>30</v>
      </c>
      <c r="K433" s="14">
        <v>0</v>
      </c>
      <c r="L433" s="14">
        <v>11340</v>
      </c>
      <c r="M433" s="14">
        <v>166</v>
      </c>
      <c r="N433" s="14">
        <v>330</v>
      </c>
      <c r="O433" s="14">
        <v>0</v>
      </c>
      <c r="P433" s="14">
        <v>0</v>
      </c>
      <c r="Q433" s="14">
        <v>60</v>
      </c>
      <c r="R433" s="14">
        <v>136</v>
      </c>
      <c r="S433" s="14">
        <v>0</v>
      </c>
      <c r="T433" s="14">
        <v>0</v>
      </c>
      <c r="U433" s="22">
        <v>0</v>
      </c>
      <c r="V433" s="14">
        <v>0</v>
      </c>
      <c r="W433" s="14">
        <v>0</v>
      </c>
      <c r="X433" s="14">
        <v>0</v>
      </c>
      <c r="Y433" s="22">
        <v>0</v>
      </c>
      <c r="Z433" s="22">
        <v>0</v>
      </c>
      <c r="AA433" s="22">
        <v>0</v>
      </c>
      <c r="AB433" s="22">
        <v>200103</v>
      </c>
      <c r="AC433" s="22">
        <v>200</v>
      </c>
      <c r="AD433" s="22">
        <v>1</v>
      </c>
      <c r="AE433" s="22"/>
      <c r="GR433" s="6"/>
      <c r="GS433" s="6"/>
      <c r="GT433" s="6"/>
      <c r="GU433" s="6"/>
      <c r="GV433" s="6"/>
      <c r="GW433" s="6"/>
      <c r="GX433" s="6"/>
      <c r="GY433" s="6"/>
      <c r="GZ433" s="6"/>
      <c r="HA433" s="6"/>
      <c r="HB433" s="6"/>
      <c r="HC433" s="6"/>
      <c r="HD433" s="6"/>
      <c r="HE433" s="6"/>
      <c r="HF433" s="6"/>
      <c r="HG433" s="6"/>
      <c r="HH433" s="6"/>
      <c r="HI433" s="6"/>
      <c r="HJ433" s="6"/>
      <c r="HK433" s="6"/>
      <c r="HL433" s="6"/>
      <c r="HM433" s="6"/>
      <c r="HN433" s="6"/>
      <c r="HO433" s="6"/>
      <c r="HP433" s="6"/>
    </row>
    <row r="434" spans="3:224" ht="20.100000000000001" customHeight="1">
      <c r="C434" s="11">
        <v>15705002</v>
      </c>
      <c r="D434" s="14" t="s">
        <v>390</v>
      </c>
      <c r="E434" s="14">
        <v>1140003</v>
      </c>
      <c r="F434" s="14">
        <v>17021</v>
      </c>
      <c r="G434" s="14">
        <v>1</v>
      </c>
      <c r="H434" s="14">
        <v>60</v>
      </c>
      <c r="I434" s="22">
        <v>0.2</v>
      </c>
      <c r="J434" s="23">
        <v>30</v>
      </c>
      <c r="K434" s="14">
        <v>0</v>
      </c>
      <c r="L434" s="14">
        <v>5670</v>
      </c>
      <c r="M434" s="14">
        <v>226</v>
      </c>
      <c r="N434" s="14">
        <v>436</v>
      </c>
      <c r="O434" s="14">
        <v>0</v>
      </c>
      <c r="P434" s="14">
        <v>0</v>
      </c>
      <c r="Q434" s="14">
        <v>46</v>
      </c>
      <c r="R434" s="14">
        <v>90</v>
      </c>
      <c r="S434" s="14">
        <v>0</v>
      </c>
      <c r="T434" s="14">
        <v>0</v>
      </c>
      <c r="U434" s="22">
        <v>0</v>
      </c>
      <c r="V434" s="14">
        <v>0</v>
      </c>
      <c r="W434" s="14">
        <v>0</v>
      </c>
      <c r="X434" s="14">
        <v>0</v>
      </c>
      <c r="Y434" s="22">
        <v>0</v>
      </c>
      <c r="Z434" s="22">
        <v>0</v>
      </c>
      <c r="AA434" s="22">
        <v>0</v>
      </c>
      <c r="AB434" s="22">
        <v>200103</v>
      </c>
      <c r="AC434" s="22">
        <v>200</v>
      </c>
      <c r="AD434" s="22">
        <v>1</v>
      </c>
      <c r="AE434" s="22"/>
      <c r="GR434" s="6"/>
      <c r="GS434" s="6"/>
      <c r="GT434" s="6"/>
      <c r="GU434" s="6"/>
      <c r="GV434" s="6"/>
      <c r="GW434" s="6"/>
      <c r="GX434" s="6"/>
      <c r="GY434" s="6"/>
      <c r="GZ434" s="6"/>
      <c r="HA434" s="6"/>
      <c r="HB434" s="6"/>
      <c r="HC434" s="6"/>
      <c r="HD434" s="6"/>
      <c r="HE434" s="6"/>
      <c r="HF434" s="6"/>
      <c r="HG434" s="6"/>
      <c r="HH434" s="6"/>
      <c r="HI434" s="6"/>
      <c r="HJ434" s="6"/>
      <c r="HK434" s="6"/>
      <c r="HL434" s="6"/>
      <c r="HM434" s="6"/>
      <c r="HN434" s="6"/>
      <c r="HO434" s="6"/>
      <c r="HP434" s="6"/>
    </row>
    <row r="435" spans="3:224" ht="20.100000000000001" customHeight="1">
      <c r="C435" s="11">
        <v>15705003</v>
      </c>
      <c r="D435" s="14" t="s">
        <v>392</v>
      </c>
      <c r="E435" s="14">
        <v>1140003</v>
      </c>
      <c r="F435" s="14">
        <v>17031</v>
      </c>
      <c r="G435" s="14">
        <v>1</v>
      </c>
      <c r="H435" s="14">
        <v>60</v>
      </c>
      <c r="I435" s="22">
        <v>0.2</v>
      </c>
      <c r="J435" s="23">
        <v>30</v>
      </c>
      <c r="K435" s="14">
        <v>0</v>
      </c>
      <c r="L435" s="14">
        <v>17010</v>
      </c>
      <c r="M435" s="14">
        <v>120</v>
      </c>
      <c r="N435" s="14">
        <v>240</v>
      </c>
      <c r="O435" s="14">
        <v>0</v>
      </c>
      <c r="P435" s="14">
        <v>0</v>
      </c>
      <c r="Q435" s="14">
        <v>76</v>
      </c>
      <c r="R435" s="14">
        <v>166</v>
      </c>
      <c r="S435" s="14">
        <v>0</v>
      </c>
      <c r="T435" s="14">
        <v>0</v>
      </c>
      <c r="U435" s="22">
        <v>0</v>
      </c>
      <c r="V435" s="14">
        <v>0</v>
      </c>
      <c r="W435" s="14">
        <v>0</v>
      </c>
      <c r="X435" s="14">
        <v>0</v>
      </c>
      <c r="Y435" s="22">
        <v>0</v>
      </c>
      <c r="Z435" s="22">
        <v>0</v>
      </c>
      <c r="AA435" s="22">
        <v>0</v>
      </c>
      <c r="AB435" s="22">
        <v>200103</v>
      </c>
      <c r="AC435" s="22">
        <v>200</v>
      </c>
      <c r="AD435" s="22">
        <v>1</v>
      </c>
      <c r="AE435" s="22"/>
      <c r="GR435" s="6"/>
      <c r="GS435" s="6"/>
      <c r="GT435" s="6"/>
      <c r="GU435" s="6"/>
      <c r="GV435" s="6"/>
      <c r="GW435" s="6"/>
      <c r="GX435" s="6"/>
      <c r="GY435" s="6"/>
      <c r="GZ435" s="6"/>
      <c r="HA435" s="6"/>
      <c r="HB435" s="6"/>
      <c r="HC435" s="6"/>
      <c r="HD435" s="6"/>
      <c r="HE435" s="6"/>
      <c r="HF435" s="6"/>
      <c r="HG435" s="6"/>
      <c r="HH435" s="6"/>
      <c r="HI435" s="6"/>
      <c r="HJ435" s="6"/>
      <c r="HK435" s="6"/>
      <c r="HL435" s="6"/>
      <c r="HM435" s="6"/>
      <c r="HN435" s="6"/>
      <c r="HO435" s="6"/>
      <c r="HP435" s="6"/>
    </row>
    <row r="436" spans="3:224" ht="20.100000000000001" customHeight="1">
      <c r="C436" s="11">
        <v>15706001</v>
      </c>
      <c r="D436" s="14" t="s">
        <v>394</v>
      </c>
      <c r="E436" s="14">
        <v>1140002</v>
      </c>
      <c r="F436" s="14">
        <v>17051</v>
      </c>
      <c r="G436" s="14">
        <v>1</v>
      </c>
      <c r="H436" s="14">
        <v>60</v>
      </c>
      <c r="I436" s="22">
        <v>0.2</v>
      </c>
      <c r="J436" s="23">
        <v>30</v>
      </c>
      <c r="K436" s="14">
        <v>0</v>
      </c>
      <c r="L436" s="14">
        <v>0</v>
      </c>
      <c r="M436" s="14">
        <v>330</v>
      </c>
      <c r="N436" s="14">
        <v>646</v>
      </c>
      <c r="O436" s="14">
        <v>0</v>
      </c>
      <c r="P436" s="14">
        <v>0</v>
      </c>
      <c r="Q436" s="14">
        <v>90</v>
      </c>
      <c r="R436" s="14">
        <v>196</v>
      </c>
      <c r="S436" s="14">
        <v>0</v>
      </c>
      <c r="T436" s="14">
        <v>0</v>
      </c>
      <c r="U436" s="22">
        <v>0</v>
      </c>
      <c r="V436" s="14">
        <v>0</v>
      </c>
      <c r="W436" s="14">
        <v>0</v>
      </c>
      <c r="X436" s="14">
        <v>0</v>
      </c>
      <c r="Y436" s="22">
        <v>0</v>
      </c>
      <c r="Z436" s="22">
        <v>0</v>
      </c>
      <c r="AA436" s="22">
        <v>0</v>
      </c>
      <c r="AB436" s="22">
        <v>100402</v>
      </c>
      <c r="AC436" s="22">
        <v>200</v>
      </c>
      <c r="AD436" s="22">
        <v>1</v>
      </c>
      <c r="AE436" s="22"/>
      <c r="GR436" s="6"/>
      <c r="GS436" s="6"/>
      <c r="GT436" s="6"/>
      <c r="GU436" s="6"/>
      <c r="GV436" s="6"/>
      <c r="GW436" s="6"/>
      <c r="GX436" s="6"/>
      <c r="GY436" s="6"/>
      <c r="GZ436" s="6"/>
      <c r="HA436" s="6"/>
      <c r="HB436" s="6"/>
      <c r="HC436" s="6"/>
      <c r="HD436" s="6"/>
      <c r="HE436" s="6"/>
      <c r="HF436" s="6"/>
      <c r="HG436" s="6"/>
      <c r="HH436" s="6"/>
      <c r="HI436" s="6"/>
      <c r="HJ436" s="6"/>
      <c r="HK436" s="6"/>
      <c r="HL436" s="6"/>
      <c r="HM436" s="6"/>
      <c r="HN436" s="6"/>
      <c r="HO436" s="6"/>
      <c r="HP436" s="6"/>
    </row>
    <row r="437" spans="3:224" ht="20.100000000000001" customHeight="1">
      <c r="C437" s="11">
        <v>15707001</v>
      </c>
      <c r="D437" s="14" t="s">
        <v>397</v>
      </c>
      <c r="E437" s="14">
        <v>1140002</v>
      </c>
      <c r="F437" s="14">
        <v>0</v>
      </c>
      <c r="G437" s="14">
        <v>1</v>
      </c>
      <c r="H437" s="14">
        <v>60</v>
      </c>
      <c r="I437" s="22">
        <v>0.2</v>
      </c>
      <c r="J437" s="23">
        <v>30</v>
      </c>
      <c r="K437" s="14">
        <v>0</v>
      </c>
      <c r="L437" s="14">
        <v>0</v>
      </c>
      <c r="M437" s="14">
        <v>330</v>
      </c>
      <c r="N437" s="14">
        <v>646</v>
      </c>
      <c r="O437" s="14">
        <v>0</v>
      </c>
      <c r="P437" s="14">
        <v>0</v>
      </c>
      <c r="Q437" s="14">
        <v>0</v>
      </c>
      <c r="R437" s="14">
        <v>0</v>
      </c>
      <c r="S437" s="14">
        <v>90</v>
      </c>
      <c r="T437" s="14">
        <v>196</v>
      </c>
      <c r="U437" s="22">
        <v>0</v>
      </c>
      <c r="V437" s="14">
        <v>0</v>
      </c>
      <c r="W437" s="14">
        <v>0</v>
      </c>
      <c r="X437" s="14">
        <v>0</v>
      </c>
      <c r="Y437" s="22">
        <v>0</v>
      </c>
      <c r="Z437" s="22">
        <v>0</v>
      </c>
      <c r="AA437" s="22">
        <v>0</v>
      </c>
      <c r="AB437" s="22">
        <v>200203</v>
      </c>
      <c r="AC437" s="22">
        <v>200</v>
      </c>
      <c r="AD437" s="22">
        <v>1</v>
      </c>
      <c r="AE437" s="22"/>
      <c r="GR437" s="6"/>
      <c r="GS437" s="6"/>
      <c r="GT437" s="6"/>
      <c r="GU437" s="6"/>
      <c r="GV437" s="6"/>
      <c r="GW437" s="6"/>
      <c r="GX437" s="6"/>
      <c r="GY437" s="6"/>
      <c r="GZ437" s="6"/>
      <c r="HA437" s="6"/>
      <c r="HB437" s="6"/>
      <c r="HC437" s="6"/>
      <c r="HD437" s="6"/>
      <c r="HE437" s="6"/>
      <c r="HF437" s="6"/>
      <c r="HG437" s="6"/>
      <c r="HH437" s="6"/>
      <c r="HI437" s="6"/>
      <c r="HJ437" s="6"/>
      <c r="HK437" s="6"/>
      <c r="HL437" s="6"/>
      <c r="HM437" s="6"/>
      <c r="HN437" s="6"/>
      <c r="HO437" s="6"/>
      <c r="HP437" s="6"/>
    </row>
    <row r="438" spans="3:224" ht="20.100000000000001" customHeight="1">
      <c r="C438" s="11">
        <v>15708001</v>
      </c>
      <c r="D438" s="14" t="s">
        <v>399</v>
      </c>
      <c r="E438" s="14">
        <v>1140002</v>
      </c>
      <c r="F438" s="14">
        <v>0</v>
      </c>
      <c r="G438" s="14">
        <v>1</v>
      </c>
      <c r="H438" s="14">
        <v>60</v>
      </c>
      <c r="I438" s="22">
        <v>0.2</v>
      </c>
      <c r="J438" s="23">
        <v>30</v>
      </c>
      <c r="K438" s="14">
        <v>0</v>
      </c>
      <c r="L438" s="14">
        <v>0</v>
      </c>
      <c r="M438" s="14">
        <v>60</v>
      </c>
      <c r="N438" s="14">
        <v>150</v>
      </c>
      <c r="O438" s="14">
        <v>0</v>
      </c>
      <c r="P438" s="14">
        <v>0</v>
      </c>
      <c r="Q438" s="14">
        <v>0</v>
      </c>
      <c r="R438" s="14">
        <v>0</v>
      </c>
      <c r="S438" s="14">
        <v>0</v>
      </c>
      <c r="T438" s="14">
        <v>0</v>
      </c>
      <c r="U438" s="22">
        <v>0</v>
      </c>
      <c r="V438" s="14">
        <v>0</v>
      </c>
      <c r="W438" s="14">
        <v>0</v>
      </c>
      <c r="X438" s="14">
        <v>0</v>
      </c>
      <c r="Y438" s="22">
        <v>0</v>
      </c>
      <c r="Z438" s="22">
        <v>0</v>
      </c>
      <c r="AA438" s="22">
        <v>0</v>
      </c>
      <c r="AB438" s="22">
        <v>0</v>
      </c>
      <c r="AC438" s="22">
        <v>0</v>
      </c>
      <c r="AD438" s="22">
        <v>0</v>
      </c>
      <c r="AE438" s="22"/>
      <c r="GR438" s="6"/>
      <c r="GS438" s="6"/>
      <c r="GT438" s="6"/>
      <c r="GU438" s="6"/>
      <c r="GV438" s="6"/>
      <c r="GW438" s="6"/>
      <c r="GX438" s="6"/>
      <c r="GY438" s="6"/>
      <c r="GZ438" s="6"/>
      <c r="HA438" s="6"/>
      <c r="HB438" s="6"/>
      <c r="HC438" s="6"/>
      <c r="HD438" s="6"/>
      <c r="HE438" s="6"/>
      <c r="HF438" s="6"/>
      <c r="HG438" s="6"/>
      <c r="HH438" s="6"/>
      <c r="HI438" s="6"/>
      <c r="HJ438" s="6"/>
      <c r="HK438" s="6"/>
      <c r="HL438" s="6"/>
      <c r="HM438" s="6"/>
      <c r="HN438" s="6"/>
      <c r="HO438" s="6"/>
      <c r="HP438" s="6"/>
    </row>
    <row r="439" spans="3:224" ht="20.100000000000001" customHeight="1">
      <c r="C439" s="11">
        <v>15709001</v>
      </c>
      <c r="D439" s="14" t="s">
        <v>402</v>
      </c>
      <c r="E439" s="14">
        <v>1140001</v>
      </c>
      <c r="F439" s="14">
        <v>0</v>
      </c>
      <c r="G439" s="14">
        <v>1</v>
      </c>
      <c r="H439" s="14">
        <v>60</v>
      </c>
      <c r="I439" s="22">
        <v>0.2</v>
      </c>
      <c r="J439" s="23">
        <v>30</v>
      </c>
      <c r="K439" s="14">
        <v>0</v>
      </c>
      <c r="L439" s="14">
        <v>18150</v>
      </c>
      <c r="M439" s="14">
        <v>0</v>
      </c>
      <c r="N439" s="14">
        <v>0</v>
      </c>
      <c r="O439" s="14">
        <v>0</v>
      </c>
      <c r="P439" s="14">
        <v>0</v>
      </c>
      <c r="Q439" s="14">
        <v>0</v>
      </c>
      <c r="R439" s="14">
        <v>0</v>
      </c>
      <c r="S439" s="14">
        <v>0</v>
      </c>
      <c r="T439" s="14">
        <v>0</v>
      </c>
      <c r="U439" s="22">
        <v>0</v>
      </c>
      <c r="V439" s="14">
        <v>0</v>
      </c>
      <c r="W439" s="14">
        <v>0</v>
      </c>
      <c r="X439" s="14">
        <v>0</v>
      </c>
      <c r="Y439" s="22">
        <v>0</v>
      </c>
      <c r="Z439" s="22">
        <v>0</v>
      </c>
      <c r="AA439" s="22">
        <v>0</v>
      </c>
      <c r="AB439" s="22">
        <v>200303</v>
      </c>
      <c r="AC439" s="22">
        <v>200</v>
      </c>
      <c r="AD439" s="22">
        <v>1</v>
      </c>
      <c r="AE439" s="22"/>
      <c r="GR439" s="6"/>
      <c r="GS439" s="6"/>
      <c r="GT439" s="6"/>
      <c r="GU439" s="6"/>
      <c r="GV439" s="6"/>
      <c r="GW439" s="6"/>
      <c r="GX439" s="6"/>
      <c r="GY439" s="6"/>
      <c r="GZ439" s="6"/>
      <c r="HA439" s="6"/>
      <c r="HB439" s="6"/>
      <c r="HC439" s="6"/>
      <c r="HD439" s="6"/>
      <c r="HE439" s="6"/>
      <c r="HF439" s="6"/>
      <c r="HG439" s="6"/>
      <c r="HH439" s="6"/>
      <c r="HI439" s="6"/>
      <c r="HJ439" s="6"/>
      <c r="HK439" s="6"/>
      <c r="HL439" s="6"/>
      <c r="HM439" s="6"/>
      <c r="HN439" s="6"/>
      <c r="HO439" s="6"/>
      <c r="HP439" s="6"/>
    </row>
    <row r="440" spans="3:224" ht="20.100000000000001" customHeight="1">
      <c r="C440" s="11">
        <v>15710001</v>
      </c>
      <c r="D440" s="11" t="s">
        <v>405</v>
      </c>
      <c r="E440" s="14">
        <v>1140001</v>
      </c>
      <c r="F440" s="14">
        <v>17051</v>
      </c>
      <c r="G440" s="14">
        <v>1</v>
      </c>
      <c r="H440" s="14">
        <v>60</v>
      </c>
      <c r="I440" s="22">
        <v>0.2</v>
      </c>
      <c r="J440" s="23">
        <v>30</v>
      </c>
      <c r="K440" s="14">
        <v>0</v>
      </c>
      <c r="L440" s="14">
        <v>0</v>
      </c>
      <c r="M440" s="14">
        <v>900</v>
      </c>
      <c r="N440" s="14">
        <v>1816</v>
      </c>
      <c r="O440" s="14">
        <v>0</v>
      </c>
      <c r="P440" s="14">
        <v>0</v>
      </c>
      <c r="Q440" s="14">
        <v>0</v>
      </c>
      <c r="R440" s="14">
        <v>0</v>
      </c>
      <c r="S440" s="14">
        <v>0</v>
      </c>
      <c r="T440" s="14">
        <v>0</v>
      </c>
      <c r="U440" s="22">
        <v>0</v>
      </c>
      <c r="V440" s="14">
        <v>0</v>
      </c>
      <c r="W440" s="14">
        <v>0</v>
      </c>
      <c r="X440" s="14">
        <v>0</v>
      </c>
      <c r="Y440" s="22">
        <v>0</v>
      </c>
      <c r="Z440" s="22">
        <v>0</v>
      </c>
      <c r="AA440" s="22">
        <v>0</v>
      </c>
      <c r="AB440" s="22">
        <v>200903</v>
      </c>
      <c r="AC440" s="22">
        <v>200</v>
      </c>
      <c r="AD440" s="22">
        <v>1</v>
      </c>
      <c r="AE440" s="22"/>
      <c r="GR440" s="6"/>
      <c r="GS440" s="6"/>
      <c r="GT440" s="6"/>
      <c r="GU440" s="6"/>
      <c r="GV440" s="6"/>
      <c r="GW440" s="6"/>
      <c r="GX440" s="6"/>
      <c r="GY440" s="6"/>
      <c r="GZ440" s="6"/>
      <c r="HA440" s="6"/>
      <c r="HB440" s="6"/>
      <c r="HC440" s="6"/>
      <c r="HD440" s="6"/>
      <c r="HE440" s="6"/>
      <c r="HF440" s="6"/>
      <c r="HG440" s="6"/>
      <c r="HH440" s="6"/>
      <c r="HI440" s="6"/>
      <c r="HJ440" s="6"/>
      <c r="HK440" s="6"/>
      <c r="HL440" s="6"/>
      <c r="HM440" s="6"/>
      <c r="HN440" s="6"/>
      <c r="HO440" s="6"/>
      <c r="HP440" s="6"/>
    </row>
    <row r="441" spans="3:224" ht="20.100000000000001" customHeight="1">
      <c r="C441" s="11">
        <v>15710002</v>
      </c>
      <c r="D441" s="11" t="s">
        <v>407</v>
      </c>
      <c r="E441" s="14">
        <v>1140001</v>
      </c>
      <c r="F441" s="14">
        <v>17051</v>
      </c>
      <c r="G441" s="14">
        <v>1</v>
      </c>
      <c r="H441" s="14">
        <v>60</v>
      </c>
      <c r="I441" s="22">
        <v>0.2</v>
      </c>
      <c r="J441" s="23">
        <v>30</v>
      </c>
      <c r="K441" s="14">
        <v>0</v>
      </c>
      <c r="L441" s="14">
        <v>0</v>
      </c>
      <c r="M441" s="14">
        <v>900</v>
      </c>
      <c r="N441" s="14">
        <v>1816</v>
      </c>
      <c r="O441" s="14">
        <v>0</v>
      </c>
      <c r="P441" s="14">
        <v>0</v>
      </c>
      <c r="Q441" s="14">
        <v>0</v>
      </c>
      <c r="R441" s="14">
        <v>0</v>
      </c>
      <c r="S441" s="14">
        <v>0</v>
      </c>
      <c r="T441" s="14">
        <v>0</v>
      </c>
      <c r="U441" s="22">
        <v>0</v>
      </c>
      <c r="V441" s="14">
        <v>0</v>
      </c>
      <c r="W441" s="14">
        <v>0</v>
      </c>
      <c r="X441" s="14">
        <v>0</v>
      </c>
      <c r="Y441" s="22">
        <v>0</v>
      </c>
      <c r="Z441" s="22">
        <v>0</v>
      </c>
      <c r="AA441" s="22">
        <v>0</v>
      </c>
      <c r="AB441" s="22">
        <v>200903</v>
      </c>
      <c r="AC441" s="22">
        <v>200</v>
      </c>
      <c r="AD441" s="22">
        <v>1</v>
      </c>
      <c r="AE441" s="22"/>
      <c r="GR441" s="6"/>
      <c r="GS441" s="6"/>
      <c r="GT441" s="6"/>
      <c r="GU441" s="6"/>
      <c r="GV441" s="6"/>
      <c r="GW441" s="6"/>
      <c r="GX441" s="6"/>
      <c r="GY441" s="6"/>
      <c r="GZ441" s="6"/>
      <c r="HA441" s="6"/>
      <c r="HB441" s="6"/>
      <c r="HC441" s="6"/>
      <c r="HD441" s="6"/>
      <c r="HE441" s="6"/>
      <c r="HF441" s="6"/>
      <c r="HG441" s="6"/>
      <c r="HH441" s="6"/>
      <c r="HI441" s="6"/>
      <c r="HJ441" s="6"/>
      <c r="HK441" s="6"/>
      <c r="HL441" s="6"/>
      <c r="HM441" s="6"/>
      <c r="HN441" s="6"/>
      <c r="HO441" s="6"/>
      <c r="HP441" s="6"/>
    </row>
    <row r="442" spans="3:224" ht="20.100000000000001" customHeight="1">
      <c r="C442" s="11">
        <v>15710201</v>
      </c>
      <c r="D442" s="11" t="s">
        <v>425</v>
      </c>
      <c r="E442" s="14">
        <v>1140001</v>
      </c>
      <c r="F442" s="14">
        <v>17051</v>
      </c>
      <c r="G442" s="14">
        <v>1</v>
      </c>
      <c r="H442" s="14">
        <v>60</v>
      </c>
      <c r="I442" s="22">
        <v>0.2</v>
      </c>
      <c r="J442" s="23">
        <v>30</v>
      </c>
      <c r="K442" s="14">
        <v>0</v>
      </c>
      <c r="L442" s="14">
        <v>0</v>
      </c>
      <c r="M442" s="14">
        <v>900</v>
      </c>
      <c r="N442" s="14">
        <v>1816</v>
      </c>
      <c r="O442" s="14">
        <v>0</v>
      </c>
      <c r="P442" s="14">
        <v>0</v>
      </c>
      <c r="Q442" s="14">
        <v>0</v>
      </c>
      <c r="R442" s="14">
        <v>0</v>
      </c>
      <c r="S442" s="14">
        <v>0</v>
      </c>
      <c r="T442" s="14">
        <v>0</v>
      </c>
      <c r="U442" s="22">
        <v>0</v>
      </c>
      <c r="V442" s="14">
        <v>0</v>
      </c>
      <c r="W442" s="14">
        <v>0</v>
      </c>
      <c r="X442" s="14">
        <v>0</v>
      </c>
      <c r="Y442" s="22">
        <v>0</v>
      </c>
      <c r="Z442" s="22">
        <v>0</v>
      </c>
      <c r="AA442" s="22">
        <v>0</v>
      </c>
      <c r="AB442" s="22">
        <v>200903</v>
      </c>
      <c r="AC442" s="22">
        <v>200</v>
      </c>
      <c r="AD442" s="22">
        <v>1</v>
      </c>
      <c r="AE442" s="22"/>
      <c r="GR442" s="6"/>
      <c r="GS442" s="6"/>
      <c r="GT442" s="6"/>
      <c r="GU442" s="6"/>
      <c r="GV442" s="6"/>
      <c r="GW442" s="6"/>
      <c r="GX442" s="6"/>
      <c r="GY442" s="6"/>
      <c r="GZ442" s="6"/>
      <c r="HA442" s="6"/>
      <c r="HB442" s="6"/>
      <c r="HC442" s="6"/>
      <c r="HD442" s="6"/>
      <c r="HE442" s="6"/>
      <c r="HF442" s="6"/>
      <c r="HG442" s="6"/>
      <c r="HH442" s="6"/>
      <c r="HI442" s="6"/>
      <c r="HJ442" s="6"/>
      <c r="HK442" s="6"/>
      <c r="HL442" s="6"/>
      <c r="HM442" s="6"/>
      <c r="HN442" s="6"/>
      <c r="HO442" s="6"/>
      <c r="HP442" s="6"/>
    </row>
    <row r="443" spans="3:224" ht="20.100000000000001" customHeight="1">
      <c r="C443" s="11">
        <v>15711001</v>
      </c>
      <c r="D443" s="14" t="s">
        <v>416</v>
      </c>
      <c r="E443" s="14">
        <v>1140003</v>
      </c>
      <c r="F443" s="14">
        <v>17011</v>
      </c>
      <c r="G443" s="14">
        <v>1</v>
      </c>
      <c r="H443" s="14">
        <v>60</v>
      </c>
      <c r="I443" s="22">
        <v>0.2</v>
      </c>
      <c r="J443" s="23">
        <v>30</v>
      </c>
      <c r="K443" s="14">
        <v>0</v>
      </c>
      <c r="L443" s="14">
        <v>15560</v>
      </c>
      <c r="M443" s="14">
        <v>0</v>
      </c>
      <c r="N443" s="14">
        <v>0</v>
      </c>
      <c r="O443" s="14">
        <v>0</v>
      </c>
      <c r="P443" s="14">
        <v>0</v>
      </c>
      <c r="Q443" s="14">
        <v>166</v>
      </c>
      <c r="R443" s="14">
        <v>330</v>
      </c>
      <c r="S443" s="14">
        <v>166</v>
      </c>
      <c r="T443" s="14">
        <v>330</v>
      </c>
      <c r="U443" s="22">
        <v>0</v>
      </c>
      <c r="V443" s="14">
        <v>0</v>
      </c>
      <c r="W443" s="14">
        <v>0</v>
      </c>
      <c r="X443" s="14">
        <v>0</v>
      </c>
      <c r="Y443" s="22">
        <v>0</v>
      </c>
      <c r="Z443" s="22">
        <v>0</v>
      </c>
      <c r="AA443" s="22">
        <v>0</v>
      </c>
      <c r="AB443" s="22">
        <v>201003</v>
      </c>
      <c r="AC443" s="22">
        <v>200</v>
      </c>
      <c r="AD443" s="22">
        <v>1</v>
      </c>
      <c r="AE443" s="22"/>
      <c r="GR443" s="6"/>
      <c r="GS443" s="6"/>
      <c r="GT443" s="6"/>
      <c r="GU443" s="6"/>
      <c r="GV443" s="6"/>
      <c r="GW443" s="6"/>
      <c r="GX443" s="6"/>
      <c r="GY443" s="6"/>
      <c r="GZ443" s="6"/>
      <c r="HA443" s="6"/>
      <c r="HB443" s="6"/>
      <c r="HC443" s="6"/>
      <c r="HD443" s="6"/>
      <c r="HE443" s="6"/>
      <c r="HF443" s="6"/>
      <c r="HG443" s="6"/>
      <c r="HH443" s="6"/>
      <c r="HI443" s="6"/>
      <c r="HJ443" s="6"/>
      <c r="HK443" s="6"/>
      <c r="HL443" s="6"/>
      <c r="HM443" s="6"/>
      <c r="HN443" s="6"/>
      <c r="HO443" s="6"/>
      <c r="HP443" s="6"/>
    </row>
    <row r="444" spans="3:224" ht="20.100000000000001" customHeight="1">
      <c r="C444" s="11">
        <v>15711002</v>
      </c>
      <c r="D444" s="14" t="s">
        <v>418</v>
      </c>
      <c r="E444" s="14">
        <v>1140003</v>
      </c>
      <c r="F444" s="14">
        <v>17021</v>
      </c>
      <c r="G444" s="14">
        <v>1</v>
      </c>
      <c r="H444" s="14">
        <v>60</v>
      </c>
      <c r="I444" s="22">
        <v>0.2</v>
      </c>
      <c r="J444" s="23">
        <v>30</v>
      </c>
      <c r="K444" s="14">
        <v>0</v>
      </c>
      <c r="L444" s="14">
        <v>7770</v>
      </c>
      <c r="M444" s="14">
        <v>0</v>
      </c>
      <c r="N444" s="14">
        <v>0</v>
      </c>
      <c r="O444" s="14">
        <v>0</v>
      </c>
      <c r="P444" s="14">
        <v>0</v>
      </c>
      <c r="Q444" s="14">
        <v>120</v>
      </c>
      <c r="R444" s="14">
        <v>240</v>
      </c>
      <c r="S444" s="14">
        <v>120</v>
      </c>
      <c r="T444" s="14">
        <v>240</v>
      </c>
      <c r="U444" s="22">
        <v>0</v>
      </c>
      <c r="V444" s="14">
        <v>0</v>
      </c>
      <c r="W444" s="14">
        <v>0</v>
      </c>
      <c r="X444" s="14">
        <v>0</v>
      </c>
      <c r="Y444" s="22">
        <v>0</v>
      </c>
      <c r="Z444" s="22">
        <v>0</v>
      </c>
      <c r="AA444" s="22">
        <v>0</v>
      </c>
      <c r="AB444" s="22">
        <v>201003</v>
      </c>
      <c r="AC444" s="22">
        <v>200</v>
      </c>
      <c r="AD444" s="22">
        <v>1</v>
      </c>
      <c r="AE444" s="22"/>
      <c r="GR444" s="6"/>
      <c r="GS444" s="6"/>
      <c r="GT444" s="6"/>
      <c r="GU444" s="6"/>
      <c r="GV444" s="6"/>
      <c r="GW444" s="6"/>
      <c r="GX444" s="6"/>
      <c r="GY444" s="6"/>
      <c r="GZ444" s="6"/>
      <c r="HA444" s="6"/>
      <c r="HB444" s="6"/>
      <c r="HC444" s="6"/>
      <c r="HD444" s="6"/>
      <c r="HE444" s="6"/>
      <c r="HF444" s="6"/>
      <c r="HG444" s="6"/>
      <c r="HH444" s="6"/>
      <c r="HI444" s="6"/>
      <c r="HJ444" s="6"/>
      <c r="HK444" s="6"/>
      <c r="HL444" s="6"/>
      <c r="HM444" s="6"/>
      <c r="HN444" s="6"/>
      <c r="HO444" s="6"/>
      <c r="HP444" s="6"/>
    </row>
    <row r="445" spans="3:224" ht="20.100000000000001" customHeight="1">
      <c r="C445" s="11">
        <v>15711003</v>
      </c>
      <c r="D445" s="14" t="s">
        <v>420</v>
      </c>
      <c r="E445" s="14">
        <v>1140003</v>
      </c>
      <c r="F445" s="14">
        <v>17031</v>
      </c>
      <c r="G445" s="14">
        <v>1</v>
      </c>
      <c r="H445" s="14">
        <v>60</v>
      </c>
      <c r="I445" s="22">
        <v>0.2</v>
      </c>
      <c r="J445" s="23">
        <v>30</v>
      </c>
      <c r="K445" s="14">
        <v>0</v>
      </c>
      <c r="L445" s="14">
        <v>23330</v>
      </c>
      <c r="M445" s="14">
        <v>0</v>
      </c>
      <c r="N445" s="14">
        <v>0</v>
      </c>
      <c r="O445" s="14">
        <v>0</v>
      </c>
      <c r="P445" s="14">
        <v>0</v>
      </c>
      <c r="Q445" s="14">
        <v>210</v>
      </c>
      <c r="R445" s="14">
        <v>406</v>
      </c>
      <c r="S445" s="14">
        <v>210</v>
      </c>
      <c r="T445" s="14">
        <v>406</v>
      </c>
      <c r="U445" s="22">
        <v>0</v>
      </c>
      <c r="V445" s="14">
        <v>0</v>
      </c>
      <c r="W445" s="14">
        <v>0</v>
      </c>
      <c r="X445" s="14">
        <v>0</v>
      </c>
      <c r="Y445" s="22">
        <v>0</v>
      </c>
      <c r="Z445" s="22">
        <v>0</v>
      </c>
      <c r="AA445" s="22">
        <v>0</v>
      </c>
      <c r="AB445" s="22">
        <v>201003</v>
      </c>
      <c r="AC445" s="22">
        <v>200</v>
      </c>
      <c r="AD445" s="22">
        <v>1</v>
      </c>
      <c r="AE445" s="22"/>
      <c r="GR445" s="6"/>
      <c r="GS445" s="6"/>
      <c r="GT445" s="6"/>
      <c r="GU445" s="6"/>
      <c r="GV445" s="6"/>
      <c r="GW445" s="6"/>
      <c r="GX445" s="6"/>
      <c r="GY445" s="6"/>
      <c r="GZ445" s="6"/>
      <c r="HA445" s="6"/>
      <c r="HB445" s="6"/>
      <c r="HC445" s="6"/>
      <c r="HD445" s="6"/>
      <c r="HE445" s="6"/>
      <c r="HF445" s="6"/>
      <c r="HG445" s="6"/>
      <c r="HH445" s="6"/>
      <c r="HI445" s="6"/>
      <c r="HJ445" s="6"/>
      <c r="HK445" s="6"/>
      <c r="HL445" s="6"/>
      <c r="HM445" s="6"/>
      <c r="HN445" s="6"/>
      <c r="HO445" s="6"/>
      <c r="HP445" s="6"/>
    </row>
    <row r="446" spans="3:224" ht="20.100000000000001" customHeight="1">
      <c r="C446" s="51">
        <v>16000101</v>
      </c>
      <c r="D446" s="52" t="s">
        <v>426</v>
      </c>
      <c r="E446" s="14">
        <v>1140003</v>
      </c>
      <c r="F446" s="14">
        <v>30001</v>
      </c>
      <c r="G446" s="14">
        <v>1</v>
      </c>
      <c r="H446" s="14">
        <v>9</v>
      </c>
      <c r="I446" s="22">
        <v>0</v>
      </c>
      <c r="J446" s="23">
        <v>0</v>
      </c>
      <c r="K446" s="14">
        <v>0</v>
      </c>
      <c r="L446" s="14">
        <v>0</v>
      </c>
      <c r="M446" s="14">
        <v>0</v>
      </c>
      <c r="N446" s="14">
        <v>0</v>
      </c>
      <c r="O446" s="14">
        <v>0</v>
      </c>
      <c r="P446" s="14">
        <v>0</v>
      </c>
      <c r="Q446" s="14">
        <v>0</v>
      </c>
      <c r="R446" s="14">
        <v>0</v>
      </c>
      <c r="S446" s="14">
        <v>0</v>
      </c>
      <c r="T446" s="14">
        <v>0</v>
      </c>
      <c r="U446" s="22">
        <v>0</v>
      </c>
      <c r="V446" s="14">
        <v>0</v>
      </c>
      <c r="W446" s="14">
        <v>0</v>
      </c>
      <c r="X446" s="14">
        <v>0</v>
      </c>
      <c r="Y446" s="22">
        <v>0</v>
      </c>
      <c r="Z446" s="22">
        <v>0</v>
      </c>
      <c r="AA446" s="22">
        <v>0</v>
      </c>
      <c r="AB446" s="22">
        <v>105101</v>
      </c>
      <c r="AC446" s="22">
        <v>1</v>
      </c>
      <c r="AD446" s="22">
        <v>0</v>
      </c>
      <c r="AE446" s="22"/>
      <c r="GR446" s="6"/>
      <c r="GS446" s="6"/>
      <c r="GT446" s="6"/>
      <c r="GU446" s="6"/>
      <c r="GV446" s="6"/>
      <c r="GW446" s="6"/>
      <c r="GX446" s="6"/>
      <c r="GY446" s="6"/>
      <c r="GZ446" s="6"/>
      <c r="HA446" s="6"/>
      <c r="HB446" s="6"/>
      <c r="HC446" s="6"/>
      <c r="HD446" s="6"/>
      <c r="HE446" s="6"/>
      <c r="HF446" s="6"/>
      <c r="HG446" s="6"/>
      <c r="HH446" s="6"/>
      <c r="HI446" s="6"/>
      <c r="HJ446" s="6"/>
      <c r="HK446" s="6"/>
      <c r="HL446" s="6"/>
      <c r="HM446" s="6"/>
      <c r="HN446" s="6"/>
      <c r="HO446" s="6"/>
      <c r="HP446" s="6"/>
    </row>
    <row r="447" spans="3:224" ht="20.100000000000001" customHeight="1">
      <c r="C447" s="51">
        <v>16000102</v>
      </c>
      <c r="D447" s="52" t="s">
        <v>427</v>
      </c>
      <c r="E447" s="14">
        <v>1140003</v>
      </c>
      <c r="F447" s="14">
        <v>30001</v>
      </c>
      <c r="G447" s="14">
        <v>1</v>
      </c>
      <c r="H447" s="14">
        <v>9</v>
      </c>
      <c r="I447" s="22">
        <v>0</v>
      </c>
      <c r="J447" s="23">
        <v>0</v>
      </c>
      <c r="K447" s="14">
        <v>0</v>
      </c>
      <c r="L447" s="14">
        <v>0</v>
      </c>
      <c r="M447" s="14">
        <v>0</v>
      </c>
      <c r="N447" s="14">
        <v>0</v>
      </c>
      <c r="O447" s="14">
        <v>0</v>
      </c>
      <c r="P447" s="14">
        <v>0</v>
      </c>
      <c r="Q447" s="14">
        <v>0</v>
      </c>
      <c r="R447" s="14">
        <v>0</v>
      </c>
      <c r="S447" s="14">
        <v>0</v>
      </c>
      <c r="T447" s="14">
        <v>0</v>
      </c>
      <c r="U447" s="22">
        <v>0</v>
      </c>
      <c r="V447" s="14">
        <v>0</v>
      </c>
      <c r="W447" s="14">
        <v>0</v>
      </c>
      <c r="X447" s="14">
        <v>0</v>
      </c>
      <c r="Y447" s="22">
        <v>0</v>
      </c>
      <c r="Z447" s="22">
        <v>0</v>
      </c>
      <c r="AA447" s="22">
        <v>0</v>
      </c>
      <c r="AB447" s="22">
        <v>105501</v>
      </c>
      <c r="AC447" s="22">
        <v>1</v>
      </c>
      <c r="AD447" s="22">
        <v>0</v>
      </c>
      <c r="AE447" s="22"/>
      <c r="GR447" s="6"/>
      <c r="GS447" s="6"/>
      <c r="GT447" s="6"/>
      <c r="GU447" s="6"/>
      <c r="GV447" s="6"/>
      <c r="GW447" s="6"/>
      <c r="GX447" s="6"/>
      <c r="GY447" s="6"/>
      <c r="GZ447" s="6"/>
      <c r="HA447" s="6"/>
      <c r="HB447" s="6"/>
      <c r="HC447" s="6"/>
      <c r="HD447" s="6"/>
      <c r="HE447" s="6"/>
      <c r="HF447" s="6"/>
      <c r="HG447" s="6"/>
      <c r="HH447" s="6"/>
      <c r="HI447" s="6"/>
      <c r="HJ447" s="6"/>
      <c r="HK447" s="6"/>
      <c r="HL447" s="6"/>
      <c r="HM447" s="6"/>
      <c r="HN447" s="6"/>
      <c r="HO447" s="6"/>
      <c r="HP447" s="6"/>
    </row>
    <row r="448" spans="3:224" ht="20.100000000000001" customHeight="1">
      <c r="C448" s="51">
        <v>16000103</v>
      </c>
      <c r="D448" s="52" t="s">
        <v>428</v>
      </c>
      <c r="E448" s="14">
        <v>1140003</v>
      </c>
      <c r="F448" s="14">
        <v>30001</v>
      </c>
      <c r="G448" s="14">
        <v>1</v>
      </c>
      <c r="H448" s="14">
        <v>9</v>
      </c>
      <c r="I448" s="22">
        <v>0</v>
      </c>
      <c r="J448" s="23">
        <v>0</v>
      </c>
      <c r="K448" s="14">
        <v>0</v>
      </c>
      <c r="L448" s="14">
        <v>0</v>
      </c>
      <c r="M448" s="14">
        <v>0</v>
      </c>
      <c r="N448" s="14">
        <v>0</v>
      </c>
      <c r="O448" s="14">
        <v>0</v>
      </c>
      <c r="P448" s="14">
        <v>0</v>
      </c>
      <c r="Q448" s="14">
        <v>0</v>
      </c>
      <c r="R448" s="14">
        <v>0</v>
      </c>
      <c r="S448" s="14">
        <v>0</v>
      </c>
      <c r="T448" s="14">
        <v>0</v>
      </c>
      <c r="U448" s="22">
        <v>0</v>
      </c>
      <c r="V448" s="14">
        <v>0</v>
      </c>
      <c r="W448" s="14">
        <v>0</v>
      </c>
      <c r="X448" s="14">
        <v>0</v>
      </c>
      <c r="Y448" s="22">
        <v>0</v>
      </c>
      <c r="Z448" s="22">
        <v>0</v>
      </c>
      <c r="AA448" s="22">
        <v>0</v>
      </c>
      <c r="AB448" s="22">
        <v>105301</v>
      </c>
      <c r="AC448" s="22">
        <v>1</v>
      </c>
      <c r="AD448" s="22">
        <v>0</v>
      </c>
      <c r="AE448" s="22"/>
      <c r="GR448" s="6"/>
      <c r="GS448" s="6"/>
      <c r="GT448" s="6"/>
      <c r="GU448" s="6"/>
      <c r="GV448" s="6"/>
      <c r="GW448" s="6"/>
      <c r="GX448" s="6"/>
      <c r="GY448" s="6"/>
      <c r="GZ448" s="6"/>
      <c r="HA448" s="6"/>
      <c r="HB448" s="6"/>
      <c r="HC448" s="6"/>
      <c r="HD448" s="6"/>
      <c r="HE448" s="6"/>
      <c r="HF448" s="6"/>
      <c r="HG448" s="6"/>
      <c r="HH448" s="6"/>
      <c r="HI448" s="6"/>
      <c r="HJ448" s="6"/>
      <c r="HK448" s="6"/>
      <c r="HL448" s="6"/>
      <c r="HM448" s="6"/>
      <c r="HN448" s="6"/>
      <c r="HO448" s="6"/>
      <c r="HP448" s="6"/>
    </row>
    <row r="449" spans="3:224" ht="20.100000000000001" customHeight="1">
      <c r="C449" s="51">
        <v>16000104</v>
      </c>
      <c r="D449" s="52" t="s">
        <v>429</v>
      </c>
      <c r="E449" s="14">
        <v>1140003</v>
      </c>
      <c r="F449" s="14">
        <v>30001</v>
      </c>
      <c r="G449" s="14">
        <v>1</v>
      </c>
      <c r="H449" s="14">
        <v>9</v>
      </c>
      <c r="I449" s="22">
        <v>0</v>
      </c>
      <c r="J449" s="23">
        <v>0</v>
      </c>
      <c r="K449" s="14">
        <v>0</v>
      </c>
      <c r="L449" s="14">
        <v>0</v>
      </c>
      <c r="M449" s="14">
        <v>0</v>
      </c>
      <c r="N449" s="14">
        <v>0</v>
      </c>
      <c r="O449" s="14">
        <v>0</v>
      </c>
      <c r="P449" s="14">
        <v>0</v>
      </c>
      <c r="Q449" s="14">
        <v>0</v>
      </c>
      <c r="R449" s="14">
        <v>0</v>
      </c>
      <c r="S449" s="14">
        <v>0</v>
      </c>
      <c r="T449" s="14">
        <v>0</v>
      </c>
      <c r="U449" s="22">
        <v>0</v>
      </c>
      <c r="V449" s="14">
        <v>0</v>
      </c>
      <c r="W449" s="14">
        <v>0</v>
      </c>
      <c r="X449" s="14">
        <v>0</v>
      </c>
      <c r="Y449" s="22">
        <v>0</v>
      </c>
      <c r="Z449" s="22">
        <v>0</v>
      </c>
      <c r="AA449" s="22">
        <v>0</v>
      </c>
      <c r="AB449" s="22">
        <v>105201</v>
      </c>
      <c r="AC449" s="22">
        <v>1</v>
      </c>
      <c r="AD449" s="22">
        <v>0</v>
      </c>
      <c r="AE449" s="22"/>
      <c r="GR449" s="6"/>
      <c r="GS449" s="6"/>
      <c r="GT449" s="6"/>
      <c r="GU449" s="6"/>
      <c r="GV449" s="6"/>
      <c r="GW449" s="6"/>
      <c r="GX449" s="6"/>
      <c r="GY449" s="6"/>
      <c r="GZ449" s="6"/>
      <c r="HA449" s="6"/>
      <c r="HB449" s="6"/>
      <c r="HC449" s="6"/>
      <c r="HD449" s="6"/>
      <c r="HE449" s="6"/>
      <c r="HF449" s="6"/>
      <c r="HG449" s="6"/>
      <c r="HH449" s="6"/>
      <c r="HI449" s="6"/>
      <c r="HJ449" s="6"/>
      <c r="HK449" s="6"/>
      <c r="HL449" s="6"/>
      <c r="HM449" s="6"/>
      <c r="HN449" s="6"/>
      <c r="HO449" s="6"/>
      <c r="HP449" s="6"/>
    </row>
    <row r="450" spans="3:224" ht="20.100000000000001" customHeight="1">
      <c r="C450" s="51">
        <v>16000105</v>
      </c>
      <c r="D450" s="52" t="s">
        <v>430</v>
      </c>
      <c r="E450" s="14">
        <v>1140003</v>
      </c>
      <c r="F450" s="14">
        <v>30001</v>
      </c>
      <c r="G450" s="14">
        <v>1</v>
      </c>
      <c r="H450" s="14">
        <v>9</v>
      </c>
      <c r="I450" s="22">
        <v>0</v>
      </c>
      <c r="J450" s="23">
        <v>0</v>
      </c>
      <c r="K450" s="14">
        <v>0</v>
      </c>
      <c r="L450" s="14">
        <v>0</v>
      </c>
      <c r="M450" s="14">
        <v>0</v>
      </c>
      <c r="N450" s="14">
        <v>0</v>
      </c>
      <c r="O450" s="14">
        <v>0</v>
      </c>
      <c r="P450" s="14">
        <v>0</v>
      </c>
      <c r="Q450" s="14">
        <v>0</v>
      </c>
      <c r="R450" s="14">
        <v>0</v>
      </c>
      <c r="S450" s="14">
        <v>0</v>
      </c>
      <c r="T450" s="14">
        <v>0</v>
      </c>
      <c r="U450" s="22">
        <v>0</v>
      </c>
      <c r="V450" s="14">
        <v>0</v>
      </c>
      <c r="W450" s="14">
        <v>0</v>
      </c>
      <c r="X450" s="14">
        <v>0</v>
      </c>
      <c r="Y450" s="22">
        <v>0</v>
      </c>
      <c r="Z450" s="22">
        <v>0</v>
      </c>
      <c r="AA450" s="22">
        <v>0</v>
      </c>
      <c r="AB450" s="22" t="s">
        <v>431</v>
      </c>
      <c r="AC450" s="22" t="s">
        <v>432</v>
      </c>
      <c r="AD450" s="22" t="s">
        <v>64</v>
      </c>
      <c r="AE450" s="22"/>
      <c r="GR450" s="6"/>
      <c r="GS450" s="6"/>
      <c r="GT450" s="6"/>
      <c r="GU450" s="6"/>
      <c r="GV450" s="6"/>
      <c r="GW450" s="6"/>
      <c r="GX450" s="6"/>
      <c r="GY450" s="6"/>
      <c r="GZ450" s="6"/>
      <c r="HA450" s="6"/>
      <c r="HB450" s="6"/>
      <c r="HC450" s="6"/>
      <c r="HD450" s="6"/>
      <c r="HE450" s="6"/>
      <c r="HF450" s="6"/>
      <c r="HG450" s="6"/>
      <c r="HH450" s="6"/>
      <c r="HI450" s="6"/>
      <c r="HJ450" s="6"/>
      <c r="HK450" s="6"/>
      <c r="HL450" s="6"/>
      <c r="HM450" s="6"/>
      <c r="HN450" s="6"/>
      <c r="HO450" s="6"/>
      <c r="HP450" s="6"/>
    </row>
    <row r="451" spans="3:224" ht="20.100000000000001" customHeight="1">
      <c r="C451" s="51">
        <v>16000106</v>
      </c>
      <c r="D451" s="52" t="s">
        <v>433</v>
      </c>
      <c r="E451" s="14">
        <v>1140003</v>
      </c>
      <c r="F451" s="14">
        <v>30001</v>
      </c>
      <c r="G451" s="14">
        <v>1</v>
      </c>
      <c r="H451" s="14">
        <v>9</v>
      </c>
      <c r="I451" s="22">
        <v>0</v>
      </c>
      <c r="J451" s="23">
        <v>0</v>
      </c>
      <c r="K451" s="14">
        <v>0</v>
      </c>
      <c r="L451" s="14">
        <v>0</v>
      </c>
      <c r="M451" s="14">
        <v>0</v>
      </c>
      <c r="N451" s="14">
        <v>0</v>
      </c>
      <c r="O451" s="14">
        <v>0</v>
      </c>
      <c r="P451" s="14">
        <v>0</v>
      </c>
      <c r="Q451" s="14">
        <v>0</v>
      </c>
      <c r="R451" s="14">
        <v>0</v>
      </c>
      <c r="S451" s="14">
        <v>0</v>
      </c>
      <c r="T451" s="14">
        <v>0</v>
      </c>
      <c r="U451" s="22">
        <v>0</v>
      </c>
      <c r="V451" s="14">
        <v>0</v>
      </c>
      <c r="W451" s="14">
        <v>0</v>
      </c>
      <c r="X451" s="14">
        <v>0</v>
      </c>
      <c r="Y451" s="22">
        <v>0</v>
      </c>
      <c r="Z451" s="22">
        <v>0</v>
      </c>
      <c r="AA451" s="22">
        <v>0</v>
      </c>
      <c r="AB451" s="22" t="s">
        <v>434</v>
      </c>
      <c r="AC451" s="22" t="s">
        <v>432</v>
      </c>
      <c r="AD451" s="22" t="s">
        <v>64</v>
      </c>
      <c r="AE451" s="22"/>
      <c r="GR451" s="6"/>
      <c r="GS451" s="6"/>
      <c r="GT451" s="6"/>
      <c r="GU451" s="6"/>
      <c r="GV451" s="6"/>
      <c r="GW451" s="6"/>
      <c r="GX451" s="6"/>
      <c r="GY451" s="6"/>
      <c r="GZ451" s="6"/>
      <c r="HA451" s="6"/>
      <c r="HB451" s="6"/>
      <c r="HC451" s="6"/>
      <c r="HD451" s="6"/>
      <c r="HE451" s="6"/>
      <c r="HF451" s="6"/>
      <c r="HG451" s="6"/>
      <c r="HH451" s="6"/>
      <c r="HI451" s="6"/>
      <c r="HJ451" s="6"/>
      <c r="HK451" s="6"/>
      <c r="HL451" s="6"/>
      <c r="HM451" s="6"/>
      <c r="HN451" s="6"/>
      <c r="HO451" s="6"/>
      <c r="HP451" s="6"/>
    </row>
    <row r="452" spans="3:224" ht="20.100000000000001" customHeight="1">
      <c r="C452" s="51">
        <v>16000107</v>
      </c>
      <c r="D452" s="52" t="s">
        <v>435</v>
      </c>
      <c r="E452" s="14">
        <v>1140003</v>
      </c>
      <c r="F452" s="14">
        <v>30001</v>
      </c>
      <c r="G452" s="14">
        <v>1</v>
      </c>
      <c r="H452" s="14">
        <v>9</v>
      </c>
      <c r="I452" s="22">
        <v>0</v>
      </c>
      <c r="J452" s="23">
        <v>0</v>
      </c>
      <c r="K452" s="14">
        <v>0</v>
      </c>
      <c r="L452" s="14">
        <v>0</v>
      </c>
      <c r="M452" s="14">
        <v>0</v>
      </c>
      <c r="N452" s="14">
        <v>0</v>
      </c>
      <c r="O452" s="14">
        <v>0</v>
      </c>
      <c r="P452" s="14">
        <v>0</v>
      </c>
      <c r="Q452" s="14">
        <v>0</v>
      </c>
      <c r="R452" s="14">
        <v>0</v>
      </c>
      <c r="S452" s="14">
        <v>0</v>
      </c>
      <c r="T452" s="14">
        <v>0</v>
      </c>
      <c r="U452" s="22">
        <v>0</v>
      </c>
      <c r="V452" s="14">
        <v>0</v>
      </c>
      <c r="W452" s="14">
        <v>0</v>
      </c>
      <c r="X452" s="14">
        <v>0</v>
      </c>
      <c r="Y452" s="22">
        <v>0</v>
      </c>
      <c r="Z452" s="22">
        <v>0</v>
      </c>
      <c r="AA452" s="22">
        <v>0</v>
      </c>
      <c r="AB452" s="22" t="s">
        <v>436</v>
      </c>
      <c r="AC452" s="22" t="s">
        <v>432</v>
      </c>
      <c r="AD452" s="22" t="s">
        <v>64</v>
      </c>
      <c r="AE452" s="22"/>
      <c r="GR452" s="6"/>
      <c r="GS452" s="6"/>
      <c r="GT452" s="6"/>
      <c r="GU452" s="6"/>
      <c r="GV452" s="6"/>
      <c r="GW452" s="6"/>
      <c r="GX452" s="6"/>
      <c r="GY452" s="6"/>
      <c r="GZ452" s="6"/>
      <c r="HA452" s="6"/>
      <c r="HB452" s="6"/>
      <c r="HC452" s="6"/>
      <c r="HD452" s="6"/>
      <c r="HE452" s="6"/>
      <c r="HF452" s="6"/>
      <c r="HG452" s="6"/>
      <c r="HH452" s="6"/>
      <c r="HI452" s="6"/>
      <c r="HJ452" s="6"/>
      <c r="HK452" s="6"/>
      <c r="HL452" s="6"/>
      <c r="HM452" s="6"/>
      <c r="HN452" s="6"/>
      <c r="HO452" s="6"/>
      <c r="HP452" s="6"/>
    </row>
    <row r="453" spans="3:224" ht="20.100000000000001" customHeight="1">
      <c r="C453" s="51">
        <v>16000108</v>
      </c>
      <c r="D453" s="52" t="s">
        <v>437</v>
      </c>
      <c r="E453" s="14">
        <v>1140003</v>
      </c>
      <c r="F453" s="14">
        <v>30001</v>
      </c>
      <c r="G453" s="14">
        <v>1</v>
      </c>
      <c r="H453" s="14">
        <v>9</v>
      </c>
      <c r="I453" s="22">
        <v>0</v>
      </c>
      <c r="J453" s="23">
        <v>0</v>
      </c>
      <c r="K453" s="14">
        <v>0</v>
      </c>
      <c r="L453" s="14">
        <v>0</v>
      </c>
      <c r="M453" s="14">
        <v>0</v>
      </c>
      <c r="N453" s="14">
        <v>0</v>
      </c>
      <c r="O453" s="14">
        <v>0</v>
      </c>
      <c r="P453" s="14">
        <v>0</v>
      </c>
      <c r="Q453" s="14">
        <v>0</v>
      </c>
      <c r="R453" s="14">
        <v>0</v>
      </c>
      <c r="S453" s="14">
        <v>0</v>
      </c>
      <c r="T453" s="14">
        <v>0</v>
      </c>
      <c r="U453" s="22">
        <v>0</v>
      </c>
      <c r="V453" s="14">
        <v>0</v>
      </c>
      <c r="W453" s="14">
        <v>0</v>
      </c>
      <c r="X453" s="14">
        <v>0</v>
      </c>
      <c r="Y453" s="22">
        <v>0</v>
      </c>
      <c r="Z453" s="22">
        <v>0</v>
      </c>
      <c r="AA453" s="22">
        <v>0</v>
      </c>
      <c r="AB453" s="22" t="s">
        <v>438</v>
      </c>
      <c r="AC453" s="22" t="s">
        <v>432</v>
      </c>
      <c r="AD453" s="22" t="s">
        <v>64</v>
      </c>
      <c r="AE453" s="22"/>
      <c r="GR453" s="6"/>
      <c r="GS453" s="6"/>
      <c r="GT453" s="6"/>
      <c r="GU453" s="6"/>
      <c r="GV453" s="6"/>
      <c r="GW453" s="6"/>
      <c r="GX453" s="6"/>
      <c r="GY453" s="6"/>
      <c r="GZ453" s="6"/>
      <c r="HA453" s="6"/>
      <c r="HB453" s="6"/>
      <c r="HC453" s="6"/>
      <c r="HD453" s="6"/>
      <c r="HE453" s="6"/>
      <c r="HF453" s="6"/>
      <c r="HG453" s="6"/>
      <c r="HH453" s="6"/>
      <c r="HI453" s="6"/>
      <c r="HJ453" s="6"/>
      <c r="HK453" s="6"/>
      <c r="HL453" s="6"/>
      <c r="HM453" s="6"/>
      <c r="HN453" s="6"/>
      <c r="HO453" s="6"/>
      <c r="HP453" s="6"/>
    </row>
    <row r="454" spans="3:224" ht="20.100000000000001" customHeight="1">
      <c r="C454" s="51">
        <v>16000109</v>
      </c>
      <c r="D454" s="52" t="s">
        <v>439</v>
      </c>
      <c r="E454" s="14">
        <v>1140003</v>
      </c>
      <c r="F454" s="14">
        <v>30001</v>
      </c>
      <c r="G454" s="14">
        <v>1</v>
      </c>
      <c r="H454" s="14">
        <v>9</v>
      </c>
      <c r="I454" s="22">
        <v>0</v>
      </c>
      <c r="J454" s="23">
        <v>0</v>
      </c>
      <c r="K454" s="14">
        <v>0</v>
      </c>
      <c r="L454" s="14">
        <v>0</v>
      </c>
      <c r="M454" s="14">
        <v>0</v>
      </c>
      <c r="N454" s="14">
        <v>0</v>
      </c>
      <c r="O454" s="14">
        <v>0</v>
      </c>
      <c r="P454" s="14">
        <v>0</v>
      </c>
      <c r="Q454" s="14">
        <v>0</v>
      </c>
      <c r="R454" s="14">
        <v>0</v>
      </c>
      <c r="S454" s="14">
        <v>0</v>
      </c>
      <c r="T454" s="14">
        <v>0</v>
      </c>
      <c r="U454" s="22">
        <v>0</v>
      </c>
      <c r="V454" s="14">
        <v>0</v>
      </c>
      <c r="W454" s="14">
        <v>0</v>
      </c>
      <c r="X454" s="14">
        <v>0</v>
      </c>
      <c r="Y454" s="22">
        <v>0</v>
      </c>
      <c r="Z454" s="22">
        <v>0</v>
      </c>
      <c r="AA454" s="22">
        <v>0</v>
      </c>
      <c r="AB454" s="22">
        <v>105401</v>
      </c>
      <c r="AC454" s="22">
        <v>1</v>
      </c>
      <c r="AD454" s="22">
        <v>0</v>
      </c>
      <c r="AE454" s="22"/>
      <c r="GR454" s="6"/>
      <c r="GS454" s="6"/>
      <c r="GT454" s="6"/>
      <c r="GU454" s="6"/>
      <c r="GV454" s="6"/>
      <c r="GW454" s="6"/>
      <c r="GX454" s="6"/>
      <c r="GY454" s="6"/>
      <c r="GZ454" s="6"/>
      <c r="HA454" s="6"/>
      <c r="HB454" s="6"/>
      <c r="HC454" s="6"/>
      <c r="HD454" s="6"/>
      <c r="HE454" s="6"/>
      <c r="HF454" s="6"/>
      <c r="HG454" s="6"/>
      <c r="HH454" s="6"/>
      <c r="HI454" s="6"/>
      <c r="HJ454" s="6"/>
      <c r="HK454" s="6"/>
      <c r="HL454" s="6"/>
      <c r="HM454" s="6"/>
      <c r="HN454" s="6"/>
      <c r="HO454" s="6"/>
      <c r="HP454" s="6"/>
    </row>
    <row r="455" spans="3:224" ht="20.100000000000001" customHeight="1">
      <c r="C455" s="51">
        <v>16000110</v>
      </c>
      <c r="D455" s="52" t="s">
        <v>440</v>
      </c>
      <c r="E455" s="14">
        <v>1140003</v>
      </c>
      <c r="F455" s="14">
        <v>30001</v>
      </c>
      <c r="G455" s="14">
        <v>1</v>
      </c>
      <c r="H455" s="14">
        <v>9</v>
      </c>
      <c r="I455" s="22">
        <v>0</v>
      </c>
      <c r="J455" s="23">
        <v>0</v>
      </c>
      <c r="K455" s="14">
        <v>0</v>
      </c>
      <c r="L455" s="14">
        <v>0</v>
      </c>
      <c r="M455" s="14">
        <v>0</v>
      </c>
      <c r="N455" s="14">
        <v>0</v>
      </c>
      <c r="O455" s="14">
        <v>0</v>
      </c>
      <c r="P455" s="14">
        <v>0</v>
      </c>
      <c r="Q455" s="14">
        <v>0</v>
      </c>
      <c r="R455" s="14">
        <v>0</v>
      </c>
      <c r="S455" s="14">
        <v>0</v>
      </c>
      <c r="T455" s="14">
        <v>0</v>
      </c>
      <c r="U455" s="22">
        <v>0</v>
      </c>
      <c r="V455" s="14">
        <v>0</v>
      </c>
      <c r="W455" s="14">
        <v>0</v>
      </c>
      <c r="X455" s="14">
        <v>0</v>
      </c>
      <c r="Y455" s="22">
        <v>0</v>
      </c>
      <c r="Z455" s="22">
        <v>0</v>
      </c>
      <c r="AA455" s="22">
        <v>0</v>
      </c>
      <c r="AB455" s="22" t="s">
        <v>441</v>
      </c>
      <c r="AC455" s="22" t="s">
        <v>432</v>
      </c>
      <c r="AD455" s="22" t="s">
        <v>64</v>
      </c>
      <c r="AE455" s="22"/>
      <c r="GR455" s="6"/>
      <c r="GS455" s="6"/>
      <c r="GT455" s="6"/>
      <c r="GU455" s="6"/>
      <c r="GV455" s="6"/>
      <c r="GW455" s="6"/>
      <c r="GX455" s="6"/>
      <c r="GY455" s="6"/>
      <c r="GZ455" s="6"/>
      <c r="HA455" s="6"/>
      <c r="HB455" s="6"/>
      <c r="HC455" s="6"/>
      <c r="HD455" s="6"/>
      <c r="HE455" s="6"/>
      <c r="HF455" s="6"/>
      <c r="HG455" s="6"/>
      <c r="HH455" s="6"/>
      <c r="HI455" s="6"/>
      <c r="HJ455" s="6"/>
      <c r="HK455" s="6"/>
      <c r="HL455" s="6"/>
      <c r="HM455" s="6"/>
      <c r="HN455" s="6"/>
      <c r="HO455" s="6"/>
      <c r="HP455" s="6"/>
    </row>
    <row r="456" spans="3:224" ht="20.100000000000001" customHeight="1">
      <c r="C456" s="51">
        <v>16000111</v>
      </c>
      <c r="D456" s="52" t="s">
        <v>442</v>
      </c>
      <c r="E456" s="14">
        <v>1140003</v>
      </c>
      <c r="F456" s="14">
        <v>30001</v>
      </c>
      <c r="G456" s="14">
        <v>1</v>
      </c>
      <c r="H456" s="14">
        <v>9</v>
      </c>
      <c r="I456" s="22">
        <v>0</v>
      </c>
      <c r="J456" s="23">
        <v>0</v>
      </c>
      <c r="K456" s="14">
        <v>0</v>
      </c>
      <c r="L456" s="14">
        <v>0</v>
      </c>
      <c r="M456" s="14">
        <v>0</v>
      </c>
      <c r="N456" s="14">
        <v>0</v>
      </c>
      <c r="O456" s="14">
        <v>0</v>
      </c>
      <c r="P456" s="14">
        <v>0</v>
      </c>
      <c r="Q456" s="14">
        <v>0</v>
      </c>
      <c r="R456" s="14">
        <v>0</v>
      </c>
      <c r="S456" s="14">
        <v>0</v>
      </c>
      <c r="T456" s="14">
        <v>0</v>
      </c>
      <c r="U456" s="22">
        <v>0</v>
      </c>
      <c r="V456" s="14">
        <v>0</v>
      </c>
      <c r="W456" s="14">
        <v>0</v>
      </c>
      <c r="X456" s="14">
        <v>0</v>
      </c>
      <c r="Y456" s="22">
        <v>0</v>
      </c>
      <c r="Z456" s="22">
        <v>0</v>
      </c>
      <c r="AA456" s="22">
        <v>0</v>
      </c>
      <c r="AB456" s="22" t="s">
        <v>443</v>
      </c>
      <c r="AC456" s="22" t="s">
        <v>432</v>
      </c>
      <c r="AD456" s="22" t="s">
        <v>64</v>
      </c>
      <c r="AE456" s="22"/>
      <c r="GR456" s="6"/>
      <c r="GS456" s="6"/>
      <c r="GT456" s="6"/>
      <c r="GU456" s="6"/>
      <c r="GV456" s="6"/>
      <c r="GW456" s="6"/>
      <c r="GX456" s="6"/>
      <c r="GY456" s="6"/>
      <c r="GZ456" s="6"/>
      <c r="HA456" s="6"/>
      <c r="HB456" s="6"/>
      <c r="HC456" s="6"/>
      <c r="HD456" s="6"/>
      <c r="HE456" s="6"/>
      <c r="HF456" s="6"/>
      <c r="HG456" s="6"/>
      <c r="HH456" s="6"/>
      <c r="HI456" s="6"/>
      <c r="HJ456" s="6"/>
      <c r="HK456" s="6"/>
      <c r="HL456" s="6"/>
      <c r="HM456" s="6"/>
      <c r="HN456" s="6"/>
      <c r="HO456" s="6"/>
      <c r="HP456" s="6"/>
    </row>
    <row r="457" spans="3:224" ht="20.100000000000001" customHeight="1">
      <c r="C457" s="51">
        <v>16000112</v>
      </c>
      <c r="D457" s="52" t="s">
        <v>444</v>
      </c>
      <c r="E457" s="14">
        <v>1140003</v>
      </c>
      <c r="F457" s="14">
        <v>30001</v>
      </c>
      <c r="G457" s="14">
        <v>1</v>
      </c>
      <c r="H457" s="14">
        <v>9</v>
      </c>
      <c r="I457" s="22">
        <v>0</v>
      </c>
      <c r="J457" s="23">
        <v>0</v>
      </c>
      <c r="K457" s="14">
        <v>0</v>
      </c>
      <c r="L457" s="14">
        <v>0</v>
      </c>
      <c r="M457" s="14">
        <v>0</v>
      </c>
      <c r="N457" s="14">
        <v>0</v>
      </c>
      <c r="O457" s="14">
        <v>0</v>
      </c>
      <c r="P457" s="14">
        <v>0</v>
      </c>
      <c r="Q457" s="14">
        <v>0</v>
      </c>
      <c r="R457" s="14">
        <v>0</v>
      </c>
      <c r="S457" s="14">
        <v>0</v>
      </c>
      <c r="T457" s="14">
        <v>0</v>
      </c>
      <c r="U457" s="22">
        <v>0</v>
      </c>
      <c r="V457" s="14">
        <v>0</v>
      </c>
      <c r="W457" s="14">
        <v>0</v>
      </c>
      <c r="X457" s="14">
        <v>0</v>
      </c>
      <c r="Y457" s="22">
        <v>0</v>
      </c>
      <c r="Z457" s="22">
        <v>0</v>
      </c>
      <c r="AA457" s="22">
        <v>0</v>
      </c>
      <c r="AB457" s="22" t="s">
        <v>445</v>
      </c>
      <c r="AC457" s="22" t="s">
        <v>432</v>
      </c>
      <c r="AD457" s="22" t="s">
        <v>64</v>
      </c>
      <c r="AE457" s="22"/>
      <c r="GR457" s="6"/>
      <c r="GS457" s="6"/>
      <c r="GT457" s="6"/>
      <c r="GU457" s="6"/>
      <c r="GV457" s="6"/>
      <c r="GW457" s="6"/>
      <c r="GX457" s="6"/>
      <c r="GY457" s="6"/>
      <c r="GZ457" s="6"/>
      <c r="HA457" s="6"/>
      <c r="HB457" s="6"/>
      <c r="HC457" s="6"/>
      <c r="HD457" s="6"/>
      <c r="HE457" s="6"/>
      <c r="HF457" s="6"/>
      <c r="HG457" s="6"/>
      <c r="HH457" s="6"/>
      <c r="HI457" s="6"/>
      <c r="HJ457" s="6"/>
      <c r="HK457" s="6"/>
      <c r="HL457" s="6"/>
      <c r="HM457" s="6"/>
      <c r="HN457" s="6"/>
      <c r="HO457" s="6"/>
      <c r="HP457" s="6"/>
    </row>
    <row r="458" spans="3:224" ht="20.100000000000001" customHeight="1">
      <c r="C458" s="51">
        <v>16000201</v>
      </c>
      <c r="D458" s="52" t="s">
        <v>446</v>
      </c>
      <c r="E458" s="14">
        <v>1140003</v>
      </c>
      <c r="F458" s="14">
        <v>30011</v>
      </c>
      <c r="G458" s="14">
        <v>1</v>
      </c>
      <c r="H458" s="14">
        <v>10</v>
      </c>
      <c r="I458" s="22">
        <v>0</v>
      </c>
      <c r="J458" s="23">
        <v>0</v>
      </c>
      <c r="K458" s="14">
        <v>0</v>
      </c>
      <c r="L458" s="14">
        <v>0</v>
      </c>
      <c r="M458" s="14">
        <v>0</v>
      </c>
      <c r="N458" s="14">
        <v>0</v>
      </c>
      <c r="O458" s="14">
        <v>0</v>
      </c>
      <c r="P458" s="14">
        <v>0</v>
      </c>
      <c r="Q458" s="14">
        <v>0</v>
      </c>
      <c r="R458" s="14">
        <v>0</v>
      </c>
      <c r="S458" s="14">
        <v>0</v>
      </c>
      <c r="T458" s="14">
        <v>0</v>
      </c>
      <c r="U458" s="22">
        <v>0</v>
      </c>
      <c r="V458" s="14">
        <v>0</v>
      </c>
      <c r="W458" s="14">
        <v>0</v>
      </c>
      <c r="X458" s="14">
        <v>0</v>
      </c>
      <c r="Y458" s="22">
        <v>0</v>
      </c>
      <c r="Z458" s="22">
        <v>0</v>
      </c>
      <c r="AA458" s="22">
        <v>0</v>
      </c>
      <c r="AB458" s="22">
        <v>105101</v>
      </c>
      <c r="AC458" s="22">
        <v>5</v>
      </c>
      <c r="AD458" s="22">
        <v>0</v>
      </c>
      <c r="AE458" s="22"/>
      <c r="GR458" s="6"/>
      <c r="GS458" s="6"/>
      <c r="GT458" s="6"/>
      <c r="GU458" s="6"/>
      <c r="GV458" s="6"/>
      <c r="GW458" s="6"/>
      <c r="GX458" s="6"/>
      <c r="GY458" s="6"/>
      <c r="GZ458" s="6"/>
      <c r="HA458" s="6"/>
      <c r="HB458" s="6"/>
      <c r="HC458" s="6"/>
      <c r="HD458" s="6"/>
      <c r="HE458" s="6"/>
      <c r="HF458" s="6"/>
      <c r="HG458" s="6"/>
      <c r="HH458" s="6"/>
      <c r="HI458" s="6"/>
      <c r="HJ458" s="6"/>
      <c r="HK458" s="6"/>
      <c r="HL458" s="6"/>
      <c r="HM458" s="6"/>
      <c r="HN458" s="6"/>
      <c r="HO458" s="6"/>
      <c r="HP458" s="6"/>
    </row>
    <row r="459" spans="3:224" ht="20.100000000000001" customHeight="1">
      <c r="C459" s="51">
        <v>16000202</v>
      </c>
      <c r="D459" s="52" t="s">
        <v>447</v>
      </c>
      <c r="E459" s="14">
        <v>1140003</v>
      </c>
      <c r="F459" s="14">
        <v>30011</v>
      </c>
      <c r="G459" s="14">
        <v>1</v>
      </c>
      <c r="H459" s="14">
        <v>10</v>
      </c>
      <c r="I459" s="22">
        <v>0</v>
      </c>
      <c r="J459" s="23">
        <v>0</v>
      </c>
      <c r="K459" s="14">
        <v>0</v>
      </c>
      <c r="L459" s="14">
        <v>0</v>
      </c>
      <c r="M459" s="14">
        <v>0</v>
      </c>
      <c r="N459" s="14">
        <v>0</v>
      </c>
      <c r="O459" s="14">
        <v>0</v>
      </c>
      <c r="P459" s="14">
        <v>0</v>
      </c>
      <c r="Q459" s="14">
        <v>0</v>
      </c>
      <c r="R459" s="14">
        <v>0</v>
      </c>
      <c r="S459" s="14">
        <v>0</v>
      </c>
      <c r="T459" s="14">
        <v>0</v>
      </c>
      <c r="U459" s="22">
        <v>0</v>
      </c>
      <c r="V459" s="14">
        <v>0</v>
      </c>
      <c r="W459" s="14">
        <v>0</v>
      </c>
      <c r="X459" s="14">
        <v>0</v>
      </c>
      <c r="Y459" s="22">
        <v>0</v>
      </c>
      <c r="Z459" s="22">
        <v>0</v>
      </c>
      <c r="AA459" s="22">
        <v>0</v>
      </c>
      <c r="AB459" s="22">
        <v>105501</v>
      </c>
      <c r="AC459" s="22">
        <v>5</v>
      </c>
      <c r="AD459" s="22">
        <v>0</v>
      </c>
      <c r="AE459" s="22"/>
      <c r="GR459" s="6"/>
      <c r="GS459" s="6"/>
      <c r="GT459" s="6"/>
      <c r="GU459" s="6"/>
      <c r="GV459" s="6"/>
      <c r="GW459" s="6"/>
      <c r="GX459" s="6"/>
      <c r="GY459" s="6"/>
      <c r="GZ459" s="6"/>
      <c r="HA459" s="6"/>
      <c r="HB459" s="6"/>
      <c r="HC459" s="6"/>
      <c r="HD459" s="6"/>
      <c r="HE459" s="6"/>
      <c r="HF459" s="6"/>
      <c r="HG459" s="6"/>
      <c r="HH459" s="6"/>
      <c r="HI459" s="6"/>
      <c r="HJ459" s="6"/>
      <c r="HK459" s="6"/>
      <c r="HL459" s="6"/>
      <c r="HM459" s="6"/>
      <c r="HN459" s="6"/>
      <c r="HO459" s="6"/>
      <c r="HP459" s="6"/>
    </row>
    <row r="460" spans="3:224" ht="20.100000000000001" customHeight="1">
      <c r="C460" s="51">
        <v>16000203</v>
      </c>
      <c r="D460" s="52" t="s">
        <v>448</v>
      </c>
      <c r="E460" s="14">
        <v>1140003</v>
      </c>
      <c r="F460" s="14">
        <v>30011</v>
      </c>
      <c r="G460" s="14">
        <v>1</v>
      </c>
      <c r="H460" s="14">
        <v>10</v>
      </c>
      <c r="I460" s="22">
        <v>0</v>
      </c>
      <c r="J460" s="23">
        <v>0</v>
      </c>
      <c r="K460" s="14">
        <v>0</v>
      </c>
      <c r="L460" s="14">
        <v>0</v>
      </c>
      <c r="M460" s="14">
        <v>0</v>
      </c>
      <c r="N460" s="14">
        <v>0</v>
      </c>
      <c r="O460" s="14">
        <v>0</v>
      </c>
      <c r="P460" s="14">
        <v>0</v>
      </c>
      <c r="Q460" s="14">
        <v>0</v>
      </c>
      <c r="R460" s="14">
        <v>0</v>
      </c>
      <c r="S460" s="14">
        <v>0</v>
      </c>
      <c r="T460" s="14">
        <v>0</v>
      </c>
      <c r="U460" s="22">
        <v>0</v>
      </c>
      <c r="V460" s="14">
        <v>0</v>
      </c>
      <c r="W460" s="14">
        <v>0</v>
      </c>
      <c r="X460" s="14">
        <v>0</v>
      </c>
      <c r="Y460" s="22">
        <v>0</v>
      </c>
      <c r="Z460" s="22">
        <v>0</v>
      </c>
      <c r="AA460" s="22">
        <v>0</v>
      </c>
      <c r="AB460" s="22">
        <v>105301</v>
      </c>
      <c r="AC460" s="22">
        <v>5</v>
      </c>
      <c r="AD460" s="22">
        <v>0</v>
      </c>
      <c r="AE460" s="22"/>
      <c r="GR460" s="6"/>
      <c r="GS460" s="6"/>
      <c r="GT460" s="6"/>
      <c r="GU460" s="6"/>
      <c r="GV460" s="6"/>
      <c r="GW460" s="6"/>
      <c r="GX460" s="6"/>
      <c r="GY460" s="6"/>
      <c r="GZ460" s="6"/>
      <c r="HA460" s="6"/>
      <c r="HB460" s="6"/>
      <c r="HC460" s="6"/>
      <c r="HD460" s="6"/>
      <c r="HE460" s="6"/>
      <c r="HF460" s="6"/>
      <c r="HG460" s="6"/>
      <c r="HH460" s="6"/>
      <c r="HI460" s="6"/>
      <c r="HJ460" s="6"/>
      <c r="HK460" s="6"/>
      <c r="HL460" s="6"/>
      <c r="HM460" s="6"/>
      <c r="HN460" s="6"/>
      <c r="HO460" s="6"/>
      <c r="HP460" s="6"/>
    </row>
    <row r="461" spans="3:224" ht="20.100000000000001" customHeight="1">
      <c r="C461" s="51">
        <v>16000204</v>
      </c>
      <c r="D461" s="52" t="s">
        <v>449</v>
      </c>
      <c r="E461" s="14">
        <v>1140003</v>
      </c>
      <c r="F461" s="14">
        <v>30011</v>
      </c>
      <c r="G461" s="14">
        <v>1</v>
      </c>
      <c r="H461" s="14">
        <v>10</v>
      </c>
      <c r="I461" s="22">
        <v>0</v>
      </c>
      <c r="J461" s="23">
        <v>0</v>
      </c>
      <c r="K461" s="14">
        <v>0</v>
      </c>
      <c r="L461" s="14">
        <v>0</v>
      </c>
      <c r="M461" s="14">
        <v>0</v>
      </c>
      <c r="N461" s="14">
        <v>0</v>
      </c>
      <c r="O461" s="14">
        <v>0</v>
      </c>
      <c r="P461" s="14">
        <v>0</v>
      </c>
      <c r="Q461" s="14">
        <v>0</v>
      </c>
      <c r="R461" s="14">
        <v>0</v>
      </c>
      <c r="S461" s="14">
        <v>0</v>
      </c>
      <c r="T461" s="14">
        <v>0</v>
      </c>
      <c r="U461" s="22">
        <v>0</v>
      </c>
      <c r="V461" s="14">
        <v>0</v>
      </c>
      <c r="W461" s="14">
        <v>0</v>
      </c>
      <c r="X461" s="14">
        <v>0</v>
      </c>
      <c r="Y461" s="22">
        <v>0</v>
      </c>
      <c r="Z461" s="22">
        <v>0</v>
      </c>
      <c r="AA461" s="22">
        <v>0</v>
      </c>
      <c r="AB461" s="22">
        <v>105201</v>
      </c>
      <c r="AC461" s="22">
        <v>5</v>
      </c>
      <c r="AD461" s="22">
        <v>0</v>
      </c>
      <c r="AE461" s="22"/>
      <c r="GR461" s="6"/>
      <c r="GS461" s="6"/>
      <c r="GT461" s="6"/>
      <c r="GU461" s="6"/>
      <c r="GV461" s="6"/>
      <c r="GW461" s="6"/>
      <c r="GX461" s="6"/>
      <c r="GY461" s="6"/>
      <c r="GZ461" s="6"/>
      <c r="HA461" s="6"/>
      <c r="HB461" s="6"/>
      <c r="HC461" s="6"/>
      <c r="HD461" s="6"/>
      <c r="HE461" s="6"/>
      <c r="HF461" s="6"/>
      <c r="HG461" s="6"/>
      <c r="HH461" s="6"/>
      <c r="HI461" s="6"/>
      <c r="HJ461" s="6"/>
      <c r="HK461" s="6"/>
      <c r="HL461" s="6"/>
      <c r="HM461" s="6"/>
      <c r="HN461" s="6"/>
      <c r="HO461" s="6"/>
      <c r="HP461" s="6"/>
    </row>
    <row r="462" spans="3:224" ht="20.100000000000001" customHeight="1">
      <c r="C462" s="51">
        <v>16000205</v>
      </c>
      <c r="D462" s="52" t="s">
        <v>450</v>
      </c>
      <c r="E462" s="14">
        <v>1140003</v>
      </c>
      <c r="F462" s="14">
        <v>30011</v>
      </c>
      <c r="G462" s="14">
        <v>1</v>
      </c>
      <c r="H462" s="14">
        <v>10</v>
      </c>
      <c r="I462" s="22">
        <v>0</v>
      </c>
      <c r="J462" s="23">
        <v>0</v>
      </c>
      <c r="K462" s="14">
        <v>0</v>
      </c>
      <c r="L462" s="14">
        <v>0</v>
      </c>
      <c r="M462" s="14">
        <v>0</v>
      </c>
      <c r="N462" s="14">
        <v>0</v>
      </c>
      <c r="O462" s="14">
        <v>0</v>
      </c>
      <c r="P462" s="14">
        <v>0</v>
      </c>
      <c r="Q462" s="14">
        <v>0</v>
      </c>
      <c r="R462" s="14">
        <v>0</v>
      </c>
      <c r="S462" s="14">
        <v>0</v>
      </c>
      <c r="T462" s="14">
        <v>0</v>
      </c>
      <c r="U462" s="22">
        <v>0</v>
      </c>
      <c r="V462" s="14">
        <v>0</v>
      </c>
      <c r="W462" s="14">
        <v>0</v>
      </c>
      <c r="X462" s="14">
        <v>0</v>
      </c>
      <c r="Y462" s="22">
        <v>0</v>
      </c>
      <c r="Z462" s="22">
        <v>0</v>
      </c>
      <c r="AA462" s="22">
        <v>0</v>
      </c>
      <c r="AB462" s="22" t="s">
        <v>431</v>
      </c>
      <c r="AC462" s="22" t="s">
        <v>451</v>
      </c>
      <c r="AD462" s="22" t="s">
        <v>64</v>
      </c>
      <c r="AE462" s="22"/>
      <c r="GR462" s="6"/>
      <c r="GS462" s="6"/>
      <c r="GT462" s="6"/>
      <c r="GU462" s="6"/>
      <c r="GV462" s="6"/>
      <c r="GW462" s="6"/>
      <c r="GX462" s="6"/>
      <c r="GY462" s="6"/>
      <c r="GZ462" s="6"/>
      <c r="HA462" s="6"/>
      <c r="HB462" s="6"/>
      <c r="HC462" s="6"/>
      <c r="HD462" s="6"/>
      <c r="HE462" s="6"/>
      <c r="HF462" s="6"/>
      <c r="HG462" s="6"/>
      <c r="HH462" s="6"/>
      <c r="HI462" s="6"/>
      <c r="HJ462" s="6"/>
      <c r="HK462" s="6"/>
      <c r="HL462" s="6"/>
      <c r="HM462" s="6"/>
      <c r="HN462" s="6"/>
      <c r="HO462" s="6"/>
      <c r="HP462" s="6"/>
    </row>
    <row r="463" spans="3:224" ht="20.100000000000001" customHeight="1">
      <c r="C463" s="51">
        <v>16000206</v>
      </c>
      <c r="D463" s="52" t="s">
        <v>452</v>
      </c>
      <c r="E463" s="14">
        <v>1140003</v>
      </c>
      <c r="F463" s="14">
        <v>30011</v>
      </c>
      <c r="G463" s="14">
        <v>1</v>
      </c>
      <c r="H463" s="14">
        <v>10</v>
      </c>
      <c r="I463" s="22">
        <v>0</v>
      </c>
      <c r="J463" s="23">
        <v>0</v>
      </c>
      <c r="K463" s="14">
        <v>0</v>
      </c>
      <c r="L463" s="14">
        <v>0</v>
      </c>
      <c r="M463" s="14">
        <v>0</v>
      </c>
      <c r="N463" s="14">
        <v>0</v>
      </c>
      <c r="O463" s="14">
        <v>0</v>
      </c>
      <c r="P463" s="14">
        <v>0</v>
      </c>
      <c r="Q463" s="14">
        <v>0</v>
      </c>
      <c r="R463" s="14">
        <v>0</v>
      </c>
      <c r="S463" s="14">
        <v>0</v>
      </c>
      <c r="T463" s="14">
        <v>0</v>
      </c>
      <c r="U463" s="22">
        <v>0</v>
      </c>
      <c r="V463" s="14">
        <v>0</v>
      </c>
      <c r="W463" s="14">
        <v>0</v>
      </c>
      <c r="X463" s="14">
        <v>0</v>
      </c>
      <c r="Y463" s="22">
        <v>0</v>
      </c>
      <c r="Z463" s="22">
        <v>0</v>
      </c>
      <c r="AA463" s="22">
        <v>0</v>
      </c>
      <c r="AB463" s="22" t="s">
        <v>434</v>
      </c>
      <c r="AC463" s="22" t="s">
        <v>451</v>
      </c>
      <c r="AD463" s="22" t="s">
        <v>64</v>
      </c>
      <c r="AE463" s="22"/>
      <c r="GR463" s="6"/>
      <c r="GS463" s="6"/>
      <c r="GT463" s="6"/>
      <c r="GU463" s="6"/>
      <c r="GV463" s="6"/>
      <c r="GW463" s="6"/>
      <c r="GX463" s="6"/>
      <c r="GY463" s="6"/>
      <c r="GZ463" s="6"/>
      <c r="HA463" s="6"/>
      <c r="HB463" s="6"/>
      <c r="HC463" s="6"/>
      <c r="HD463" s="6"/>
      <c r="HE463" s="6"/>
      <c r="HF463" s="6"/>
      <c r="HG463" s="6"/>
      <c r="HH463" s="6"/>
      <c r="HI463" s="6"/>
      <c r="HJ463" s="6"/>
      <c r="HK463" s="6"/>
      <c r="HL463" s="6"/>
      <c r="HM463" s="6"/>
      <c r="HN463" s="6"/>
      <c r="HO463" s="6"/>
      <c r="HP463" s="6"/>
    </row>
    <row r="464" spans="3:224" ht="20.100000000000001" customHeight="1">
      <c r="C464" s="51">
        <v>16000207</v>
      </c>
      <c r="D464" s="52" t="s">
        <v>453</v>
      </c>
      <c r="E464" s="14">
        <v>1140003</v>
      </c>
      <c r="F464" s="14">
        <v>30011</v>
      </c>
      <c r="G464" s="14">
        <v>1</v>
      </c>
      <c r="H464" s="14">
        <v>10</v>
      </c>
      <c r="I464" s="22">
        <v>0</v>
      </c>
      <c r="J464" s="23">
        <v>0</v>
      </c>
      <c r="K464" s="14">
        <v>0</v>
      </c>
      <c r="L464" s="14">
        <v>0</v>
      </c>
      <c r="M464" s="14">
        <v>0</v>
      </c>
      <c r="N464" s="14">
        <v>0</v>
      </c>
      <c r="O464" s="14">
        <v>0</v>
      </c>
      <c r="P464" s="14">
        <v>0</v>
      </c>
      <c r="Q464" s="14">
        <v>0</v>
      </c>
      <c r="R464" s="14">
        <v>0</v>
      </c>
      <c r="S464" s="14">
        <v>0</v>
      </c>
      <c r="T464" s="14">
        <v>0</v>
      </c>
      <c r="U464" s="22">
        <v>0</v>
      </c>
      <c r="V464" s="14">
        <v>0</v>
      </c>
      <c r="W464" s="14">
        <v>0</v>
      </c>
      <c r="X464" s="14">
        <v>0</v>
      </c>
      <c r="Y464" s="22">
        <v>0</v>
      </c>
      <c r="Z464" s="22">
        <v>0</v>
      </c>
      <c r="AA464" s="22">
        <v>0</v>
      </c>
      <c r="AB464" s="22" t="s">
        <v>436</v>
      </c>
      <c r="AC464" s="22" t="s">
        <v>451</v>
      </c>
      <c r="AD464" s="22" t="s">
        <v>64</v>
      </c>
      <c r="AE464" s="22"/>
      <c r="GR464" s="6"/>
      <c r="GS464" s="6"/>
      <c r="GT464" s="6"/>
      <c r="GU464" s="6"/>
      <c r="GV464" s="6"/>
      <c r="GW464" s="6"/>
      <c r="GX464" s="6"/>
      <c r="GY464" s="6"/>
      <c r="GZ464" s="6"/>
      <c r="HA464" s="6"/>
      <c r="HB464" s="6"/>
      <c r="HC464" s="6"/>
      <c r="HD464" s="6"/>
      <c r="HE464" s="6"/>
      <c r="HF464" s="6"/>
      <c r="HG464" s="6"/>
      <c r="HH464" s="6"/>
      <c r="HI464" s="6"/>
      <c r="HJ464" s="6"/>
      <c r="HK464" s="6"/>
      <c r="HL464" s="6"/>
      <c r="HM464" s="6"/>
      <c r="HN464" s="6"/>
      <c r="HO464" s="6"/>
      <c r="HP464" s="6"/>
    </row>
    <row r="465" spans="3:224" ht="20.100000000000001" customHeight="1">
      <c r="C465" s="51">
        <v>16000208</v>
      </c>
      <c r="D465" s="52" t="s">
        <v>454</v>
      </c>
      <c r="E465" s="14">
        <v>1140003</v>
      </c>
      <c r="F465" s="14">
        <v>30011</v>
      </c>
      <c r="G465" s="14">
        <v>1</v>
      </c>
      <c r="H465" s="14">
        <v>10</v>
      </c>
      <c r="I465" s="22">
        <v>0</v>
      </c>
      <c r="J465" s="23">
        <v>0</v>
      </c>
      <c r="K465" s="14">
        <v>0</v>
      </c>
      <c r="L465" s="14">
        <v>0</v>
      </c>
      <c r="M465" s="14">
        <v>0</v>
      </c>
      <c r="N465" s="14">
        <v>0</v>
      </c>
      <c r="O465" s="14">
        <v>0</v>
      </c>
      <c r="P465" s="14">
        <v>0</v>
      </c>
      <c r="Q465" s="14">
        <v>0</v>
      </c>
      <c r="R465" s="14">
        <v>0</v>
      </c>
      <c r="S465" s="14">
        <v>0</v>
      </c>
      <c r="T465" s="14">
        <v>0</v>
      </c>
      <c r="U465" s="22">
        <v>0</v>
      </c>
      <c r="V465" s="14">
        <v>0</v>
      </c>
      <c r="W465" s="14">
        <v>0</v>
      </c>
      <c r="X465" s="14">
        <v>0</v>
      </c>
      <c r="Y465" s="22">
        <v>0</v>
      </c>
      <c r="Z465" s="22">
        <v>0</v>
      </c>
      <c r="AA465" s="22">
        <v>0</v>
      </c>
      <c r="AB465" s="22" t="s">
        <v>438</v>
      </c>
      <c r="AC465" s="22" t="s">
        <v>451</v>
      </c>
      <c r="AD465" s="22" t="s">
        <v>64</v>
      </c>
      <c r="AE465" s="22"/>
      <c r="GR465" s="6"/>
      <c r="GS465" s="6"/>
      <c r="GT465" s="6"/>
      <c r="GU465" s="6"/>
      <c r="GV465" s="6"/>
      <c r="GW465" s="6"/>
      <c r="GX465" s="6"/>
      <c r="GY465" s="6"/>
      <c r="GZ465" s="6"/>
      <c r="HA465" s="6"/>
      <c r="HB465" s="6"/>
      <c r="HC465" s="6"/>
      <c r="HD465" s="6"/>
      <c r="HE465" s="6"/>
      <c r="HF465" s="6"/>
      <c r="HG465" s="6"/>
      <c r="HH465" s="6"/>
      <c r="HI465" s="6"/>
      <c r="HJ465" s="6"/>
      <c r="HK465" s="6"/>
      <c r="HL465" s="6"/>
      <c r="HM465" s="6"/>
      <c r="HN465" s="6"/>
      <c r="HO465" s="6"/>
      <c r="HP465" s="6"/>
    </row>
    <row r="466" spans="3:224" ht="20.100000000000001" customHeight="1">
      <c r="C466" s="51">
        <v>16000209</v>
      </c>
      <c r="D466" s="52" t="s">
        <v>455</v>
      </c>
      <c r="E466" s="14">
        <v>1140003</v>
      </c>
      <c r="F466" s="14">
        <v>30011</v>
      </c>
      <c r="G466" s="14">
        <v>1</v>
      </c>
      <c r="H466" s="14">
        <v>10</v>
      </c>
      <c r="I466" s="22">
        <v>0</v>
      </c>
      <c r="J466" s="23">
        <v>0</v>
      </c>
      <c r="K466" s="14">
        <v>0</v>
      </c>
      <c r="L466" s="14">
        <v>0</v>
      </c>
      <c r="M466" s="14">
        <v>0</v>
      </c>
      <c r="N466" s="14">
        <v>0</v>
      </c>
      <c r="O466" s="14">
        <v>0</v>
      </c>
      <c r="P466" s="14">
        <v>0</v>
      </c>
      <c r="Q466" s="14">
        <v>0</v>
      </c>
      <c r="R466" s="14">
        <v>0</v>
      </c>
      <c r="S466" s="14">
        <v>0</v>
      </c>
      <c r="T466" s="14">
        <v>0</v>
      </c>
      <c r="U466" s="22">
        <v>0</v>
      </c>
      <c r="V466" s="14">
        <v>0</v>
      </c>
      <c r="W466" s="14">
        <v>0</v>
      </c>
      <c r="X466" s="14">
        <v>0</v>
      </c>
      <c r="Y466" s="22">
        <v>0</v>
      </c>
      <c r="Z466" s="22">
        <v>0</v>
      </c>
      <c r="AA466" s="22">
        <v>0</v>
      </c>
      <c r="AB466" s="22">
        <v>105401</v>
      </c>
      <c r="AC466" s="22">
        <v>5</v>
      </c>
      <c r="AD466" s="22">
        <v>0</v>
      </c>
      <c r="AE466" s="22"/>
      <c r="GR466" s="6"/>
      <c r="GS466" s="6"/>
      <c r="GT466" s="6"/>
      <c r="GU466" s="6"/>
      <c r="GV466" s="6"/>
      <c r="GW466" s="6"/>
      <c r="GX466" s="6"/>
      <c r="GY466" s="6"/>
      <c r="GZ466" s="6"/>
      <c r="HA466" s="6"/>
      <c r="HB466" s="6"/>
      <c r="HC466" s="6"/>
      <c r="HD466" s="6"/>
      <c r="HE466" s="6"/>
      <c r="HF466" s="6"/>
      <c r="HG466" s="6"/>
      <c r="HH466" s="6"/>
      <c r="HI466" s="6"/>
      <c r="HJ466" s="6"/>
      <c r="HK466" s="6"/>
      <c r="HL466" s="6"/>
      <c r="HM466" s="6"/>
      <c r="HN466" s="6"/>
      <c r="HO466" s="6"/>
      <c r="HP466" s="6"/>
    </row>
    <row r="467" spans="3:224" ht="20.100000000000001" customHeight="1">
      <c r="C467" s="51">
        <v>16000210</v>
      </c>
      <c r="D467" s="52" t="s">
        <v>456</v>
      </c>
      <c r="E467" s="14">
        <v>1140003</v>
      </c>
      <c r="F467" s="14">
        <v>30011</v>
      </c>
      <c r="G467" s="14">
        <v>1</v>
      </c>
      <c r="H467" s="14">
        <v>10</v>
      </c>
      <c r="I467" s="22">
        <v>0</v>
      </c>
      <c r="J467" s="23">
        <v>0</v>
      </c>
      <c r="K467" s="14">
        <v>0</v>
      </c>
      <c r="L467" s="14">
        <v>0</v>
      </c>
      <c r="M467" s="14">
        <v>0</v>
      </c>
      <c r="N467" s="14">
        <v>0</v>
      </c>
      <c r="O467" s="14">
        <v>0</v>
      </c>
      <c r="P467" s="14">
        <v>0</v>
      </c>
      <c r="Q467" s="14">
        <v>0</v>
      </c>
      <c r="R467" s="14">
        <v>0</v>
      </c>
      <c r="S467" s="14">
        <v>0</v>
      </c>
      <c r="T467" s="14">
        <v>0</v>
      </c>
      <c r="U467" s="22">
        <v>0</v>
      </c>
      <c r="V467" s="14">
        <v>0</v>
      </c>
      <c r="W467" s="14">
        <v>0</v>
      </c>
      <c r="X467" s="14">
        <v>0</v>
      </c>
      <c r="Y467" s="22">
        <v>0</v>
      </c>
      <c r="Z467" s="22">
        <v>0</v>
      </c>
      <c r="AA467" s="22">
        <v>0</v>
      </c>
      <c r="AB467" s="22" t="s">
        <v>441</v>
      </c>
      <c r="AC467" s="22" t="s">
        <v>451</v>
      </c>
      <c r="AD467" s="22" t="s">
        <v>64</v>
      </c>
      <c r="AE467" s="22"/>
      <c r="GR467" s="6"/>
      <c r="GS467" s="6"/>
      <c r="GT467" s="6"/>
      <c r="GU467" s="6"/>
      <c r="GV467" s="6"/>
      <c r="GW467" s="6"/>
      <c r="GX467" s="6"/>
      <c r="GY467" s="6"/>
      <c r="GZ467" s="6"/>
      <c r="HA467" s="6"/>
      <c r="HB467" s="6"/>
      <c r="HC467" s="6"/>
      <c r="HD467" s="6"/>
      <c r="HE467" s="6"/>
      <c r="HF467" s="6"/>
      <c r="HG467" s="6"/>
      <c r="HH467" s="6"/>
      <c r="HI467" s="6"/>
      <c r="HJ467" s="6"/>
      <c r="HK467" s="6"/>
      <c r="HL467" s="6"/>
      <c r="HM467" s="6"/>
      <c r="HN467" s="6"/>
      <c r="HO467" s="6"/>
      <c r="HP467" s="6"/>
    </row>
    <row r="468" spans="3:224" ht="20.100000000000001" customHeight="1">
      <c r="C468" s="51">
        <v>16000211</v>
      </c>
      <c r="D468" s="52" t="s">
        <v>457</v>
      </c>
      <c r="E468" s="14">
        <v>1140003</v>
      </c>
      <c r="F468" s="14">
        <v>30011</v>
      </c>
      <c r="G468" s="14">
        <v>1</v>
      </c>
      <c r="H468" s="14">
        <v>10</v>
      </c>
      <c r="I468" s="22">
        <v>0</v>
      </c>
      <c r="J468" s="23">
        <v>0</v>
      </c>
      <c r="K468" s="14">
        <v>0</v>
      </c>
      <c r="L468" s="14">
        <v>0</v>
      </c>
      <c r="M468" s="14">
        <v>0</v>
      </c>
      <c r="N468" s="14">
        <v>0</v>
      </c>
      <c r="O468" s="14">
        <v>0</v>
      </c>
      <c r="P468" s="14">
        <v>0</v>
      </c>
      <c r="Q468" s="14">
        <v>0</v>
      </c>
      <c r="R468" s="14">
        <v>0</v>
      </c>
      <c r="S468" s="14">
        <v>0</v>
      </c>
      <c r="T468" s="14">
        <v>0</v>
      </c>
      <c r="U468" s="22">
        <v>0</v>
      </c>
      <c r="V468" s="14">
        <v>0</v>
      </c>
      <c r="W468" s="14">
        <v>0</v>
      </c>
      <c r="X468" s="14">
        <v>0</v>
      </c>
      <c r="Y468" s="22">
        <v>0</v>
      </c>
      <c r="Z468" s="22">
        <v>0</v>
      </c>
      <c r="AA468" s="22">
        <v>0</v>
      </c>
      <c r="AB468" s="22" t="s">
        <v>443</v>
      </c>
      <c r="AC468" s="22" t="s">
        <v>451</v>
      </c>
      <c r="AD468" s="22" t="s">
        <v>64</v>
      </c>
      <c r="AE468" s="22"/>
      <c r="GR468" s="6"/>
      <c r="GS468" s="6"/>
      <c r="GT468" s="6"/>
      <c r="GU468" s="6"/>
      <c r="GV468" s="6"/>
      <c r="GW468" s="6"/>
      <c r="GX468" s="6"/>
      <c r="GY468" s="6"/>
      <c r="GZ468" s="6"/>
      <c r="HA468" s="6"/>
      <c r="HB468" s="6"/>
      <c r="HC468" s="6"/>
      <c r="HD468" s="6"/>
      <c r="HE468" s="6"/>
      <c r="HF468" s="6"/>
      <c r="HG468" s="6"/>
      <c r="HH468" s="6"/>
      <c r="HI468" s="6"/>
      <c r="HJ468" s="6"/>
      <c r="HK468" s="6"/>
      <c r="HL468" s="6"/>
      <c r="HM468" s="6"/>
      <c r="HN468" s="6"/>
      <c r="HO468" s="6"/>
      <c r="HP468" s="6"/>
    </row>
    <row r="469" spans="3:224" ht="20.100000000000001" customHeight="1">
      <c r="C469" s="51">
        <v>16000212</v>
      </c>
      <c r="D469" s="52" t="s">
        <v>458</v>
      </c>
      <c r="E469" s="14">
        <v>1140003</v>
      </c>
      <c r="F469" s="14">
        <v>30011</v>
      </c>
      <c r="G469" s="14">
        <v>1</v>
      </c>
      <c r="H469" s="14">
        <v>10</v>
      </c>
      <c r="I469" s="22">
        <v>0</v>
      </c>
      <c r="J469" s="23">
        <v>0</v>
      </c>
      <c r="K469" s="14">
        <v>0</v>
      </c>
      <c r="L469" s="14">
        <v>0</v>
      </c>
      <c r="M469" s="14">
        <v>0</v>
      </c>
      <c r="N469" s="14">
        <v>0</v>
      </c>
      <c r="O469" s="14">
        <v>0</v>
      </c>
      <c r="P469" s="14">
        <v>0</v>
      </c>
      <c r="Q469" s="14">
        <v>0</v>
      </c>
      <c r="R469" s="14">
        <v>0</v>
      </c>
      <c r="S469" s="14">
        <v>0</v>
      </c>
      <c r="T469" s="14">
        <v>0</v>
      </c>
      <c r="U469" s="22">
        <v>0</v>
      </c>
      <c r="V469" s="14">
        <v>0</v>
      </c>
      <c r="W469" s="14">
        <v>0</v>
      </c>
      <c r="X469" s="14">
        <v>0</v>
      </c>
      <c r="Y469" s="22">
        <v>0</v>
      </c>
      <c r="Z469" s="22">
        <v>0</v>
      </c>
      <c r="AA469" s="22">
        <v>0</v>
      </c>
      <c r="AB469" s="22" t="s">
        <v>445</v>
      </c>
      <c r="AC469" s="22" t="s">
        <v>451</v>
      </c>
      <c r="AD469" s="22" t="s">
        <v>64</v>
      </c>
      <c r="AE469" s="22"/>
      <c r="GR469" s="6"/>
      <c r="GS469" s="6"/>
      <c r="GT469" s="6"/>
      <c r="GU469" s="6"/>
      <c r="GV469" s="6"/>
      <c r="GW469" s="6"/>
      <c r="GX469" s="6"/>
      <c r="GY469" s="6"/>
      <c r="GZ469" s="6"/>
      <c r="HA469" s="6"/>
      <c r="HB469" s="6"/>
      <c r="HC469" s="6"/>
      <c r="HD469" s="6"/>
      <c r="HE469" s="6"/>
      <c r="HF469" s="6"/>
      <c r="HG469" s="6"/>
      <c r="HH469" s="6"/>
      <c r="HI469" s="6"/>
      <c r="HJ469" s="6"/>
      <c r="HK469" s="6"/>
      <c r="HL469" s="6"/>
      <c r="HM469" s="6"/>
      <c r="HN469" s="6"/>
      <c r="HO469" s="6"/>
      <c r="HP469" s="6"/>
    </row>
    <row r="470" spans="3:224" ht="20.100000000000001" customHeight="1">
      <c r="C470" s="51">
        <v>16000301</v>
      </c>
      <c r="D470" s="52" t="s">
        <v>459</v>
      </c>
      <c r="E470" s="14">
        <v>1140003</v>
      </c>
      <c r="F470" s="14">
        <v>30021</v>
      </c>
      <c r="G470" s="14">
        <v>1</v>
      </c>
      <c r="H470" s="14">
        <v>10</v>
      </c>
      <c r="I470" s="22">
        <v>0</v>
      </c>
      <c r="J470" s="23">
        <v>0</v>
      </c>
      <c r="K470" s="14">
        <v>0</v>
      </c>
      <c r="L470" s="14">
        <v>0</v>
      </c>
      <c r="M470" s="14">
        <v>0</v>
      </c>
      <c r="N470" s="14">
        <v>0</v>
      </c>
      <c r="O470" s="14">
        <v>0</v>
      </c>
      <c r="P470" s="14">
        <v>0</v>
      </c>
      <c r="Q470" s="14">
        <v>0</v>
      </c>
      <c r="R470" s="14">
        <v>0</v>
      </c>
      <c r="S470" s="14">
        <v>0</v>
      </c>
      <c r="T470" s="14">
        <v>0</v>
      </c>
      <c r="U470" s="22">
        <v>0</v>
      </c>
      <c r="V470" s="14">
        <v>0</v>
      </c>
      <c r="W470" s="14">
        <v>0</v>
      </c>
      <c r="X470" s="14">
        <v>0</v>
      </c>
      <c r="Y470" s="22">
        <v>0</v>
      </c>
      <c r="Z470" s="22">
        <v>0</v>
      </c>
      <c r="AA470" s="22">
        <v>0</v>
      </c>
      <c r="AB470" s="22">
        <v>105101</v>
      </c>
      <c r="AC470" s="22">
        <v>10</v>
      </c>
      <c r="AD470" s="22">
        <v>0</v>
      </c>
      <c r="AE470" s="22"/>
      <c r="GR470" s="6"/>
      <c r="GS470" s="6"/>
      <c r="GT470" s="6"/>
      <c r="GU470" s="6"/>
      <c r="GV470" s="6"/>
      <c r="GW470" s="6"/>
      <c r="GX470" s="6"/>
      <c r="GY470" s="6"/>
      <c r="GZ470" s="6"/>
      <c r="HA470" s="6"/>
      <c r="HB470" s="6"/>
      <c r="HC470" s="6"/>
      <c r="HD470" s="6"/>
      <c r="HE470" s="6"/>
      <c r="HF470" s="6"/>
      <c r="HG470" s="6"/>
      <c r="HH470" s="6"/>
      <c r="HI470" s="6"/>
      <c r="HJ470" s="6"/>
      <c r="HK470" s="6"/>
      <c r="HL470" s="6"/>
      <c r="HM470" s="6"/>
      <c r="HN470" s="6"/>
      <c r="HO470" s="6"/>
      <c r="HP470" s="6"/>
    </row>
    <row r="471" spans="3:224" ht="20.100000000000001" customHeight="1">
      <c r="C471" s="51">
        <v>16000302</v>
      </c>
      <c r="D471" s="52" t="s">
        <v>460</v>
      </c>
      <c r="E471" s="14">
        <v>1140003</v>
      </c>
      <c r="F471" s="14">
        <v>30021</v>
      </c>
      <c r="G471" s="14">
        <v>1</v>
      </c>
      <c r="H471" s="14">
        <v>10</v>
      </c>
      <c r="I471" s="22">
        <v>0</v>
      </c>
      <c r="J471" s="23">
        <v>0</v>
      </c>
      <c r="K471" s="14">
        <v>0</v>
      </c>
      <c r="L471" s="14">
        <v>0</v>
      </c>
      <c r="M471" s="14">
        <v>0</v>
      </c>
      <c r="N471" s="14">
        <v>0</v>
      </c>
      <c r="O471" s="14">
        <v>0</v>
      </c>
      <c r="P471" s="14">
        <v>0</v>
      </c>
      <c r="Q471" s="14">
        <v>0</v>
      </c>
      <c r="R471" s="14">
        <v>0</v>
      </c>
      <c r="S471" s="14">
        <v>0</v>
      </c>
      <c r="T471" s="14">
        <v>0</v>
      </c>
      <c r="U471" s="22">
        <v>0</v>
      </c>
      <c r="V471" s="14">
        <v>0</v>
      </c>
      <c r="W471" s="14">
        <v>0</v>
      </c>
      <c r="X471" s="14">
        <v>0</v>
      </c>
      <c r="Y471" s="22">
        <v>0</v>
      </c>
      <c r="Z471" s="22">
        <v>0</v>
      </c>
      <c r="AA471" s="22">
        <v>0</v>
      </c>
      <c r="AB471" s="22">
        <v>105501</v>
      </c>
      <c r="AC471" s="22">
        <v>10</v>
      </c>
      <c r="AD471" s="22">
        <v>0</v>
      </c>
      <c r="AE471" s="22"/>
      <c r="GR471" s="6"/>
      <c r="GS471" s="6"/>
      <c r="GT471" s="6"/>
      <c r="GU471" s="6"/>
      <c r="GV471" s="6"/>
      <c r="GW471" s="6"/>
      <c r="GX471" s="6"/>
      <c r="GY471" s="6"/>
      <c r="GZ471" s="6"/>
      <c r="HA471" s="6"/>
      <c r="HB471" s="6"/>
      <c r="HC471" s="6"/>
      <c r="HD471" s="6"/>
      <c r="HE471" s="6"/>
      <c r="HF471" s="6"/>
      <c r="HG471" s="6"/>
      <c r="HH471" s="6"/>
      <c r="HI471" s="6"/>
      <c r="HJ471" s="6"/>
      <c r="HK471" s="6"/>
      <c r="HL471" s="6"/>
      <c r="HM471" s="6"/>
      <c r="HN471" s="6"/>
      <c r="HO471" s="6"/>
      <c r="HP471" s="6"/>
    </row>
    <row r="472" spans="3:224" ht="20.100000000000001" customHeight="1">
      <c r="C472" s="51">
        <v>16000303</v>
      </c>
      <c r="D472" s="52" t="s">
        <v>461</v>
      </c>
      <c r="E472" s="14">
        <v>1140003</v>
      </c>
      <c r="F472" s="14">
        <v>30021</v>
      </c>
      <c r="G472" s="14">
        <v>1</v>
      </c>
      <c r="H472" s="14">
        <v>10</v>
      </c>
      <c r="I472" s="22">
        <v>0</v>
      </c>
      <c r="J472" s="23">
        <v>0</v>
      </c>
      <c r="K472" s="14">
        <v>0</v>
      </c>
      <c r="L472" s="14">
        <v>0</v>
      </c>
      <c r="M472" s="14">
        <v>0</v>
      </c>
      <c r="N472" s="14">
        <v>0</v>
      </c>
      <c r="O472" s="14">
        <v>0</v>
      </c>
      <c r="P472" s="14">
        <v>0</v>
      </c>
      <c r="Q472" s="14">
        <v>0</v>
      </c>
      <c r="R472" s="14">
        <v>0</v>
      </c>
      <c r="S472" s="14">
        <v>0</v>
      </c>
      <c r="T472" s="14">
        <v>0</v>
      </c>
      <c r="U472" s="22">
        <v>0</v>
      </c>
      <c r="V472" s="14">
        <v>0</v>
      </c>
      <c r="W472" s="14">
        <v>0</v>
      </c>
      <c r="X472" s="14">
        <v>0</v>
      </c>
      <c r="Y472" s="22">
        <v>0</v>
      </c>
      <c r="Z472" s="22">
        <v>0</v>
      </c>
      <c r="AA472" s="22">
        <v>0</v>
      </c>
      <c r="AB472" s="22">
        <v>105301</v>
      </c>
      <c r="AC472" s="22">
        <v>10</v>
      </c>
      <c r="AD472" s="22">
        <v>0</v>
      </c>
      <c r="AE472" s="22"/>
      <c r="GR472" s="6"/>
      <c r="GS472" s="6"/>
      <c r="GT472" s="6"/>
      <c r="GU472" s="6"/>
      <c r="GV472" s="6"/>
      <c r="GW472" s="6"/>
      <c r="GX472" s="6"/>
      <c r="GY472" s="6"/>
      <c r="GZ472" s="6"/>
      <c r="HA472" s="6"/>
      <c r="HB472" s="6"/>
      <c r="HC472" s="6"/>
      <c r="HD472" s="6"/>
      <c r="HE472" s="6"/>
      <c r="HF472" s="6"/>
      <c r="HG472" s="6"/>
      <c r="HH472" s="6"/>
      <c r="HI472" s="6"/>
      <c r="HJ472" s="6"/>
      <c r="HK472" s="6"/>
      <c r="HL472" s="6"/>
      <c r="HM472" s="6"/>
      <c r="HN472" s="6"/>
      <c r="HO472" s="6"/>
      <c r="HP472" s="6"/>
    </row>
    <row r="473" spans="3:224" ht="20.100000000000001" customHeight="1">
      <c r="C473" s="51">
        <v>16000304</v>
      </c>
      <c r="D473" s="52" t="s">
        <v>462</v>
      </c>
      <c r="E473" s="14">
        <v>1140003</v>
      </c>
      <c r="F473" s="14">
        <v>30021</v>
      </c>
      <c r="G473" s="14">
        <v>1</v>
      </c>
      <c r="H473" s="14">
        <v>10</v>
      </c>
      <c r="I473" s="22">
        <v>0</v>
      </c>
      <c r="J473" s="23">
        <v>0</v>
      </c>
      <c r="K473" s="14">
        <v>0</v>
      </c>
      <c r="L473" s="14">
        <v>0</v>
      </c>
      <c r="M473" s="14">
        <v>0</v>
      </c>
      <c r="N473" s="14">
        <v>0</v>
      </c>
      <c r="O473" s="14">
        <v>0</v>
      </c>
      <c r="P473" s="14">
        <v>0</v>
      </c>
      <c r="Q473" s="14">
        <v>0</v>
      </c>
      <c r="R473" s="14">
        <v>0</v>
      </c>
      <c r="S473" s="14">
        <v>0</v>
      </c>
      <c r="T473" s="14">
        <v>0</v>
      </c>
      <c r="U473" s="22">
        <v>0</v>
      </c>
      <c r="V473" s="14">
        <v>0</v>
      </c>
      <c r="W473" s="14">
        <v>0</v>
      </c>
      <c r="X473" s="14">
        <v>0</v>
      </c>
      <c r="Y473" s="22">
        <v>0</v>
      </c>
      <c r="Z473" s="22">
        <v>0</v>
      </c>
      <c r="AA473" s="22">
        <v>0</v>
      </c>
      <c r="AB473" s="22">
        <v>105201</v>
      </c>
      <c r="AC473" s="22">
        <v>10</v>
      </c>
      <c r="AD473" s="22">
        <v>0</v>
      </c>
      <c r="AE473" s="22"/>
      <c r="GR473" s="6"/>
      <c r="GS473" s="6"/>
      <c r="GT473" s="6"/>
      <c r="GU473" s="6"/>
      <c r="GV473" s="6"/>
      <c r="GW473" s="6"/>
      <c r="GX473" s="6"/>
      <c r="GY473" s="6"/>
      <c r="GZ473" s="6"/>
      <c r="HA473" s="6"/>
      <c r="HB473" s="6"/>
      <c r="HC473" s="6"/>
      <c r="HD473" s="6"/>
      <c r="HE473" s="6"/>
      <c r="HF473" s="6"/>
      <c r="HG473" s="6"/>
      <c r="HH473" s="6"/>
      <c r="HI473" s="6"/>
      <c r="HJ473" s="6"/>
      <c r="HK473" s="6"/>
      <c r="HL473" s="6"/>
      <c r="HM473" s="6"/>
      <c r="HN473" s="6"/>
      <c r="HO473" s="6"/>
      <c r="HP473" s="6"/>
    </row>
    <row r="474" spans="3:224" ht="20.100000000000001" customHeight="1">
      <c r="C474" s="51">
        <v>16000305</v>
      </c>
      <c r="D474" s="52" t="s">
        <v>463</v>
      </c>
      <c r="E474" s="14">
        <v>1140003</v>
      </c>
      <c r="F474" s="14">
        <v>30021</v>
      </c>
      <c r="G474" s="14">
        <v>1</v>
      </c>
      <c r="H474" s="14">
        <v>10</v>
      </c>
      <c r="I474" s="22">
        <v>0</v>
      </c>
      <c r="J474" s="23">
        <v>0</v>
      </c>
      <c r="K474" s="14">
        <v>0</v>
      </c>
      <c r="L474" s="14">
        <v>0</v>
      </c>
      <c r="M474" s="14">
        <v>0</v>
      </c>
      <c r="N474" s="14">
        <v>0</v>
      </c>
      <c r="O474" s="14">
        <v>0</v>
      </c>
      <c r="P474" s="14">
        <v>0</v>
      </c>
      <c r="Q474" s="14">
        <v>0</v>
      </c>
      <c r="R474" s="14">
        <v>0</v>
      </c>
      <c r="S474" s="14">
        <v>0</v>
      </c>
      <c r="T474" s="14">
        <v>0</v>
      </c>
      <c r="U474" s="22">
        <v>0</v>
      </c>
      <c r="V474" s="14">
        <v>0</v>
      </c>
      <c r="W474" s="14">
        <v>0</v>
      </c>
      <c r="X474" s="14">
        <v>0</v>
      </c>
      <c r="Y474" s="22">
        <v>0</v>
      </c>
      <c r="Z474" s="22">
        <v>0</v>
      </c>
      <c r="AA474" s="22">
        <v>0</v>
      </c>
      <c r="AB474" s="22" t="s">
        <v>431</v>
      </c>
      <c r="AC474" s="22" t="s">
        <v>464</v>
      </c>
      <c r="AD474" s="22" t="s">
        <v>64</v>
      </c>
      <c r="AE474" s="22"/>
      <c r="GR474" s="6"/>
      <c r="GS474" s="6"/>
      <c r="GT474" s="6"/>
      <c r="GU474" s="6"/>
      <c r="GV474" s="6"/>
      <c r="GW474" s="6"/>
      <c r="GX474" s="6"/>
      <c r="GY474" s="6"/>
      <c r="GZ474" s="6"/>
      <c r="HA474" s="6"/>
      <c r="HB474" s="6"/>
      <c r="HC474" s="6"/>
      <c r="HD474" s="6"/>
      <c r="HE474" s="6"/>
      <c r="HF474" s="6"/>
      <c r="HG474" s="6"/>
      <c r="HH474" s="6"/>
      <c r="HI474" s="6"/>
      <c r="HJ474" s="6"/>
      <c r="HK474" s="6"/>
      <c r="HL474" s="6"/>
      <c r="HM474" s="6"/>
      <c r="HN474" s="6"/>
      <c r="HO474" s="6"/>
      <c r="HP474" s="6"/>
    </row>
    <row r="475" spans="3:224" ht="20.100000000000001" customHeight="1">
      <c r="C475" s="51">
        <v>16000306</v>
      </c>
      <c r="D475" s="52" t="s">
        <v>465</v>
      </c>
      <c r="E475" s="14">
        <v>1140003</v>
      </c>
      <c r="F475" s="14">
        <v>30021</v>
      </c>
      <c r="G475" s="14">
        <v>1</v>
      </c>
      <c r="H475" s="14">
        <v>10</v>
      </c>
      <c r="I475" s="22">
        <v>0</v>
      </c>
      <c r="J475" s="23">
        <v>0</v>
      </c>
      <c r="K475" s="14">
        <v>0</v>
      </c>
      <c r="L475" s="14">
        <v>0</v>
      </c>
      <c r="M475" s="14">
        <v>0</v>
      </c>
      <c r="N475" s="14">
        <v>0</v>
      </c>
      <c r="O475" s="14">
        <v>0</v>
      </c>
      <c r="P475" s="14">
        <v>0</v>
      </c>
      <c r="Q475" s="14">
        <v>0</v>
      </c>
      <c r="R475" s="14">
        <v>0</v>
      </c>
      <c r="S475" s="14">
        <v>0</v>
      </c>
      <c r="T475" s="14">
        <v>0</v>
      </c>
      <c r="U475" s="22">
        <v>0</v>
      </c>
      <c r="V475" s="14">
        <v>0</v>
      </c>
      <c r="W475" s="14">
        <v>0</v>
      </c>
      <c r="X475" s="14">
        <v>0</v>
      </c>
      <c r="Y475" s="22">
        <v>0</v>
      </c>
      <c r="Z475" s="22">
        <v>0</v>
      </c>
      <c r="AA475" s="22">
        <v>0</v>
      </c>
      <c r="AB475" s="22" t="s">
        <v>434</v>
      </c>
      <c r="AC475" s="22" t="s">
        <v>464</v>
      </c>
      <c r="AD475" s="22" t="s">
        <v>64</v>
      </c>
      <c r="AE475" s="22"/>
      <c r="GR475" s="6"/>
      <c r="GS475" s="6"/>
      <c r="GT475" s="6"/>
      <c r="GU475" s="6"/>
      <c r="GV475" s="6"/>
      <c r="GW475" s="6"/>
      <c r="GX475" s="6"/>
      <c r="GY475" s="6"/>
      <c r="GZ475" s="6"/>
      <c r="HA475" s="6"/>
      <c r="HB475" s="6"/>
      <c r="HC475" s="6"/>
      <c r="HD475" s="6"/>
      <c r="HE475" s="6"/>
      <c r="HF475" s="6"/>
      <c r="HG475" s="6"/>
      <c r="HH475" s="6"/>
      <c r="HI475" s="6"/>
      <c r="HJ475" s="6"/>
      <c r="HK475" s="6"/>
      <c r="HL475" s="6"/>
      <c r="HM475" s="6"/>
      <c r="HN475" s="6"/>
      <c r="HO475" s="6"/>
      <c r="HP475" s="6"/>
    </row>
    <row r="476" spans="3:224" ht="20.100000000000001" customHeight="1">
      <c r="C476" s="51">
        <v>16000307</v>
      </c>
      <c r="D476" s="52" t="s">
        <v>466</v>
      </c>
      <c r="E476" s="14">
        <v>1140003</v>
      </c>
      <c r="F476" s="14">
        <v>30021</v>
      </c>
      <c r="G476" s="14">
        <v>1</v>
      </c>
      <c r="H476" s="14">
        <v>10</v>
      </c>
      <c r="I476" s="22">
        <v>0</v>
      </c>
      <c r="J476" s="23">
        <v>0</v>
      </c>
      <c r="K476" s="14">
        <v>0</v>
      </c>
      <c r="L476" s="14">
        <v>0</v>
      </c>
      <c r="M476" s="14">
        <v>0</v>
      </c>
      <c r="N476" s="14">
        <v>0</v>
      </c>
      <c r="O476" s="14">
        <v>0</v>
      </c>
      <c r="P476" s="14">
        <v>0</v>
      </c>
      <c r="Q476" s="14">
        <v>0</v>
      </c>
      <c r="R476" s="14">
        <v>0</v>
      </c>
      <c r="S476" s="14">
        <v>0</v>
      </c>
      <c r="T476" s="14">
        <v>0</v>
      </c>
      <c r="U476" s="22">
        <v>0</v>
      </c>
      <c r="V476" s="14">
        <v>0</v>
      </c>
      <c r="W476" s="14">
        <v>0</v>
      </c>
      <c r="X476" s="14">
        <v>0</v>
      </c>
      <c r="Y476" s="22">
        <v>0</v>
      </c>
      <c r="Z476" s="22">
        <v>0</v>
      </c>
      <c r="AA476" s="22">
        <v>0</v>
      </c>
      <c r="AB476" s="22" t="s">
        <v>436</v>
      </c>
      <c r="AC476" s="22" t="s">
        <v>464</v>
      </c>
      <c r="AD476" s="22" t="s">
        <v>64</v>
      </c>
      <c r="AE476" s="22"/>
      <c r="GR476" s="6"/>
      <c r="GS476" s="6"/>
      <c r="GT476" s="6"/>
      <c r="GU476" s="6"/>
      <c r="GV476" s="6"/>
      <c r="GW476" s="6"/>
      <c r="GX476" s="6"/>
      <c r="GY476" s="6"/>
      <c r="GZ476" s="6"/>
      <c r="HA476" s="6"/>
      <c r="HB476" s="6"/>
      <c r="HC476" s="6"/>
      <c r="HD476" s="6"/>
      <c r="HE476" s="6"/>
      <c r="HF476" s="6"/>
      <c r="HG476" s="6"/>
      <c r="HH476" s="6"/>
      <c r="HI476" s="6"/>
      <c r="HJ476" s="6"/>
      <c r="HK476" s="6"/>
      <c r="HL476" s="6"/>
      <c r="HM476" s="6"/>
      <c r="HN476" s="6"/>
      <c r="HO476" s="6"/>
      <c r="HP476" s="6"/>
    </row>
    <row r="477" spans="3:224" ht="20.100000000000001" customHeight="1">
      <c r="C477" s="51">
        <v>16000308</v>
      </c>
      <c r="D477" s="52" t="s">
        <v>467</v>
      </c>
      <c r="E477" s="14">
        <v>1140003</v>
      </c>
      <c r="F477" s="14">
        <v>30021</v>
      </c>
      <c r="G477" s="14">
        <v>1</v>
      </c>
      <c r="H477" s="14">
        <v>10</v>
      </c>
      <c r="I477" s="22">
        <v>0</v>
      </c>
      <c r="J477" s="23">
        <v>0</v>
      </c>
      <c r="K477" s="14">
        <v>0</v>
      </c>
      <c r="L477" s="14">
        <v>0</v>
      </c>
      <c r="M477" s="14">
        <v>0</v>
      </c>
      <c r="N477" s="14">
        <v>0</v>
      </c>
      <c r="O477" s="14">
        <v>0</v>
      </c>
      <c r="P477" s="14">
        <v>0</v>
      </c>
      <c r="Q477" s="14">
        <v>0</v>
      </c>
      <c r="R477" s="14">
        <v>0</v>
      </c>
      <c r="S477" s="14">
        <v>0</v>
      </c>
      <c r="T477" s="14">
        <v>0</v>
      </c>
      <c r="U477" s="22">
        <v>0</v>
      </c>
      <c r="V477" s="14">
        <v>0</v>
      </c>
      <c r="W477" s="14">
        <v>0</v>
      </c>
      <c r="X477" s="14">
        <v>0</v>
      </c>
      <c r="Y477" s="22">
        <v>0</v>
      </c>
      <c r="Z477" s="22">
        <v>0</v>
      </c>
      <c r="AA477" s="22">
        <v>0</v>
      </c>
      <c r="AB477" s="22" t="s">
        <v>438</v>
      </c>
      <c r="AC477" s="22" t="s">
        <v>464</v>
      </c>
      <c r="AD477" s="22" t="s">
        <v>64</v>
      </c>
      <c r="AE477" s="22"/>
      <c r="GR477" s="6"/>
      <c r="GS477" s="6"/>
      <c r="GT477" s="6"/>
      <c r="GU477" s="6"/>
      <c r="GV477" s="6"/>
      <c r="GW477" s="6"/>
      <c r="GX477" s="6"/>
      <c r="GY477" s="6"/>
      <c r="GZ477" s="6"/>
      <c r="HA477" s="6"/>
      <c r="HB477" s="6"/>
      <c r="HC477" s="6"/>
      <c r="HD477" s="6"/>
      <c r="HE477" s="6"/>
      <c r="HF477" s="6"/>
      <c r="HG477" s="6"/>
      <c r="HH477" s="6"/>
      <c r="HI477" s="6"/>
      <c r="HJ477" s="6"/>
      <c r="HK477" s="6"/>
      <c r="HL477" s="6"/>
      <c r="HM477" s="6"/>
      <c r="HN477" s="6"/>
      <c r="HO477" s="6"/>
      <c r="HP477" s="6"/>
    </row>
    <row r="478" spans="3:224" ht="20.100000000000001" customHeight="1">
      <c r="C478" s="51">
        <v>16000309</v>
      </c>
      <c r="D478" s="52" t="s">
        <v>468</v>
      </c>
      <c r="E478" s="14">
        <v>1140003</v>
      </c>
      <c r="F478" s="14">
        <v>30021</v>
      </c>
      <c r="G478" s="14">
        <v>1</v>
      </c>
      <c r="H478" s="14">
        <v>10</v>
      </c>
      <c r="I478" s="22">
        <v>0</v>
      </c>
      <c r="J478" s="23">
        <v>0</v>
      </c>
      <c r="K478" s="14">
        <v>0</v>
      </c>
      <c r="L478" s="14">
        <v>0</v>
      </c>
      <c r="M478" s="14">
        <v>0</v>
      </c>
      <c r="N478" s="14">
        <v>0</v>
      </c>
      <c r="O478" s="14">
        <v>0</v>
      </c>
      <c r="P478" s="14">
        <v>0</v>
      </c>
      <c r="Q478" s="14">
        <v>0</v>
      </c>
      <c r="R478" s="14">
        <v>0</v>
      </c>
      <c r="S478" s="14">
        <v>0</v>
      </c>
      <c r="T478" s="14">
        <v>0</v>
      </c>
      <c r="U478" s="22">
        <v>0</v>
      </c>
      <c r="V478" s="14">
        <v>0</v>
      </c>
      <c r="W478" s="14">
        <v>0</v>
      </c>
      <c r="X478" s="14">
        <v>0</v>
      </c>
      <c r="Y478" s="22">
        <v>0</v>
      </c>
      <c r="Z478" s="22">
        <v>0</v>
      </c>
      <c r="AA478" s="22">
        <v>0</v>
      </c>
      <c r="AB478" s="22">
        <v>105401</v>
      </c>
      <c r="AC478" s="22">
        <v>10</v>
      </c>
      <c r="AD478" s="22">
        <v>0</v>
      </c>
      <c r="AE478" s="22"/>
      <c r="GR478" s="6"/>
      <c r="GS478" s="6"/>
      <c r="GT478" s="6"/>
      <c r="GU478" s="6"/>
      <c r="GV478" s="6"/>
      <c r="GW478" s="6"/>
      <c r="GX478" s="6"/>
      <c r="GY478" s="6"/>
      <c r="GZ478" s="6"/>
      <c r="HA478" s="6"/>
      <c r="HB478" s="6"/>
      <c r="HC478" s="6"/>
      <c r="HD478" s="6"/>
      <c r="HE478" s="6"/>
      <c r="HF478" s="6"/>
      <c r="HG478" s="6"/>
      <c r="HH478" s="6"/>
      <c r="HI478" s="6"/>
      <c r="HJ478" s="6"/>
      <c r="HK478" s="6"/>
      <c r="HL478" s="6"/>
      <c r="HM478" s="6"/>
      <c r="HN478" s="6"/>
      <c r="HO478" s="6"/>
      <c r="HP478" s="6"/>
    </row>
    <row r="479" spans="3:224" ht="20.100000000000001" customHeight="1">
      <c r="C479" s="51">
        <v>16000310</v>
      </c>
      <c r="D479" s="52" t="s">
        <v>469</v>
      </c>
      <c r="E479" s="14">
        <v>1140003</v>
      </c>
      <c r="F479" s="14">
        <v>30021</v>
      </c>
      <c r="G479" s="14">
        <v>1</v>
      </c>
      <c r="H479" s="14">
        <v>10</v>
      </c>
      <c r="I479" s="22">
        <v>0</v>
      </c>
      <c r="J479" s="23">
        <v>0</v>
      </c>
      <c r="K479" s="14">
        <v>0</v>
      </c>
      <c r="L479" s="14">
        <v>0</v>
      </c>
      <c r="M479" s="14">
        <v>0</v>
      </c>
      <c r="N479" s="14">
        <v>0</v>
      </c>
      <c r="O479" s="14">
        <v>0</v>
      </c>
      <c r="P479" s="14">
        <v>0</v>
      </c>
      <c r="Q479" s="14">
        <v>0</v>
      </c>
      <c r="R479" s="14">
        <v>0</v>
      </c>
      <c r="S479" s="14">
        <v>0</v>
      </c>
      <c r="T479" s="14">
        <v>0</v>
      </c>
      <c r="U479" s="22">
        <v>0</v>
      </c>
      <c r="V479" s="14">
        <v>0</v>
      </c>
      <c r="W479" s="14">
        <v>0</v>
      </c>
      <c r="X479" s="14">
        <v>0</v>
      </c>
      <c r="Y479" s="22">
        <v>0</v>
      </c>
      <c r="Z479" s="22">
        <v>0</v>
      </c>
      <c r="AA479" s="22">
        <v>0</v>
      </c>
      <c r="AB479" s="22" t="s">
        <v>441</v>
      </c>
      <c r="AC479" s="22" t="s">
        <v>464</v>
      </c>
      <c r="AD479" s="22" t="s">
        <v>64</v>
      </c>
      <c r="AE479" s="22"/>
      <c r="GR479" s="6"/>
      <c r="GS479" s="6"/>
      <c r="GT479" s="6"/>
      <c r="GU479" s="6"/>
      <c r="GV479" s="6"/>
      <c r="GW479" s="6"/>
      <c r="GX479" s="6"/>
      <c r="GY479" s="6"/>
      <c r="GZ479" s="6"/>
      <c r="HA479" s="6"/>
      <c r="HB479" s="6"/>
      <c r="HC479" s="6"/>
      <c r="HD479" s="6"/>
      <c r="HE479" s="6"/>
      <c r="HF479" s="6"/>
      <c r="HG479" s="6"/>
      <c r="HH479" s="6"/>
      <c r="HI479" s="6"/>
      <c r="HJ479" s="6"/>
      <c r="HK479" s="6"/>
      <c r="HL479" s="6"/>
      <c r="HM479" s="6"/>
      <c r="HN479" s="6"/>
      <c r="HO479" s="6"/>
      <c r="HP479" s="6"/>
    </row>
    <row r="480" spans="3:224" ht="20.100000000000001" customHeight="1">
      <c r="C480" s="51">
        <v>16000311</v>
      </c>
      <c r="D480" s="52" t="s">
        <v>470</v>
      </c>
      <c r="E480" s="14">
        <v>1140003</v>
      </c>
      <c r="F480" s="14">
        <v>30021</v>
      </c>
      <c r="G480" s="14">
        <v>1</v>
      </c>
      <c r="H480" s="14">
        <v>10</v>
      </c>
      <c r="I480" s="22">
        <v>0</v>
      </c>
      <c r="J480" s="23">
        <v>0</v>
      </c>
      <c r="K480" s="14">
        <v>0</v>
      </c>
      <c r="L480" s="14">
        <v>0</v>
      </c>
      <c r="M480" s="14">
        <v>0</v>
      </c>
      <c r="N480" s="14">
        <v>0</v>
      </c>
      <c r="O480" s="14">
        <v>0</v>
      </c>
      <c r="P480" s="14">
        <v>0</v>
      </c>
      <c r="Q480" s="14">
        <v>0</v>
      </c>
      <c r="R480" s="14">
        <v>0</v>
      </c>
      <c r="S480" s="14">
        <v>0</v>
      </c>
      <c r="T480" s="14">
        <v>0</v>
      </c>
      <c r="U480" s="22">
        <v>0</v>
      </c>
      <c r="V480" s="14">
        <v>0</v>
      </c>
      <c r="W480" s="14">
        <v>0</v>
      </c>
      <c r="X480" s="14">
        <v>0</v>
      </c>
      <c r="Y480" s="22">
        <v>0</v>
      </c>
      <c r="Z480" s="22">
        <v>0</v>
      </c>
      <c r="AA480" s="22">
        <v>0</v>
      </c>
      <c r="AB480" s="22" t="s">
        <v>443</v>
      </c>
      <c r="AC480" s="22" t="s">
        <v>464</v>
      </c>
      <c r="AD480" s="22" t="s">
        <v>64</v>
      </c>
      <c r="AE480" s="22"/>
      <c r="GR480" s="6"/>
      <c r="GS480" s="6"/>
      <c r="GT480" s="6"/>
      <c r="GU480" s="6"/>
      <c r="GV480" s="6"/>
      <c r="GW480" s="6"/>
      <c r="GX480" s="6"/>
      <c r="GY480" s="6"/>
      <c r="GZ480" s="6"/>
      <c r="HA480" s="6"/>
      <c r="HB480" s="6"/>
      <c r="HC480" s="6"/>
      <c r="HD480" s="6"/>
      <c r="HE480" s="6"/>
      <c r="HF480" s="6"/>
      <c r="HG480" s="6"/>
      <c r="HH480" s="6"/>
      <c r="HI480" s="6"/>
      <c r="HJ480" s="6"/>
      <c r="HK480" s="6"/>
      <c r="HL480" s="6"/>
      <c r="HM480" s="6"/>
      <c r="HN480" s="6"/>
      <c r="HO480" s="6"/>
      <c r="HP480" s="6"/>
    </row>
    <row r="481" spans="3:224" ht="20.100000000000001" customHeight="1">
      <c r="C481" s="51">
        <v>16000312</v>
      </c>
      <c r="D481" s="52" t="s">
        <v>471</v>
      </c>
      <c r="E481" s="14">
        <v>1140003</v>
      </c>
      <c r="F481" s="14">
        <v>30021</v>
      </c>
      <c r="G481" s="14">
        <v>1</v>
      </c>
      <c r="H481" s="14">
        <v>10</v>
      </c>
      <c r="I481" s="22">
        <v>0</v>
      </c>
      <c r="J481" s="23">
        <v>0</v>
      </c>
      <c r="K481" s="14">
        <v>0</v>
      </c>
      <c r="L481" s="14">
        <v>0</v>
      </c>
      <c r="M481" s="14">
        <v>0</v>
      </c>
      <c r="N481" s="14">
        <v>0</v>
      </c>
      <c r="O481" s="14">
        <v>0</v>
      </c>
      <c r="P481" s="14">
        <v>0</v>
      </c>
      <c r="Q481" s="14">
        <v>0</v>
      </c>
      <c r="R481" s="14">
        <v>0</v>
      </c>
      <c r="S481" s="14">
        <v>0</v>
      </c>
      <c r="T481" s="14">
        <v>0</v>
      </c>
      <c r="U481" s="22">
        <v>0</v>
      </c>
      <c r="V481" s="14">
        <v>0</v>
      </c>
      <c r="W481" s="14">
        <v>0</v>
      </c>
      <c r="X481" s="14">
        <v>0</v>
      </c>
      <c r="Y481" s="22">
        <v>0</v>
      </c>
      <c r="Z481" s="22">
        <v>0</v>
      </c>
      <c r="AA481" s="22">
        <v>0</v>
      </c>
      <c r="AB481" s="22" t="s">
        <v>445</v>
      </c>
      <c r="AC481" s="22" t="s">
        <v>464</v>
      </c>
      <c r="AD481" s="22" t="s">
        <v>64</v>
      </c>
      <c r="AE481" s="22"/>
      <c r="GR481" s="6"/>
      <c r="GS481" s="6"/>
      <c r="GT481" s="6"/>
      <c r="GU481" s="6"/>
      <c r="GV481" s="6"/>
      <c r="GW481" s="6"/>
      <c r="GX481" s="6"/>
      <c r="GY481" s="6"/>
      <c r="GZ481" s="6"/>
      <c r="HA481" s="6"/>
      <c r="HB481" s="6"/>
      <c r="HC481" s="6"/>
      <c r="HD481" s="6"/>
      <c r="HE481" s="6"/>
      <c r="HF481" s="6"/>
      <c r="HG481" s="6"/>
      <c r="HH481" s="6"/>
      <c r="HI481" s="6"/>
      <c r="HJ481" s="6"/>
      <c r="HK481" s="6"/>
      <c r="HL481" s="6"/>
      <c r="HM481" s="6"/>
      <c r="HN481" s="6"/>
      <c r="HO481" s="6"/>
      <c r="HP481" s="6"/>
    </row>
    <row r="482" spans="3:224" ht="20.100000000000001" customHeight="1">
      <c r="C482" s="51">
        <v>16000401</v>
      </c>
      <c r="D482" s="52" t="s">
        <v>472</v>
      </c>
      <c r="E482" s="14">
        <v>1140003</v>
      </c>
      <c r="F482" s="14">
        <v>30031</v>
      </c>
      <c r="G482" s="14">
        <v>1</v>
      </c>
      <c r="H482" s="14">
        <v>12</v>
      </c>
      <c r="I482" s="22">
        <v>0</v>
      </c>
      <c r="J482" s="23">
        <v>0</v>
      </c>
      <c r="K482" s="14">
        <v>0</v>
      </c>
      <c r="L482" s="14">
        <v>0</v>
      </c>
      <c r="M482" s="14">
        <v>0</v>
      </c>
      <c r="N482" s="14">
        <v>0</v>
      </c>
      <c r="O482" s="14">
        <v>0</v>
      </c>
      <c r="P482" s="14">
        <v>0</v>
      </c>
      <c r="Q482" s="14">
        <v>0</v>
      </c>
      <c r="R482" s="14">
        <v>0</v>
      </c>
      <c r="S482" s="14">
        <v>0</v>
      </c>
      <c r="T482" s="14">
        <v>0</v>
      </c>
      <c r="U482" s="22">
        <v>0</v>
      </c>
      <c r="V482" s="14">
        <v>0</v>
      </c>
      <c r="W482" s="14">
        <v>0</v>
      </c>
      <c r="X482" s="14">
        <v>0</v>
      </c>
      <c r="Y482" s="22">
        <v>0</v>
      </c>
      <c r="Z482" s="22">
        <v>0</v>
      </c>
      <c r="AA482" s="22">
        <v>0</v>
      </c>
      <c r="AB482" s="22">
        <v>105101</v>
      </c>
      <c r="AC482" s="22">
        <v>13</v>
      </c>
      <c r="AD482" s="22">
        <v>0</v>
      </c>
      <c r="AE482" s="22"/>
      <c r="GR482" s="6"/>
      <c r="GS482" s="6"/>
      <c r="GT482" s="6"/>
      <c r="GU482" s="6"/>
      <c r="GV482" s="6"/>
      <c r="GW482" s="6"/>
      <c r="GX482" s="6"/>
      <c r="GY482" s="6"/>
      <c r="GZ482" s="6"/>
      <c r="HA482" s="6"/>
      <c r="HB482" s="6"/>
      <c r="HC482" s="6"/>
      <c r="HD482" s="6"/>
      <c r="HE482" s="6"/>
      <c r="HF482" s="6"/>
      <c r="HG482" s="6"/>
      <c r="HH482" s="6"/>
      <c r="HI482" s="6"/>
      <c r="HJ482" s="6"/>
      <c r="HK482" s="6"/>
      <c r="HL482" s="6"/>
      <c r="HM482" s="6"/>
      <c r="HN482" s="6"/>
      <c r="HO482" s="6"/>
      <c r="HP482" s="6"/>
    </row>
    <row r="483" spans="3:224" ht="20.100000000000001" customHeight="1">
      <c r="C483" s="51">
        <v>16000402</v>
      </c>
      <c r="D483" s="52" t="s">
        <v>473</v>
      </c>
      <c r="E483" s="14">
        <v>1140003</v>
      </c>
      <c r="F483" s="14">
        <v>30031</v>
      </c>
      <c r="G483" s="14">
        <v>1</v>
      </c>
      <c r="H483" s="14">
        <v>12</v>
      </c>
      <c r="I483" s="22">
        <v>0</v>
      </c>
      <c r="J483" s="23">
        <v>0</v>
      </c>
      <c r="K483" s="14">
        <v>0</v>
      </c>
      <c r="L483" s="14">
        <v>0</v>
      </c>
      <c r="M483" s="14">
        <v>0</v>
      </c>
      <c r="N483" s="14">
        <v>0</v>
      </c>
      <c r="O483" s="14">
        <v>0</v>
      </c>
      <c r="P483" s="14">
        <v>0</v>
      </c>
      <c r="Q483" s="14">
        <v>0</v>
      </c>
      <c r="R483" s="14">
        <v>0</v>
      </c>
      <c r="S483" s="14">
        <v>0</v>
      </c>
      <c r="T483" s="14">
        <v>0</v>
      </c>
      <c r="U483" s="22">
        <v>0</v>
      </c>
      <c r="V483" s="14">
        <v>0</v>
      </c>
      <c r="W483" s="14">
        <v>0</v>
      </c>
      <c r="X483" s="14">
        <v>0</v>
      </c>
      <c r="Y483" s="22">
        <v>0</v>
      </c>
      <c r="Z483" s="22">
        <v>0</v>
      </c>
      <c r="AA483" s="22">
        <v>0</v>
      </c>
      <c r="AB483" s="22">
        <v>105501</v>
      </c>
      <c r="AC483" s="22">
        <v>13</v>
      </c>
      <c r="AD483" s="22">
        <v>0</v>
      </c>
      <c r="AE483" s="22"/>
      <c r="GR483" s="6"/>
      <c r="GS483" s="6"/>
      <c r="GT483" s="6"/>
      <c r="GU483" s="6"/>
      <c r="GV483" s="6"/>
      <c r="GW483" s="6"/>
      <c r="GX483" s="6"/>
      <c r="GY483" s="6"/>
      <c r="GZ483" s="6"/>
      <c r="HA483" s="6"/>
      <c r="HB483" s="6"/>
      <c r="HC483" s="6"/>
      <c r="HD483" s="6"/>
      <c r="HE483" s="6"/>
      <c r="HF483" s="6"/>
      <c r="HG483" s="6"/>
      <c r="HH483" s="6"/>
      <c r="HI483" s="6"/>
      <c r="HJ483" s="6"/>
      <c r="HK483" s="6"/>
      <c r="HL483" s="6"/>
      <c r="HM483" s="6"/>
      <c r="HN483" s="6"/>
      <c r="HO483" s="6"/>
      <c r="HP483" s="6"/>
    </row>
    <row r="484" spans="3:224" ht="20.100000000000001" customHeight="1">
      <c r="C484" s="51">
        <v>16000403</v>
      </c>
      <c r="D484" s="52" t="s">
        <v>474</v>
      </c>
      <c r="E484" s="14">
        <v>1140003</v>
      </c>
      <c r="F484" s="14">
        <v>30031</v>
      </c>
      <c r="G484" s="14">
        <v>1</v>
      </c>
      <c r="H484" s="14">
        <v>12</v>
      </c>
      <c r="I484" s="22">
        <v>0</v>
      </c>
      <c r="J484" s="23">
        <v>0</v>
      </c>
      <c r="K484" s="14">
        <v>0</v>
      </c>
      <c r="L484" s="14">
        <v>0</v>
      </c>
      <c r="M484" s="14">
        <v>0</v>
      </c>
      <c r="N484" s="14">
        <v>0</v>
      </c>
      <c r="O484" s="14">
        <v>0</v>
      </c>
      <c r="P484" s="14">
        <v>0</v>
      </c>
      <c r="Q484" s="14">
        <v>0</v>
      </c>
      <c r="R484" s="14">
        <v>0</v>
      </c>
      <c r="S484" s="14">
        <v>0</v>
      </c>
      <c r="T484" s="14">
        <v>0</v>
      </c>
      <c r="U484" s="22">
        <v>0</v>
      </c>
      <c r="V484" s="14">
        <v>0</v>
      </c>
      <c r="W484" s="14">
        <v>0</v>
      </c>
      <c r="X484" s="14">
        <v>0</v>
      </c>
      <c r="Y484" s="22">
        <v>0</v>
      </c>
      <c r="Z484" s="22">
        <v>0</v>
      </c>
      <c r="AA484" s="22">
        <v>0</v>
      </c>
      <c r="AB484" s="22">
        <v>105301</v>
      </c>
      <c r="AC484" s="22">
        <v>13</v>
      </c>
      <c r="AD484" s="22">
        <v>0</v>
      </c>
      <c r="AE484" s="22"/>
      <c r="GR484" s="6"/>
      <c r="GS484" s="6"/>
      <c r="GT484" s="6"/>
      <c r="GU484" s="6"/>
      <c r="GV484" s="6"/>
      <c r="GW484" s="6"/>
      <c r="GX484" s="6"/>
      <c r="GY484" s="6"/>
      <c r="GZ484" s="6"/>
      <c r="HA484" s="6"/>
      <c r="HB484" s="6"/>
      <c r="HC484" s="6"/>
      <c r="HD484" s="6"/>
      <c r="HE484" s="6"/>
      <c r="HF484" s="6"/>
      <c r="HG484" s="6"/>
      <c r="HH484" s="6"/>
      <c r="HI484" s="6"/>
      <c r="HJ484" s="6"/>
      <c r="HK484" s="6"/>
      <c r="HL484" s="6"/>
      <c r="HM484" s="6"/>
      <c r="HN484" s="6"/>
      <c r="HO484" s="6"/>
      <c r="HP484" s="6"/>
    </row>
    <row r="485" spans="3:224" ht="20.100000000000001" customHeight="1">
      <c r="C485" s="51">
        <v>16000404</v>
      </c>
      <c r="D485" s="52" t="s">
        <v>475</v>
      </c>
      <c r="E485" s="14">
        <v>1140003</v>
      </c>
      <c r="F485" s="14">
        <v>30031</v>
      </c>
      <c r="G485" s="14">
        <v>1</v>
      </c>
      <c r="H485" s="14">
        <v>12</v>
      </c>
      <c r="I485" s="22">
        <v>0</v>
      </c>
      <c r="J485" s="23">
        <v>0</v>
      </c>
      <c r="K485" s="14">
        <v>0</v>
      </c>
      <c r="L485" s="14">
        <v>0</v>
      </c>
      <c r="M485" s="14">
        <v>0</v>
      </c>
      <c r="N485" s="14">
        <v>0</v>
      </c>
      <c r="O485" s="14">
        <v>0</v>
      </c>
      <c r="P485" s="14">
        <v>0</v>
      </c>
      <c r="Q485" s="14">
        <v>0</v>
      </c>
      <c r="R485" s="14">
        <v>0</v>
      </c>
      <c r="S485" s="14">
        <v>0</v>
      </c>
      <c r="T485" s="14">
        <v>0</v>
      </c>
      <c r="U485" s="22">
        <v>0</v>
      </c>
      <c r="V485" s="14">
        <v>0</v>
      </c>
      <c r="W485" s="14">
        <v>0</v>
      </c>
      <c r="X485" s="14">
        <v>0</v>
      </c>
      <c r="Y485" s="22">
        <v>0</v>
      </c>
      <c r="Z485" s="22">
        <v>0</v>
      </c>
      <c r="AA485" s="22">
        <v>0</v>
      </c>
      <c r="AB485" s="22">
        <v>105201</v>
      </c>
      <c r="AC485" s="22">
        <v>13</v>
      </c>
      <c r="AD485" s="22">
        <v>0</v>
      </c>
      <c r="AE485" s="22"/>
      <c r="GR485" s="6"/>
      <c r="GS485" s="6"/>
      <c r="GT485" s="6"/>
      <c r="GU485" s="6"/>
      <c r="GV485" s="6"/>
      <c r="GW485" s="6"/>
      <c r="GX485" s="6"/>
      <c r="GY485" s="6"/>
      <c r="GZ485" s="6"/>
      <c r="HA485" s="6"/>
      <c r="HB485" s="6"/>
      <c r="HC485" s="6"/>
      <c r="HD485" s="6"/>
      <c r="HE485" s="6"/>
      <c r="HF485" s="6"/>
      <c r="HG485" s="6"/>
      <c r="HH485" s="6"/>
      <c r="HI485" s="6"/>
      <c r="HJ485" s="6"/>
      <c r="HK485" s="6"/>
      <c r="HL485" s="6"/>
      <c r="HM485" s="6"/>
      <c r="HN485" s="6"/>
      <c r="HO485" s="6"/>
      <c r="HP485" s="6"/>
    </row>
    <row r="486" spans="3:224" ht="20.100000000000001" customHeight="1">
      <c r="C486" s="51">
        <v>16000405</v>
      </c>
      <c r="D486" s="52" t="s">
        <v>476</v>
      </c>
      <c r="E486" s="14">
        <v>1140003</v>
      </c>
      <c r="F486" s="14">
        <v>30031</v>
      </c>
      <c r="G486" s="14">
        <v>1</v>
      </c>
      <c r="H486" s="14">
        <v>12</v>
      </c>
      <c r="I486" s="22">
        <v>0</v>
      </c>
      <c r="J486" s="23">
        <v>0</v>
      </c>
      <c r="K486" s="14">
        <v>0</v>
      </c>
      <c r="L486" s="14">
        <v>0</v>
      </c>
      <c r="M486" s="14">
        <v>0</v>
      </c>
      <c r="N486" s="14">
        <v>0</v>
      </c>
      <c r="O486" s="14">
        <v>0</v>
      </c>
      <c r="P486" s="14">
        <v>0</v>
      </c>
      <c r="Q486" s="14">
        <v>0</v>
      </c>
      <c r="R486" s="14">
        <v>0</v>
      </c>
      <c r="S486" s="14">
        <v>0</v>
      </c>
      <c r="T486" s="14">
        <v>0</v>
      </c>
      <c r="U486" s="22">
        <v>0</v>
      </c>
      <c r="V486" s="14">
        <v>0</v>
      </c>
      <c r="W486" s="14">
        <v>0</v>
      </c>
      <c r="X486" s="14">
        <v>0</v>
      </c>
      <c r="Y486" s="22">
        <v>0</v>
      </c>
      <c r="Z486" s="22">
        <v>0</v>
      </c>
      <c r="AA486" s="22">
        <v>0</v>
      </c>
      <c r="AB486" s="22" t="s">
        <v>431</v>
      </c>
      <c r="AC486" s="22" t="s">
        <v>477</v>
      </c>
      <c r="AD486" s="22" t="s">
        <v>64</v>
      </c>
      <c r="AE486" s="22"/>
      <c r="GR486" s="6"/>
      <c r="GS486" s="6"/>
      <c r="GT486" s="6"/>
      <c r="GU486" s="6"/>
      <c r="GV486" s="6"/>
      <c r="GW486" s="6"/>
      <c r="GX486" s="6"/>
      <c r="GY486" s="6"/>
      <c r="GZ486" s="6"/>
      <c r="HA486" s="6"/>
      <c r="HB486" s="6"/>
      <c r="HC486" s="6"/>
      <c r="HD486" s="6"/>
      <c r="HE486" s="6"/>
      <c r="HF486" s="6"/>
      <c r="HG486" s="6"/>
      <c r="HH486" s="6"/>
      <c r="HI486" s="6"/>
      <c r="HJ486" s="6"/>
      <c r="HK486" s="6"/>
      <c r="HL486" s="6"/>
      <c r="HM486" s="6"/>
      <c r="HN486" s="6"/>
      <c r="HO486" s="6"/>
      <c r="HP486" s="6"/>
    </row>
    <row r="487" spans="3:224" ht="20.100000000000001" customHeight="1">
      <c r="C487" s="51">
        <v>16000406</v>
      </c>
      <c r="D487" s="52" t="s">
        <v>478</v>
      </c>
      <c r="E487" s="14">
        <v>1140003</v>
      </c>
      <c r="F487" s="14">
        <v>30031</v>
      </c>
      <c r="G487" s="14">
        <v>1</v>
      </c>
      <c r="H487" s="14">
        <v>12</v>
      </c>
      <c r="I487" s="22">
        <v>0</v>
      </c>
      <c r="J487" s="23">
        <v>0</v>
      </c>
      <c r="K487" s="14">
        <v>0</v>
      </c>
      <c r="L487" s="14">
        <v>0</v>
      </c>
      <c r="M487" s="14">
        <v>0</v>
      </c>
      <c r="N487" s="14">
        <v>0</v>
      </c>
      <c r="O487" s="14">
        <v>0</v>
      </c>
      <c r="P487" s="14">
        <v>0</v>
      </c>
      <c r="Q487" s="14">
        <v>0</v>
      </c>
      <c r="R487" s="14">
        <v>0</v>
      </c>
      <c r="S487" s="14">
        <v>0</v>
      </c>
      <c r="T487" s="14">
        <v>0</v>
      </c>
      <c r="U487" s="22">
        <v>0</v>
      </c>
      <c r="V487" s="14">
        <v>0</v>
      </c>
      <c r="W487" s="14">
        <v>0</v>
      </c>
      <c r="X487" s="14">
        <v>0</v>
      </c>
      <c r="Y487" s="22">
        <v>0</v>
      </c>
      <c r="Z487" s="22">
        <v>0</v>
      </c>
      <c r="AA487" s="22">
        <v>0</v>
      </c>
      <c r="AB487" s="22" t="s">
        <v>434</v>
      </c>
      <c r="AC487" s="22" t="s">
        <v>477</v>
      </c>
      <c r="AD487" s="22" t="s">
        <v>64</v>
      </c>
      <c r="AE487" s="22"/>
      <c r="GR487" s="6"/>
      <c r="GS487" s="6"/>
      <c r="GT487" s="6"/>
      <c r="GU487" s="6"/>
      <c r="GV487" s="6"/>
      <c r="GW487" s="6"/>
      <c r="GX487" s="6"/>
      <c r="GY487" s="6"/>
      <c r="GZ487" s="6"/>
      <c r="HA487" s="6"/>
      <c r="HB487" s="6"/>
      <c r="HC487" s="6"/>
      <c r="HD487" s="6"/>
      <c r="HE487" s="6"/>
      <c r="HF487" s="6"/>
      <c r="HG487" s="6"/>
      <c r="HH487" s="6"/>
      <c r="HI487" s="6"/>
      <c r="HJ487" s="6"/>
      <c r="HK487" s="6"/>
      <c r="HL487" s="6"/>
      <c r="HM487" s="6"/>
      <c r="HN487" s="6"/>
      <c r="HO487" s="6"/>
      <c r="HP487" s="6"/>
    </row>
    <row r="488" spans="3:224" ht="20.100000000000001" customHeight="1">
      <c r="C488" s="51">
        <v>16000407</v>
      </c>
      <c r="D488" s="52" t="s">
        <v>479</v>
      </c>
      <c r="E488" s="14">
        <v>1140003</v>
      </c>
      <c r="F488" s="14">
        <v>30031</v>
      </c>
      <c r="G488" s="14">
        <v>1</v>
      </c>
      <c r="H488" s="14">
        <v>12</v>
      </c>
      <c r="I488" s="22">
        <v>0</v>
      </c>
      <c r="J488" s="23">
        <v>0</v>
      </c>
      <c r="K488" s="14">
        <v>0</v>
      </c>
      <c r="L488" s="14">
        <v>0</v>
      </c>
      <c r="M488" s="14">
        <v>0</v>
      </c>
      <c r="N488" s="14">
        <v>0</v>
      </c>
      <c r="O488" s="14">
        <v>0</v>
      </c>
      <c r="P488" s="14">
        <v>0</v>
      </c>
      <c r="Q488" s="14">
        <v>0</v>
      </c>
      <c r="R488" s="14">
        <v>0</v>
      </c>
      <c r="S488" s="14">
        <v>0</v>
      </c>
      <c r="T488" s="14">
        <v>0</v>
      </c>
      <c r="U488" s="22">
        <v>0</v>
      </c>
      <c r="V488" s="14">
        <v>0</v>
      </c>
      <c r="W488" s="14">
        <v>0</v>
      </c>
      <c r="X488" s="14">
        <v>0</v>
      </c>
      <c r="Y488" s="22">
        <v>0</v>
      </c>
      <c r="Z488" s="22">
        <v>0</v>
      </c>
      <c r="AA488" s="22">
        <v>0</v>
      </c>
      <c r="AB488" s="22" t="s">
        <v>436</v>
      </c>
      <c r="AC488" s="22" t="s">
        <v>477</v>
      </c>
      <c r="AD488" s="22" t="s">
        <v>64</v>
      </c>
      <c r="AE488" s="22"/>
      <c r="GR488" s="6"/>
      <c r="GS488" s="6"/>
      <c r="GT488" s="6"/>
      <c r="GU488" s="6"/>
      <c r="GV488" s="6"/>
      <c r="GW488" s="6"/>
      <c r="GX488" s="6"/>
      <c r="GY488" s="6"/>
      <c r="GZ488" s="6"/>
      <c r="HA488" s="6"/>
      <c r="HB488" s="6"/>
      <c r="HC488" s="6"/>
      <c r="HD488" s="6"/>
      <c r="HE488" s="6"/>
      <c r="HF488" s="6"/>
      <c r="HG488" s="6"/>
      <c r="HH488" s="6"/>
      <c r="HI488" s="6"/>
      <c r="HJ488" s="6"/>
      <c r="HK488" s="6"/>
      <c r="HL488" s="6"/>
      <c r="HM488" s="6"/>
      <c r="HN488" s="6"/>
      <c r="HO488" s="6"/>
      <c r="HP488" s="6"/>
    </row>
    <row r="489" spans="3:224" ht="20.100000000000001" customHeight="1">
      <c r="C489" s="51">
        <v>16000408</v>
      </c>
      <c r="D489" s="52" t="s">
        <v>480</v>
      </c>
      <c r="E489" s="14">
        <v>1140003</v>
      </c>
      <c r="F489" s="14">
        <v>30031</v>
      </c>
      <c r="G489" s="14">
        <v>1</v>
      </c>
      <c r="H489" s="14">
        <v>12</v>
      </c>
      <c r="I489" s="22">
        <v>0</v>
      </c>
      <c r="J489" s="23">
        <v>0</v>
      </c>
      <c r="K489" s="14">
        <v>0</v>
      </c>
      <c r="L489" s="14">
        <v>0</v>
      </c>
      <c r="M489" s="14">
        <v>0</v>
      </c>
      <c r="N489" s="14">
        <v>0</v>
      </c>
      <c r="O489" s="14">
        <v>0</v>
      </c>
      <c r="P489" s="14">
        <v>0</v>
      </c>
      <c r="Q489" s="14">
        <v>0</v>
      </c>
      <c r="R489" s="14">
        <v>0</v>
      </c>
      <c r="S489" s="14">
        <v>0</v>
      </c>
      <c r="T489" s="14">
        <v>0</v>
      </c>
      <c r="U489" s="22">
        <v>0</v>
      </c>
      <c r="V489" s="14">
        <v>0</v>
      </c>
      <c r="W489" s="14">
        <v>0</v>
      </c>
      <c r="X489" s="14">
        <v>0</v>
      </c>
      <c r="Y489" s="22">
        <v>0</v>
      </c>
      <c r="Z489" s="22">
        <v>0</v>
      </c>
      <c r="AA489" s="22">
        <v>0</v>
      </c>
      <c r="AB489" s="22" t="s">
        <v>438</v>
      </c>
      <c r="AC489" s="22" t="s">
        <v>477</v>
      </c>
      <c r="AD489" s="22" t="s">
        <v>64</v>
      </c>
      <c r="AE489" s="22"/>
      <c r="GR489" s="6"/>
      <c r="GS489" s="6"/>
      <c r="GT489" s="6"/>
      <c r="GU489" s="6"/>
      <c r="GV489" s="6"/>
      <c r="GW489" s="6"/>
      <c r="GX489" s="6"/>
      <c r="GY489" s="6"/>
      <c r="GZ489" s="6"/>
      <c r="HA489" s="6"/>
      <c r="HB489" s="6"/>
      <c r="HC489" s="6"/>
      <c r="HD489" s="6"/>
      <c r="HE489" s="6"/>
      <c r="HF489" s="6"/>
      <c r="HG489" s="6"/>
      <c r="HH489" s="6"/>
      <c r="HI489" s="6"/>
      <c r="HJ489" s="6"/>
      <c r="HK489" s="6"/>
      <c r="HL489" s="6"/>
      <c r="HM489" s="6"/>
      <c r="HN489" s="6"/>
      <c r="HO489" s="6"/>
      <c r="HP489" s="6"/>
    </row>
    <row r="490" spans="3:224" ht="20.100000000000001" customHeight="1">
      <c r="C490" s="51">
        <v>16000409</v>
      </c>
      <c r="D490" s="52" t="s">
        <v>481</v>
      </c>
      <c r="E490" s="14">
        <v>1140003</v>
      </c>
      <c r="F490" s="14">
        <v>30031</v>
      </c>
      <c r="G490" s="14">
        <v>1</v>
      </c>
      <c r="H490" s="14">
        <v>12</v>
      </c>
      <c r="I490" s="22">
        <v>0</v>
      </c>
      <c r="J490" s="23">
        <v>0</v>
      </c>
      <c r="K490" s="14">
        <v>0</v>
      </c>
      <c r="L490" s="14">
        <v>0</v>
      </c>
      <c r="M490" s="14">
        <v>0</v>
      </c>
      <c r="N490" s="14">
        <v>0</v>
      </c>
      <c r="O490" s="14">
        <v>0</v>
      </c>
      <c r="P490" s="14">
        <v>0</v>
      </c>
      <c r="Q490" s="14">
        <v>0</v>
      </c>
      <c r="R490" s="14">
        <v>0</v>
      </c>
      <c r="S490" s="14">
        <v>0</v>
      </c>
      <c r="T490" s="14">
        <v>0</v>
      </c>
      <c r="U490" s="22">
        <v>0</v>
      </c>
      <c r="V490" s="14">
        <v>0</v>
      </c>
      <c r="W490" s="14">
        <v>0</v>
      </c>
      <c r="X490" s="14">
        <v>0</v>
      </c>
      <c r="Y490" s="22">
        <v>0</v>
      </c>
      <c r="Z490" s="22">
        <v>0</v>
      </c>
      <c r="AA490" s="22">
        <v>0</v>
      </c>
      <c r="AB490" s="22">
        <v>105401</v>
      </c>
      <c r="AC490" s="22">
        <v>13</v>
      </c>
      <c r="AD490" s="22">
        <v>0</v>
      </c>
      <c r="AE490" s="22"/>
      <c r="GR490" s="6"/>
      <c r="GS490" s="6"/>
      <c r="GT490" s="6"/>
      <c r="GU490" s="6"/>
      <c r="GV490" s="6"/>
      <c r="GW490" s="6"/>
      <c r="GX490" s="6"/>
      <c r="GY490" s="6"/>
      <c r="GZ490" s="6"/>
      <c r="HA490" s="6"/>
      <c r="HB490" s="6"/>
      <c r="HC490" s="6"/>
      <c r="HD490" s="6"/>
      <c r="HE490" s="6"/>
      <c r="HF490" s="6"/>
      <c r="HG490" s="6"/>
      <c r="HH490" s="6"/>
      <c r="HI490" s="6"/>
      <c r="HJ490" s="6"/>
      <c r="HK490" s="6"/>
      <c r="HL490" s="6"/>
      <c r="HM490" s="6"/>
      <c r="HN490" s="6"/>
      <c r="HO490" s="6"/>
      <c r="HP490" s="6"/>
    </row>
    <row r="491" spans="3:224" ht="20.100000000000001" customHeight="1">
      <c r="C491" s="51">
        <v>16000410</v>
      </c>
      <c r="D491" s="52" t="s">
        <v>482</v>
      </c>
      <c r="E491" s="14">
        <v>1140003</v>
      </c>
      <c r="F491" s="14">
        <v>30031</v>
      </c>
      <c r="G491" s="14">
        <v>1</v>
      </c>
      <c r="H491" s="14">
        <v>12</v>
      </c>
      <c r="I491" s="22">
        <v>0</v>
      </c>
      <c r="J491" s="23">
        <v>0</v>
      </c>
      <c r="K491" s="14">
        <v>0</v>
      </c>
      <c r="L491" s="14">
        <v>0</v>
      </c>
      <c r="M491" s="14">
        <v>0</v>
      </c>
      <c r="N491" s="14">
        <v>0</v>
      </c>
      <c r="O491" s="14">
        <v>0</v>
      </c>
      <c r="P491" s="14">
        <v>0</v>
      </c>
      <c r="Q491" s="14">
        <v>0</v>
      </c>
      <c r="R491" s="14">
        <v>0</v>
      </c>
      <c r="S491" s="14">
        <v>0</v>
      </c>
      <c r="T491" s="14">
        <v>0</v>
      </c>
      <c r="U491" s="22">
        <v>0</v>
      </c>
      <c r="V491" s="14">
        <v>0</v>
      </c>
      <c r="W491" s="14">
        <v>0</v>
      </c>
      <c r="X491" s="14">
        <v>0</v>
      </c>
      <c r="Y491" s="22">
        <v>0</v>
      </c>
      <c r="Z491" s="22">
        <v>0</v>
      </c>
      <c r="AA491" s="22">
        <v>0</v>
      </c>
      <c r="AB491" s="22" t="s">
        <v>441</v>
      </c>
      <c r="AC491" s="22" t="s">
        <v>477</v>
      </c>
      <c r="AD491" s="22" t="s">
        <v>64</v>
      </c>
      <c r="AE491" s="22"/>
      <c r="GR491" s="6"/>
      <c r="GS491" s="6"/>
      <c r="GT491" s="6"/>
      <c r="GU491" s="6"/>
      <c r="GV491" s="6"/>
      <c r="GW491" s="6"/>
      <c r="GX491" s="6"/>
      <c r="GY491" s="6"/>
      <c r="GZ491" s="6"/>
      <c r="HA491" s="6"/>
      <c r="HB491" s="6"/>
      <c r="HC491" s="6"/>
      <c r="HD491" s="6"/>
      <c r="HE491" s="6"/>
      <c r="HF491" s="6"/>
      <c r="HG491" s="6"/>
      <c r="HH491" s="6"/>
      <c r="HI491" s="6"/>
      <c r="HJ491" s="6"/>
      <c r="HK491" s="6"/>
      <c r="HL491" s="6"/>
      <c r="HM491" s="6"/>
      <c r="HN491" s="6"/>
      <c r="HO491" s="6"/>
      <c r="HP491" s="6"/>
    </row>
    <row r="492" spans="3:224" ht="20.100000000000001" customHeight="1">
      <c r="C492" s="51">
        <v>16000411</v>
      </c>
      <c r="D492" s="52" t="s">
        <v>483</v>
      </c>
      <c r="E492" s="14">
        <v>1140003</v>
      </c>
      <c r="F492" s="14">
        <v>30031</v>
      </c>
      <c r="G492" s="14">
        <v>1</v>
      </c>
      <c r="H492" s="14">
        <v>12</v>
      </c>
      <c r="I492" s="22">
        <v>0</v>
      </c>
      <c r="J492" s="23">
        <v>0</v>
      </c>
      <c r="K492" s="14">
        <v>0</v>
      </c>
      <c r="L492" s="14">
        <v>0</v>
      </c>
      <c r="M492" s="14">
        <v>0</v>
      </c>
      <c r="N492" s="14">
        <v>0</v>
      </c>
      <c r="O492" s="14">
        <v>0</v>
      </c>
      <c r="P492" s="14">
        <v>0</v>
      </c>
      <c r="Q492" s="14">
        <v>0</v>
      </c>
      <c r="R492" s="14">
        <v>0</v>
      </c>
      <c r="S492" s="14">
        <v>0</v>
      </c>
      <c r="T492" s="14">
        <v>0</v>
      </c>
      <c r="U492" s="22">
        <v>0</v>
      </c>
      <c r="V492" s="14">
        <v>0</v>
      </c>
      <c r="W492" s="14">
        <v>0</v>
      </c>
      <c r="X492" s="14">
        <v>0</v>
      </c>
      <c r="Y492" s="22">
        <v>0</v>
      </c>
      <c r="Z492" s="22">
        <v>0</v>
      </c>
      <c r="AA492" s="22">
        <v>0</v>
      </c>
      <c r="AB492" s="22" t="s">
        <v>443</v>
      </c>
      <c r="AC492" s="22" t="s">
        <v>477</v>
      </c>
      <c r="AD492" s="22" t="s">
        <v>64</v>
      </c>
      <c r="AE492" s="22"/>
      <c r="GR492" s="6"/>
      <c r="GS492" s="6"/>
      <c r="GT492" s="6"/>
      <c r="GU492" s="6"/>
      <c r="GV492" s="6"/>
      <c r="GW492" s="6"/>
      <c r="GX492" s="6"/>
      <c r="GY492" s="6"/>
      <c r="GZ492" s="6"/>
      <c r="HA492" s="6"/>
      <c r="HB492" s="6"/>
      <c r="HC492" s="6"/>
      <c r="HD492" s="6"/>
      <c r="HE492" s="6"/>
      <c r="HF492" s="6"/>
      <c r="HG492" s="6"/>
      <c r="HH492" s="6"/>
      <c r="HI492" s="6"/>
      <c r="HJ492" s="6"/>
      <c r="HK492" s="6"/>
      <c r="HL492" s="6"/>
      <c r="HM492" s="6"/>
      <c r="HN492" s="6"/>
      <c r="HO492" s="6"/>
      <c r="HP492" s="6"/>
    </row>
    <row r="493" spans="3:224" ht="20.100000000000001" customHeight="1">
      <c r="C493" s="51">
        <v>16000412</v>
      </c>
      <c r="D493" s="52" t="s">
        <v>484</v>
      </c>
      <c r="E493" s="14">
        <v>1140003</v>
      </c>
      <c r="F493" s="14">
        <v>30031</v>
      </c>
      <c r="G493" s="14">
        <v>1</v>
      </c>
      <c r="H493" s="14">
        <v>12</v>
      </c>
      <c r="I493" s="22">
        <v>0</v>
      </c>
      <c r="J493" s="23">
        <v>0</v>
      </c>
      <c r="K493" s="14">
        <v>0</v>
      </c>
      <c r="L493" s="14">
        <v>0</v>
      </c>
      <c r="M493" s="14">
        <v>0</v>
      </c>
      <c r="N493" s="14">
        <v>0</v>
      </c>
      <c r="O493" s="14">
        <v>0</v>
      </c>
      <c r="P493" s="14">
        <v>0</v>
      </c>
      <c r="Q493" s="14">
        <v>0</v>
      </c>
      <c r="R493" s="14">
        <v>0</v>
      </c>
      <c r="S493" s="14">
        <v>0</v>
      </c>
      <c r="T493" s="14">
        <v>0</v>
      </c>
      <c r="U493" s="22">
        <v>0</v>
      </c>
      <c r="V493" s="14">
        <v>0</v>
      </c>
      <c r="W493" s="14">
        <v>0</v>
      </c>
      <c r="X493" s="14">
        <v>0</v>
      </c>
      <c r="Y493" s="22">
        <v>0</v>
      </c>
      <c r="Z493" s="22">
        <v>0</v>
      </c>
      <c r="AA493" s="22">
        <v>0</v>
      </c>
      <c r="AB493" s="22" t="s">
        <v>445</v>
      </c>
      <c r="AC493" s="22" t="s">
        <v>477</v>
      </c>
      <c r="AD493" s="22" t="s">
        <v>64</v>
      </c>
      <c r="AE493" s="22"/>
      <c r="GR493" s="6"/>
      <c r="GS493" s="6"/>
      <c r="GT493" s="6"/>
      <c r="GU493" s="6"/>
      <c r="GV493" s="6"/>
      <c r="GW493" s="6"/>
      <c r="GX493" s="6"/>
      <c r="GY493" s="6"/>
      <c r="GZ493" s="6"/>
      <c r="HA493" s="6"/>
      <c r="HB493" s="6"/>
      <c r="HC493" s="6"/>
      <c r="HD493" s="6"/>
      <c r="HE493" s="6"/>
      <c r="HF493" s="6"/>
      <c r="HG493" s="6"/>
      <c r="HH493" s="6"/>
      <c r="HI493" s="6"/>
      <c r="HJ493" s="6"/>
      <c r="HK493" s="6"/>
      <c r="HL493" s="6"/>
      <c r="HM493" s="6"/>
      <c r="HN493" s="6"/>
      <c r="HO493" s="6"/>
      <c r="HP493" s="6"/>
    </row>
    <row r="494" spans="3:224" ht="20.100000000000001" customHeight="1">
      <c r="C494" s="51">
        <v>16000413</v>
      </c>
      <c r="D494" s="52" t="s">
        <v>485</v>
      </c>
      <c r="E494" s="53">
        <v>0</v>
      </c>
      <c r="F494" s="14">
        <v>0</v>
      </c>
      <c r="G494" s="14">
        <v>0</v>
      </c>
      <c r="H494" s="14">
        <v>0</v>
      </c>
      <c r="I494" s="22">
        <v>0</v>
      </c>
      <c r="J494" s="23">
        <v>0</v>
      </c>
      <c r="K494" s="14">
        <v>0</v>
      </c>
      <c r="L494" s="14">
        <v>0</v>
      </c>
      <c r="M494" s="14">
        <v>0</v>
      </c>
      <c r="N494" s="14">
        <v>0</v>
      </c>
      <c r="O494" s="14">
        <v>0</v>
      </c>
      <c r="P494" s="14">
        <v>0</v>
      </c>
      <c r="Q494" s="14">
        <v>0</v>
      </c>
      <c r="R494" s="14">
        <v>0</v>
      </c>
      <c r="S494" s="14">
        <v>0</v>
      </c>
      <c r="T494" s="14">
        <v>0</v>
      </c>
      <c r="U494" s="22">
        <v>0</v>
      </c>
      <c r="V494" s="14">
        <v>0</v>
      </c>
      <c r="W494" s="14">
        <v>0</v>
      </c>
      <c r="X494" s="14">
        <v>0</v>
      </c>
      <c r="Y494" s="22">
        <v>0</v>
      </c>
      <c r="Z494" s="22">
        <v>0</v>
      </c>
      <c r="AA494" s="22">
        <v>0</v>
      </c>
      <c r="AB494" s="22">
        <v>0</v>
      </c>
      <c r="AC494" s="22">
        <v>0</v>
      </c>
      <c r="AD494" s="22">
        <v>0</v>
      </c>
      <c r="AE494" s="22"/>
      <c r="GR494" s="6"/>
      <c r="GS494" s="6"/>
      <c r="GT494" s="6"/>
      <c r="GU494" s="6"/>
      <c r="GV494" s="6"/>
      <c r="GW494" s="6"/>
      <c r="GX494" s="6"/>
      <c r="GY494" s="6"/>
      <c r="GZ494" s="6"/>
      <c r="HA494" s="6"/>
      <c r="HB494" s="6"/>
      <c r="HC494" s="6"/>
      <c r="HD494" s="6"/>
      <c r="HE494" s="6"/>
      <c r="HF494" s="6"/>
      <c r="HG494" s="6"/>
      <c r="HH494" s="6"/>
      <c r="HI494" s="6"/>
      <c r="HJ494" s="6"/>
      <c r="HK494" s="6"/>
      <c r="HL494" s="6"/>
      <c r="HM494" s="6"/>
      <c r="HN494" s="6"/>
      <c r="HO494" s="6"/>
      <c r="HP494" s="6"/>
    </row>
  </sheetData>
  <phoneticPr fontId="24" type="noConversion"/>
  <pageMargins left="0.69930555555555596" right="0.69930555555555596" top="0.75" bottom="0.75" header="0.3" footer="0.3"/>
  <pageSetup orientation="portrait"/>
  <headerFooter>
    <oddFooter>&amp;C&amp;"Helvetica Neue,Regular"&amp;12&amp;K000000&amp;P</oddFooter>
  </headerFooter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EquipProto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xiaojin chen</cp:lastModifiedBy>
  <dcterms:created xsi:type="dcterms:W3CDTF">2019-09-30T00:29:00Z</dcterms:created>
  <dcterms:modified xsi:type="dcterms:W3CDTF">2026-06-18T08:28:09Z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2052-12.8.2.18205</vt:lpwstr>
  </property>
  <property fmtid="{D5CDD505-2E9C-101B-9397-08002B2CF9AE}" pid="3" name="ICV">
    <vt:lpwstr>22F213981B7745568AF0071BF2759C8C_12</vt:lpwstr>
  </property>
</Properties>
</file>